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Operators performance" sheetId="2" state="visible" r:id="rId4"/>
    <sheet name="Center Issue" sheetId="3" state="visible" r:id="rId5"/>
    <sheet name="Operator Bugs" sheetId="4" state="visible" r:id="rId6"/>
    <sheet name="Company" sheetId="5" state="visible" r:id="rId7"/>
    <sheet name="Team Leads" sheetId="6" state="visible" r:id="rId8"/>
    <sheet name="6-week1" sheetId="7" state="visible" r:id="rId9"/>
    <sheet name="6-week2" sheetId="8" state="visible" r:id="rId10"/>
    <sheet name="info" sheetId="9" state="visible" r:id="rId11"/>
  </sheets>
  <definedNames>
    <definedName function="false" hidden="true" localSheetId="6" name="_xlnm._FilterDatabase" vbProcedure="false">'6-week1'!$B$1:$F$269</definedName>
  </definedNames>
  <calcPr iterateCount="100" refMode="A1" iterate="false" iterateDelta="0.0001"/>
  <pivotCaches>
    <pivotCache cacheId="1" r:id="rId13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<sst xmlns="http://schemas.openxmlformats.org/spreadsheetml/2006/main" count="2503" uniqueCount="433">
  <si>
    <t xml:space="preserve">داشبورد عملکرد اپراتورها (SLA)</t>
  </si>
  <si>
    <t xml:space="preserve">خلاصه عملکرد بر اساس سرگروه (Team Lead)</t>
  </si>
  <si>
    <t xml:space="preserve">سرگروه</t>
  </si>
  <si>
    <t xml:space="preserve">تعداد اپراتور</t>
  </si>
  <si>
    <t xml:space="preserve">مجموع سفارشات</t>
  </si>
  <si>
    <t xml:space="preserve">میانگین OCT (دقیقه)</t>
  </si>
  <si>
    <t xml:space="preserve">میانگین امتیاز</t>
  </si>
  <si>
    <t xml:space="preserve">آتنا مالمیر</t>
  </si>
  <si>
    <t xml:space="preserve">امیررضا فلاح</t>
  </si>
  <si>
    <t xml:space="preserve">شاهین شهریاری</t>
  </si>
  <si>
    <t xml:space="preserve">علیرضا زمانیان</t>
  </si>
  <si>
    <t xml:space="preserve">فاطمه دهقانپور</t>
  </si>
  <si>
    <t xml:space="preserve">مریم ایزدی - شاهین شهریاری</t>
  </si>
  <si>
    <t xml:space="preserve">مهدی ایازی</t>
  </si>
  <si>
    <t xml:space="preserve">مهدی فراهانی</t>
  </si>
  <si>
    <t xml:space="preserve">هومن قضائی</t>
  </si>
  <si>
    <t xml:space="preserve">خلاصه عملکرد بر اساس شرکت</t>
  </si>
  <si>
    <t xml:space="preserve">شرکت</t>
  </si>
  <si>
    <t xml:space="preserve">آرمان</t>
  </si>
  <si>
    <t xml:space="preserve">البرز</t>
  </si>
  <si>
    <t xml:space="preserve">ایران</t>
  </si>
  <si>
    <t xml:space="preserve">تعاون</t>
  </si>
  <si>
    <t xml:space="preserve">دی</t>
  </si>
  <si>
    <t xml:space="preserve">رازی</t>
  </si>
  <si>
    <t xml:space="preserve">سنتر</t>
  </si>
  <si>
    <t xml:space="preserve">سینا</t>
  </si>
  <si>
    <t xml:space="preserve">هوشمند فردا</t>
  </si>
  <si>
    <t xml:space="preserve">پارسیان</t>
  </si>
  <si>
    <t xml:space="preserve">خلاصه باگ‌های ثبت‌شده</t>
  </si>
  <si>
    <t xml:space="preserve">نوع باگ</t>
  </si>
  <si>
    <t xml:space="preserve">تعداد</t>
  </si>
  <si>
    <t xml:space="preserve">غیرمالی (N.F.B)</t>
  </si>
  <si>
    <t xml:space="preserve">مالی (F.B)</t>
  </si>
  <si>
    <t xml:space="preserve">اثرگذار (E.B)</t>
  </si>
  <si>
    <t xml:space="preserve">مجموع کل</t>
  </si>
  <si>
    <t xml:space="preserve">اپراتور صدور</t>
  </si>
  <si>
    <t xml:space="preserve">Operator</t>
  </si>
  <si>
    <t xml:space="preserve">Company</t>
  </si>
  <si>
    <t xml:space="preserve">Work Shift</t>
  </si>
  <si>
    <t xml:space="preserve">Team Lead</t>
  </si>
  <si>
    <t xml:space="preserve">Operators Bug Price</t>
  </si>
  <si>
    <t xml:space="preserve">orders_handled</t>
  </si>
  <si>
    <t xml:space="preserve">OCT(min)</t>
  </si>
  <si>
    <t xml:space="preserve">Issuing Score (out of 5)</t>
  </si>
  <si>
    <t xml:space="preserve">Oct Score (out of 5)</t>
  </si>
  <si>
    <t xml:space="preserve">average Score</t>
  </si>
  <si>
    <t xml:space="preserve">salary</t>
  </si>
  <si>
    <t xml:space="preserve">1st week-6</t>
  </si>
  <si>
    <t xml:space="preserve">2nd week-6</t>
  </si>
  <si>
    <t xml:space="preserve">آبتین جباری</t>
  </si>
  <si>
    <t xml:space="preserve">رویا زارعی</t>
  </si>
  <si>
    <t xml:space="preserve">علی قناعتی</t>
  </si>
  <si>
    <t xml:space="preserve">علیرضا حمید نیا</t>
  </si>
  <si>
    <t xml:space="preserve">معراج عزیزی</t>
  </si>
  <si>
    <t xml:space="preserve">افشین میرزاده</t>
  </si>
  <si>
    <t xml:space="preserve">امیر حسین پزشک پور</t>
  </si>
  <si>
    <t xml:space="preserve">سارا جاوری</t>
  </si>
  <si>
    <t xml:space="preserve">سارا رسولی</t>
  </si>
  <si>
    <t xml:space="preserve">فاطمه بهزادی</t>
  </si>
  <si>
    <t xml:space="preserve">محمد سعیدیان</t>
  </si>
  <si>
    <t xml:space="preserve">مرکز صدور خوش سیرت | نازنین به نظر</t>
  </si>
  <si>
    <t xml:space="preserve">آوا صادق زاده</t>
  </si>
  <si>
    <t xml:space="preserve">چنور قاسمی</t>
  </si>
  <si>
    <t xml:space="preserve">رامینا برنجیان</t>
  </si>
  <si>
    <t xml:space="preserve">رویا خیری</t>
  </si>
  <si>
    <t xml:space="preserve">زهرا براتیان</t>
  </si>
  <si>
    <t xml:space="preserve">زهرا عبدی</t>
  </si>
  <si>
    <t xml:space="preserve">سولماز اسدپور</t>
  </si>
  <si>
    <t xml:space="preserve">صادق عبدی</t>
  </si>
  <si>
    <t xml:space="preserve">فاطمه عبدی</t>
  </si>
  <si>
    <t xml:space="preserve">فاطمه هاشمی</t>
  </si>
  <si>
    <t xml:space="preserve">قاسم شکری</t>
  </si>
  <si>
    <t xml:space="preserve">مرکز صدور رضوانی | رضا رضوانی</t>
  </si>
  <si>
    <t xml:space="preserve">مرکز صدور رضوانی | طاهارضوانی</t>
  </si>
  <si>
    <t xml:space="preserve">مهسا قادری</t>
  </si>
  <si>
    <t xml:space="preserve">نرگس نصیری</t>
  </si>
  <si>
    <t xml:space="preserve">آرزو عسگری</t>
  </si>
  <si>
    <t xml:space="preserve">اعظم خردبیشه</t>
  </si>
  <si>
    <t xml:space="preserve">زهرا قربانی</t>
  </si>
  <si>
    <t xml:space="preserve">زینب جعفری</t>
  </si>
  <si>
    <t xml:space="preserve">سمانه فاطمی</t>
  </si>
  <si>
    <t xml:space="preserve">عالم جعفری</t>
  </si>
  <si>
    <t xml:space="preserve">فاطمه الهیاری</t>
  </si>
  <si>
    <t xml:space="preserve">فاطمه خوئینی</t>
  </si>
  <si>
    <t xml:space="preserve">فرشته باشتنی</t>
  </si>
  <si>
    <t xml:space="preserve">لیلا داوطلب</t>
  </si>
  <si>
    <t xml:space="preserve">ماهدخت حسنی</t>
  </si>
  <si>
    <t xml:space="preserve">مرکز صدور کاظمی | فاطمه عسگری</t>
  </si>
  <si>
    <t xml:space="preserve">مرکز صدور هاشم زاده | شیما هاشم زاده</t>
  </si>
  <si>
    <t xml:space="preserve">مریم هاشمی</t>
  </si>
  <si>
    <t xml:space="preserve">میکائیل بابکی</t>
  </si>
  <si>
    <t xml:space="preserve">نسرین بابالو</t>
  </si>
  <si>
    <t xml:space="preserve">آرزو حمیدی</t>
  </si>
  <si>
    <t xml:space="preserve">آرمان صاحبی</t>
  </si>
  <si>
    <t xml:space="preserve">الناز بهمنی</t>
  </si>
  <si>
    <t xml:space="preserve">امیر حسین رستمی</t>
  </si>
  <si>
    <t xml:space="preserve">پارسا نصراللهی</t>
  </si>
  <si>
    <t xml:space="preserve">پریسا تولائی</t>
  </si>
  <si>
    <t xml:space="preserve">پویا شهبازی</t>
  </si>
  <si>
    <t xml:space="preserve">حسین پیرمرادی</t>
  </si>
  <si>
    <t xml:space="preserve">حسین حقیقت</t>
  </si>
  <si>
    <t xml:space="preserve">حمیدرضا احمدی</t>
  </si>
  <si>
    <t xml:space="preserve">زهرا طاهری</t>
  </si>
  <si>
    <t xml:space="preserve">سایه ملکی</t>
  </si>
  <si>
    <t xml:space="preserve">سمیرا فتاحی</t>
  </si>
  <si>
    <t xml:space="preserve">صبا صباغ</t>
  </si>
  <si>
    <t xml:space="preserve">علی جمالی</t>
  </si>
  <si>
    <t xml:space="preserve">فاطمه اقلیمی</t>
  </si>
  <si>
    <t xml:space="preserve">کوثر بلالی</t>
  </si>
  <si>
    <t xml:space="preserve">ماهان عبدی</t>
  </si>
  <si>
    <t xml:space="preserve">مبینا شکری</t>
  </si>
  <si>
    <t xml:space="preserve">محمد افتخاری</t>
  </si>
  <si>
    <t xml:space="preserve">محمدمهدی پارسا</t>
  </si>
  <si>
    <t xml:space="preserve">مرتضی احمدی</t>
  </si>
  <si>
    <t xml:space="preserve">مرکز صدور خلیلی | حمید خلیلی</t>
  </si>
  <si>
    <t xml:space="preserve">مرکز صدور شاه محمدی | شیوا شجاعی</t>
  </si>
  <si>
    <t xml:space="preserve">مرکز صدور کاظمی | ملیکاحسینی</t>
  </si>
  <si>
    <t xml:space="preserve">مرکز صدور هاشم زاده | محمد هاشم زاده</t>
  </si>
  <si>
    <t xml:space="preserve">مصطفی نوری</t>
  </si>
  <si>
    <t xml:space="preserve">معصومه صمدی</t>
  </si>
  <si>
    <t xml:space="preserve">ملیکا جان محمدی</t>
  </si>
  <si>
    <t xml:space="preserve">مهسا سحری</t>
  </si>
  <si>
    <t xml:space="preserve">هانیه همتی</t>
  </si>
  <si>
    <t xml:space="preserve">آتنا محبی</t>
  </si>
  <si>
    <t xml:space="preserve">آرین بحیرایی</t>
  </si>
  <si>
    <t xml:space="preserve">آمنه رنجبری</t>
  </si>
  <si>
    <t xml:space="preserve">تینا مختاری</t>
  </si>
  <si>
    <t xml:space="preserve">حسن خادمی</t>
  </si>
  <si>
    <t xml:space="preserve">حسین بهزادی مقدم</t>
  </si>
  <si>
    <t xml:space="preserve">ریحانه کمالی</t>
  </si>
  <si>
    <t xml:space="preserve">زهرا اسماعیلی</t>
  </si>
  <si>
    <t xml:space="preserve">زهرا سبزیانی داویجانی</t>
  </si>
  <si>
    <t xml:space="preserve">زهره ذبیحی</t>
  </si>
  <si>
    <t xml:space="preserve">زیبا زارعی</t>
  </si>
  <si>
    <t xml:space="preserve">سهراب ایروانی</t>
  </si>
  <si>
    <t xml:space="preserve">فاطمه شریفی</t>
  </si>
  <si>
    <t xml:space="preserve">محبوبه شیرزاد</t>
  </si>
  <si>
    <t xml:space="preserve">محسن عبدی</t>
  </si>
  <si>
    <t xml:space="preserve">محمدامین شصتی</t>
  </si>
  <si>
    <t xml:space="preserve">مرکز صدور اسکندری | نرگس حسنی</t>
  </si>
  <si>
    <t xml:space="preserve">مرکز صدور علی دادی | زهرا چهرآزاد</t>
  </si>
  <si>
    <t xml:space="preserve">معصومه یعقوبی</t>
  </si>
  <si>
    <t xml:space="preserve">منیر مغفوری</t>
  </si>
  <si>
    <t xml:space="preserve">مهدی عبدی</t>
  </si>
  <si>
    <t xml:space="preserve">مهدیه آزادی</t>
  </si>
  <si>
    <t xml:space="preserve">مهنا رئوف</t>
  </si>
  <si>
    <t xml:space="preserve">آزیتا عبدی</t>
  </si>
  <si>
    <t xml:space="preserve">ابوالفضل بختیاری</t>
  </si>
  <si>
    <t xml:space="preserve">احسان بشیرزاده هنگامی</t>
  </si>
  <si>
    <t xml:space="preserve">امیر محمد فیروزی</t>
  </si>
  <si>
    <t xml:space="preserve">امیرمحمد نسائی</t>
  </si>
  <si>
    <t xml:space="preserve">پریا کشوری</t>
  </si>
  <si>
    <t xml:space="preserve">حامد رضایی</t>
  </si>
  <si>
    <t xml:space="preserve">حنانه حنانی</t>
  </si>
  <si>
    <t xml:space="preserve">دنیا سیسختی</t>
  </si>
  <si>
    <t xml:space="preserve">زهرا اکبری</t>
  </si>
  <si>
    <t xml:space="preserve">زهرا عسگری</t>
  </si>
  <si>
    <t xml:space="preserve">زهره شمس</t>
  </si>
  <si>
    <t xml:space="preserve">سحر خدابنده</t>
  </si>
  <si>
    <t xml:space="preserve">سکینه کاروند</t>
  </si>
  <si>
    <t xml:space="preserve">سمانه آشوری</t>
  </si>
  <si>
    <t xml:space="preserve">سمیه اسماعیلی</t>
  </si>
  <si>
    <t xml:space="preserve">علی رمضی</t>
  </si>
  <si>
    <t xml:space="preserve">فاطمه قاسمی</t>
  </si>
  <si>
    <t xml:space="preserve">فاطمه کمالی</t>
  </si>
  <si>
    <t xml:space="preserve">فاطمه نیکوبین</t>
  </si>
  <si>
    <t xml:space="preserve">کیمیا غلامی</t>
  </si>
  <si>
    <t xml:space="preserve">مرکز صدور رسول اسماعیل پوراقدم</t>
  </si>
  <si>
    <t xml:space="preserve">مرکز صدور علی دادی | ستاره علی دادی</t>
  </si>
  <si>
    <t xml:space="preserve">مریم بیشه بان</t>
  </si>
  <si>
    <t xml:space="preserve">مهرشاد شقاقی</t>
  </si>
  <si>
    <t xml:space="preserve">مهسا بابائی</t>
  </si>
  <si>
    <t xml:space="preserve">مهسا عبدی پور</t>
  </si>
  <si>
    <t xml:space="preserve">مهشید حمیدی</t>
  </si>
  <si>
    <t xml:space="preserve">نرگس خزلی</t>
  </si>
  <si>
    <t xml:space="preserve">نسترن نیک کار</t>
  </si>
  <si>
    <t xml:space="preserve">همایون فرحدل</t>
  </si>
  <si>
    <t xml:space="preserve">یلدا نعمتی</t>
  </si>
  <si>
    <t xml:space="preserve">مرکز صدور رضوانی | امیرحسین صابر</t>
  </si>
  <si>
    <t xml:space="preserve">آروین کیخسروی</t>
  </si>
  <si>
    <t xml:space="preserve">آزاده محبی</t>
  </si>
  <si>
    <t xml:space="preserve">الهه دریکوند</t>
  </si>
  <si>
    <t xml:space="preserve">امیر حسین گل محمدی</t>
  </si>
  <si>
    <t xml:space="preserve">امیر قربانی</t>
  </si>
  <si>
    <t xml:space="preserve">امیرحسین کاروند</t>
  </si>
  <si>
    <t xml:space="preserve">امیرمحمد بادکوبه</t>
  </si>
  <si>
    <t xml:space="preserve">حمید قربانی</t>
  </si>
  <si>
    <t xml:space="preserve">حنانه خیرالهی</t>
  </si>
  <si>
    <t xml:space="preserve">رویا نادرالوارس</t>
  </si>
  <si>
    <t xml:space="preserve">زهره صفری</t>
  </si>
  <si>
    <t xml:space="preserve">سارا غفاری</t>
  </si>
  <si>
    <t xml:space="preserve">سبا نصرالهی</t>
  </si>
  <si>
    <t xml:space="preserve">سپیده عبدی پور</t>
  </si>
  <si>
    <t xml:space="preserve">سعید براری</t>
  </si>
  <si>
    <t xml:space="preserve">سعید عزیزی میرحسنی</t>
  </si>
  <si>
    <t xml:space="preserve">سید امیررضا فیض آبادی</t>
  </si>
  <si>
    <t xml:space="preserve">شاهین صباحی</t>
  </si>
  <si>
    <t xml:space="preserve">عباس نصیری</t>
  </si>
  <si>
    <t xml:space="preserve">فاطمه خوشرودی</t>
  </si>
  <si>
    <t xml:space="preserve">فربد طاهر پور</t>
  </si>
  <si>
    <t xml:space="preserve">فرناز اشجع</t>
  </si>
  <si>
    <t xml:space="preserve">لیلی خالقی</t>
  </si>
  <si>
    <t xml:space="preserve">ماهرخ باوکان</t>
  </si>
  <si>
    <t xml:space="preserve">مجتبی درزی</t>
  </si>
  <si>
    <t xml:space="preserve">مجتبی رفیع زاده بنادک</t>
  </si>
  <si>
    <t xml:space="preserve">مرکز صدور کاظمی | فائزه ابراهیمی</t>
  </si>
  <si>
    <t xml:space="preserve">مرکز صدور مجید رضوانی</t>
  </si>
  <si>
    <t xml:space="preserve">مریم محمدی</t>
  </si>
  <si>
    <t xml:space="preserve">ملیکا جعفریان</t>
  </si>
  <si>
    <t xml:space="preserve">مهدی سالاری</t>
  </si>
  <si>
    <t xml:space="preserve">مهدیه داودی</t>
  </si>
  <si>
    <t xml:space="preserve">مهناز کبریتی</t>
  </si>
  <si>
    <t xml:space="preserve">مینا صفرپور</t>
  </si>
  <si>
    <t xml:space="preserve">نگین سالاریان نژاد</t>
  </si>
  <si>
    <t xml:space="preserve">هاجر کمالی</t>
  </si>
  <si>
    <t xml:space="preserve">یاسین صحرایی</t>
  </si>
  <si>
    <t xml:space="preserve">مرکز صدور خوش سیرت | فاطمه خوش سیرت</t>
  </si>
  <si>
    <t xml:space="preserve">احسان محمدی</t>
  </si>
  <si>
    <t xml:space="preserve">امیر حسین سبزیانی داویجانی</t>
  </si>
  <si>
    <t xml:space="preserve">امین سلیمانی فرد</t>
  </si>
  <si>
    <t xml:space="preserve">بهار آبنار</t>
  </si>
  <si>
    <t xml:space="preserve">پریسا شعبانی</t>
  </si>
  <si>
    <t xml:space="preserve">حدیثه آباده</t>
  </si>
  <si>
    <t xml:space="preserve">حسین موذنی فرد</t>
  </si>
  <si>
    <t xml:space="preserve">زهرا رحیمی احسان</t>
  </si>
  <si>
    <t xml:space="preserve">زهرا صحرایی</t>
  </si>
  <si>
    <t xml:space="preserve">سپیده گودرزی</t>
  </si>
  <si>
    <t xml:space="preserve">ستایش ارفع نیا</t>
  </si>
  <si>
    <t xml:space="preserve">شیرین امیری</t>
  </si>
  <si>
    <t xml:space="preserve">صبا اکبری</t>
  </si>
  <si>
    <t xml:space="preserve">علی کمالی</t>
  </si>
  <si>
    <t xml:space="preserve">غزل فردی تبریزی</t>
  </si>
  <si>
    <t xml:space="preserve">فاطمه شصتی</t>
  </si>
  <si>
    <t xml:space="preserve">کیان مهر شجاعی</t>
  </si>
  <si>
    <t xml:space="preserve">لیلا حسن نیا</t>
  </si>
  <si>
    <t xml:space="preserve">لیلا عظیمی</t>
  </si>
  <si>
    <t xml:space="preserve">محدثه کهن</t>
  </si>
  <si>
    <t xml:space="preserve">مرکز صدور خوش سیرت | آیدا افشاری</t>
  </si>
  <si>
    <t xml:space="preserve">مرکز صدور رضوانی | محدثه رضوانی</t>
  </si>
  <si>
    <t xml:space="preserve">مرکز صدور غفوری | حسن غفوری</t>
  </si>
  <si>
    <t xml:space="preserve">مرکز صدور کاظمی | امیرحسین ارجمند</t>
  </si>
  <si>
    <t xml:space="preserve">مرکز صدور کاظمی | ویدا نوری</t>
  </si>
  <si>
    <t xml:space="preserve">مریم احمدی</t>
  </si>
  <si>
    <t xml:space="preserve">مریم منیری</t>
  </si>
  <si>
    <t xml:space="preserve">مژگان فدایی منفرد</t>
  </si>
  <si>
    <t xml:space="preserve">ملیکا مقدم</t>
  </si>
  <si>
    <t xml:space="preserve">مهدیه حسینی</t>
  </si>
  <si>
    <t xml:space="preserve">مهدیه زند</t>
  </si>
  <si>
    <t xml:space="preserve">موژان رونقی</t>
  </si>
  <si>
    <t xml:space="preserve">مونا منصوری</t>
  </si>
  <si>
    <t xml:space="preserve">ناهید عباس زاده</t>
  </si>
  <si>
    <t xml:space="preserve">نرگس کدخدایی</t>
  </si>
  <si>
    <t xml:space="preserve">نیلوفر آقاموسی</t>
  </si>
  <si>
    <t xml:space="preserve">نیلوفر عباس نژاد کنجین</t>
  </si>
  <si>
    <t xml:space="preserve">نیلوفر لشنی</t>
  </si>
  <si>
    <t xml:space="preserve">اکبر یوسفی</t>
  </si>
  <si>
    <t xml:space="preserve">الهه ذبیحی</t>
  </si>
  <si>
    <t xml:space="preserve">بهناز رستگار رامشه</t>
  </si>
  <si>
    <t xml:space="preserve">پرنیان امیری</t>
  </si>
  <si>
    <t xml:space="preserve">پریسا تعبدی</t>
  </si>
  <si>
    <t xml:space="preserve">پویا رحمانی</t>
  </si>
  <si>
    <t xml:space="preserve">حسین دین محمدی</t>
  </si>
  <si>
    <t xml:space="preserve">حمید نوری</t>
  </si>
  <si>
    <t xml:space="preserve">دانیال سعادت منش</t>
  </si>
  <si>
    <t xml:space="preserve">درسا ناصری</t>
  </si>
  <si>
    <t xml:space="preserve">زهره خانزادی</t>
  </si>
  <si>
    <t xml:space="preserve">سپیده ابراهیم پور مقدم</t>
  </si>
  <si>
    <t xml:space="preserve">سعید اسلاملوئیان</t>
  </si>
  <si>
    <t xml:space="preserve">سکینه کوپاهی</t>
  </si>
  <si>
    <t xml:space="preserve">سمانه بروغنی</t>
  </si>
  <si>
    <t xml:space="preserve">سهیلا ناکینی</t>
  </si>
  <si>
    <t xml:space="preserve">سید مهدی موسوی سوها</t>
  </si>
  <si>
    <t xml:space="preserve">سینا گودرزی</t>
  </si>
  <si>
    <t xml:space="preserve">شقایق طهماسبی</t>
  </si>
  <si>
    <t xml:space="preserve">شیما ساعدی</t>
  </si>
  <si>
    <t xml:space="preserve">فاطمه امان آبادی</t>
  </si>
  <si>
    <t xml:space="preserve">لیلا یگانه</t>
  </si>
  <si>
    <t xml:space="preserve">محمد علی عظیمی</t>
  </si>
  <si>
    <t xml:space="preserve">محمد کاظمی</t>
  </si>
  <si>
    <t xml:space="preserve">مرکز صدور افسر | علی قاسمی</t>
  </si>
  <si>
    <t xml:space="preserve">مرکز صدور رضوانی | مینا آقاجانی</t>
  </si>
  <si>
    <t xml:space="preserve">مرکز صدور شاه محمدی | مهدیس کامران</t>
  </si>
  <si>
    <t xml:space="preserve">مریم جلالیان</t>
  </si>
  <si>
    <t xml:space="preserve">مریم خسرو جردی</t>
  </si>
  <si>
    <t xml:space="preserve">معصومه مهری</t>
  </si>
  <si>
    <t xml:space="preserve">مهدی خاوری</t>
  </si>
  <si>
    <t xml:space="preserve">مهیار مصطفی نژاد</t>
  </si>
  <si>
    <t xml:space="preserve">میلاد زدوار</t>
  </si>
  <si>
    <t xml:space="preserve">هیوا شیری</t>
  </si>
  <si>
    <t xml:space="preserve">مرکز صدور شاه محمدی | مبینا یارمحمدی</t>
  </si>
  <si>
    <t xml:space="preserve">مرکز صدور کیانی| تانیا کیانی بیگدلی</t>
  </si>
  <si>
    <t xml:space="preserve">بهار آرین فر</t>
  </si>
  <si>
    <t xml:space="preserve">پروین شجاعی</t>
  </si>
  <si>
    <t xml:space="preserve">حنانه سلامی</t>
  </si>
  <si>
    <t xml:space="preserve">ریحانه روئین تن</t>
  </si>
  <si>
    <t xml:space="preserve">زهرا حبیبی مجد</t>
  </si>
  <si>
    <t xml:space="preserve">شراره نجاتی</t>
  </si>
  <si>
    <t xml:space="preserve">شقایق جوشقانی</t>
  </si>
  <si>
    <t xml:space="preserve">غلامرضا رضایی گرجان</t>
  </si>
  <si>
    <t xml:space="preserve">فائزه سبزیانی داویجانی</t>
  </si>
  <si>
    <t xml:space="preserve">فاطمه امیری</t>
  </si>
  <si>
    <t xml:space="preserve">فاطمه براری</t>
  </si>
  <si>
    <t xml:space="preserve">فاطمه منیری</t>
  </si>
  <si>
    <t xml:space="preserve">لیلا پاشایی</t>
  </si>
  <si>
    <t xml:space="preserve">مبینا کریمی</t>
  </si>
  <si>
    <t xml:space="preserve">مجتبی بابالو</t>
  </si>
  <si>
    <t xml:space="preserve">محمد حسین زمانیان</t>
  </si>
  <si>
    <t xml:space="preserve">مرکز صدور افسر | مانلی خالدیان</t>
  </si>
  <si>
    <t xml:space="preserve">مرکز صدور امیرحسین خوش سیرت</t>
  </si>
  <si>
    <t xml:space="preserve">مرکز صدور پیرهادی | زهرا پیرهادی</t>
  </si>
  <si>
    <t xml:space="preserve">مرکز صدور خوش سیرت | میثم قمری</t>
  </si>
  <si>
    <t xml:space="preserve">مرکز صدور رضوانی | متین آقاجانی</t>
  </si>
  <si>
    <t xml:space="preserve">مرکز صدور علی دادی | علی دانایی</t>
  </si>
  <si>
    <t xml:space="preserve">مرکز صدور کاظمی | اعظم قنبری</t>
  </si>
  <si>
    <t xml:space="preserve">مرکز صدور یارعلی | متین کیومرثی</t>
  </si>
  <si>
    <t xml:space="preserve">مریم محمودی</t>
  </si>
  <si>
    <t xml:space="preserve">مهدی ایزدی</t>
  </si>
  <si>
    <t xml:space="preserve">مهدی عابدینی</t>
  </si>
  <si>
    <t xml:space="preserve">مهدی عظیمی</t>
  </si>
  <si>
    <t xml:space="preserve">نازنین خالقی</t>
  </si>
  <si>
    <t xml:space="preserve">نازنین نیکوبین</t>
  </si>
  <si>
    <t xml:space="preserve">نرگس احمدی</t>
  </si>
  <si>
    <t xml:space="preserve">نرمین سرمستی</t>
  </si>
  <si>
    <t xml:space="preserve">نوشین عامری</t>
  </si>
  <si>
    <t xml:space="preserve">وحید شجاعی</t>
  </si>
  <si>
    <t xml:space="preserve">مرکز صدور خوش سیرت | مهتاب سهیل رجبی</t>
  </si>
  <si>
    <t xml:space="preserve">مرکز صدور امیرموسوی| سید مهدی امیرموسوی</t>
  </si>
  <si>
    <t xml:space="preserve">مرکز صدور پیرهادی | نسترن محبی</t>
  </si>
  <si>
    <t xml:space="preserve">زهره علی عسکری فرد</t>
  </si>
  <si>
    <t xml:space="preserve">امیر رضا نوروزی</t>
  </si>
  <si>
    <t xml:space="preserve">Operator name</t>
  </si>
  <si>
    <t xml:space="preserve">Non financial Bugs</t>
  </si>
  <si>
    <t xml:space="preserve">Financial Bugs</t>
  </si>
  <si>
    <t xml:space="preserve">Effective Bugs</t>
  </si>
  <si>
    <t xml:space="preserve">N.F.B count</t>
  </si>
  <si>
    <t xml:space="preserve">F.B count</t>
  </si>
  <si>
    <t xml:space="preserve">E.B count</t>
  </si>
  <si>
    <t xml:space="preserve">Total</t>
  </si>
  <si>
    <t xml:space="preserve">نام شخص</t>
  </si>
  <si>
    <t xml:space="preserve">شیفت</t>
  </si>
  <si>
    <t xml:space="preserve">شرکت اصلی</t>
  </si>
  <si>
    <t xml:space="preserve">آیا دو شیفت هست؟</t>
  </si>
  <si>
    <t xml:space="preserve">صبح</t>
  </si>
  <si>
    <t xml:space="preserve">عصر</t>
  </si>
  <si>
    <t xml:space="preserve">محمد طاهری</t>
  </si>
  <si>
    <t xml:space="preserve">اکانت آموزشی</t>
  </si>
  <si>
    <t xml:space="preserve">مرکز صدور حمید طیبی</t>
  </si>
  <si>
    <t xml:space="preserve">مرکز صدور رضوانی | داوود رضوانی</t>
  </si>
  <si>
    <t xml:space="preserve">مرکز صدور خوش سیرت | امیر مهدی خوش سیرت</t>
  </si>
  <si>
    <t xml:space="preserve">مرکز صدور کیانی | شایان کیانی بیگدلی</t>
  </si>
  <si>
    <t xml:space="preserve">مرکز صدور غفوری | سمیه غفوری</t>
  </si>
  <si>
    <t xml:space="preserve">جواد پور نقش بند</t>
  </si>
  <si>
    <t xml:space="preserve">مرکز صدور امیرموسوی| فاطمه رحیمی زاده</t>
  </si>
  <si>
    <t xml:space="preserve">علی کریمی</t>
  </si>
  <si>
    <t xml:space="preserve">مرکز صدور امیرموسوی| ستایش رهاوی</t>
  </si>
  <si>
    <t xml:space="preserve">فهیمه آتش دهقان</t>
  </si>
  <si>
    <t xml:space="preserve">مرکز صدور امیرموسوی| ملیکا رهاوی</t>
  </si>
  <si>
    <t xml:space="preserve">صبج</t>
  </si>
  <si>
    <t xml:space="preserve">مرکز صدور کیانی| ثریا کیانی بیگدلی</t>
  </si>
  <si>
    <t xml:space="preserve">مژگان اسدپور</t>
  </si>
  <si>
    <t xml:space="preserve">سارا قیطاسی</t>
  </si>
  <si>
    <t xml:space="preserve">سینا غضنفری</t>
  </si>
  <si>
    <t xml:space="preserve">آروین صالحی</t>
  </si>
  <si>
    <t xml:space="preserve">رقیه تمدن</t>
  </si>
  <si>
    <t xml:space="preserve">سپهر سیف الهی</t>
  </si>
  <si>
    <t xml:space="preserve">مریم خوشبازان</t>
  </si>
  <si>
    <t xml:space="preserve">شایان لعلی بشارک</t>
  </si>
  <si>
    <t xml:space="preserve">مبینا اعتمادی پویا</t>
  </si>
  <si>
    <t xml:space="preserve">شیفت / شرکت</t>
  </si>
  <si>
    <t xml:space="preserve">-</t>
  </si>
  <si>
    <t xml:space="preserve">نوین</t>
  </si>
  <si>
    <t xml:space="preserve">ما</t>
  </si>
  <si>
    <t xml:space="preserve">تجارت نو</t>
  </si>
  <si>
    <t xml:space="preserve">معلم</t>
  </si>
  <si>
    <t xml:space="preserve">کوثر</t>
  </si>
  <si>
    <t xml:space="preserve">آسیا</t>
  </si>
  <si>
    <t xml:space="preserve">operator_name</t>
  </si>
  <si>
    <t xml:space="preserve">avg_issuance_minutes</t>
  </si>
  <si>
    <t xml:space="preserve">Salary</t>
  </si>
  <si>
    <t xml:space="preserve">Data</t>
  </si>
  <si>
    <t xml:space="preserve">COUNTA of Operator</t>
  </si>
  <si>
    <t xml:space="preserve">AVERAGE of average Score</t>
  </si>
  <si>
    <t xml:space="preserve">(empty)</t>
  </si>
  <si>
    <t xml:space="preserve">Total Result</t>
  </si>
  <si>
    <t xml:space="preserve">مهدی حیدری VIP</t>
  </si>
  <si>
    <t xml:space="preserve">صدور الحاقیه | درسا خوشرو</t>
  </si>
  <si>
    <t xml:space="preserve">علی شاهدی (صدور حضوری)</t>
  </si>
  <si>
    <t xml:space="preserve">دنیا نوروزی (صدور حضوری )</t>
  </si>
  <si>
    <t xml:space="preserve">شکیبا جعفری (صدور حضوری )</t>
  </si>
  <si>
    <t xml:space="preserve">صدور الحاقیه | دریا فضلی</t>
  </si>
  <si>
    <t xml:space="preserve">صدور الحاقیه | آرش امامی</t>
  </si>
  <si>
    <t xml:space="preserve">ملینا احمدی (صدور حضوری)</t>
  </si>
  <si>
    <t xml:space="preserve">الهه احمدیان (صدور حضوری)</t>
  </si>
  <si>
    <t xml:space="preserve">صدور الحاقیه | محمدمهدی صفری</t>
  </si>
  <si>
    <t xml:space="preserve">صدور الحاقیه | امین سقائی</t>
  </si>
  <si>
    <t xml:space="preserve">الهام اصلی</t>
  </si>
  <si>
    <t xml:space="preserve">علی بوستانی ماوی</t>
  </si>
  <si>
    <t xml:space="preserve">محمد جعفری</t>
  </si>
  <si>
    <t xml:space="preserve">علیرضا طهوری (صدور حضوری)</t>
  </si>
  <si>
    <t xml:space="preserve">صدور الحاقیه | منا سبزی</t>
  </si>
  <si>
    <t xml:space="preserve">مرکز صدور رضوانی | آموزش</t>
  </si>
  <si>
    <t xml:space="preserve">صدور الحاقیه | محدثه معصومی زاده</t>
  </si>
  <si>
    <t xml:space="preserve">بیتا مقصودی (صدور حضوری)</t>
  </si>
  <si>
    <t xml:space="preserve">پانیذ کریمی (صدور حضوری)</t>
  </si>
  <si>
    <t xml:space="preserve">صدور الحاقیه | حانیه قلی پور</t>
  </si>
  <si>
    <t xml:space="preserve">یگانه اسم خانی (صدور حضوری)</t>
  </si>
  <si>
    <t xml:space="preserve">شهرزاد مختاری</t>
  </si>
  <si>
    <t xml:space="preserve">صدور الحاقیه | فاطمه گودرزی</t>
  </si>
  <si>
    <t xml:space="preserve">صدور الحاقیه | زهرا سلطانی</t>
  </si>
  <si>
    <t xml:space="preserve">صدور الحاقیه | نرگس باستانی</t>
  </si>
  <si>
    <t xml:space="preserve">فاطمه صادقی</t>
  </si>
  <si>
    <t xml:space="preserve">صدور الحاقیه | کیمیا امیری</t>
  </si>
  <si>
    <t xml:space="preserve">صدور الحاقیه | آرزو عباس پور</t>
  </si>
  <si>
    <t xml:space="preserve">سینا صفر</t>
  </si>
  <si>
    <t xml:space="preserve">OCT Score(min)</t>
  </si>
  <si>
    <t xml:space="preserve">Issuing Score</t>
  </si>
  <si>
    <t xml:space="preserve">&lt;=20</t>
  </si>
  <si>
    <t xml:space="preserve">&gt;179</t>
  </si>
  <si>
    <t xml:space="preserve">روزانه 30 به بالا</t>
  </si>
  <si>
    <t xml:space="preserve">&gt;20</t>
  </si>
  <si>
    <t xml:space="preserve">&gt;149</t>
  </si>
  <si>
    <t xml:space="preserve">روزانه 25 تا 30</t>
  </si>
  <si>
    <t xml:space="preserve">&gt;26</t>
  </si>
  <si>
    <t xml:space="preserve">&gt;119</t>
  </si>
  <si>
    <t xml:space="preserve">روزانه 20 تا 25</t>
  </si>
  <si>
    <t xml:space="preserve">&gt;32</t>
  </si>
  <si>
    <t xml:space="preserve">&gt;89</t>
  </si>
  <si>
    <t xml:space="preserve">روزانه 15 تا 20</t>
  </si>
  <si>
    <t xml:space="preserve">&gt;39</t>
  </si>
  <si>
    <t xml:space="preserve">&gt;59</t>
  </si>
  <si>
    <t xml:space="preserve">روزانه 10 تا 15</t>
  </si>
  <si>
    <t xml:space="preserve">&lt;=59</t>
  </si>
  <si>
    <t xml:space="preserve">روزانه زیر 10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</si>
</sst>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"/>
    <numFmt numFmtId="167" formatCode="0.00"/>
  </numFmts>
  <fonts count="1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6"/>
      <color rgb="FFFFFFFF"/>
      <name val="Vazirmatn"/>
      <family val="0"/>
      <charset val="1"/>
    </font>
    <font>
      <b val="true"/>
      <sz val="12"/>
      <name val="Vazirmatn"/>
      <family val="0"/>
      <charset val="1"/>
    </font>
    <font>
      <b val="true"/>
      <sz val="11"/>
      <color rgb="FFFFFFFF"/>
      <name val="Vazirmatn"/>
      <family val="0"/>
      <charset val="1"/>
    </font>
    <font>
      <sz val="10"/>
      <name val="Vazirmatn"/>
      <family val="0"/>
      <charset val="1"/>
    </font>
    <font>
      <b val="true"/>
      <sz val="18"/>
      <color rgb="FF000000"/>
      <name val="Arial"/>
      <family val="2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  <font>
      <sz val="11"/>
      <color theme="1"/>
      <name val="Vazirmatn"/>
      <family val="0"/>
      <charset val="1"/>
    </font>
    <font>
      <sz val="10"/>
      <color rgb="FF000000"/>
      <name val="Vazirmatn"/>
      <family val="0"/>
      <charset val="1"/>
    </font>
    <font>
      <sz val="10"/>
      <color theme="1"/>
      <name val="Vazirmatn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Vazirmatn"/>
      <family val="0"/>
      <charset val="1"/>
    </font>
    <font>
      <sz val="9"/>
      <color rgb="FF000000"/>
      <name val="Vazirmatn"/>
      <family val="0"/>
      <charset val="1"/>
    </font>
    <font>
      <sz val="11"/>
      <color rgb="FF000000"/>
      <name val="Vazirmatn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3A76D9"/>
      </patternFill>
    </fill>
    <fill>
      <patternFill patternType="solid">
        <fgColor rgb="FFB4A7D6"/>
        <bgColor rgb="FFB3B3B3"/>
      </patternFill>
    </fill>
    <fill>
      <patternFill patternType="solid">
        <fgColor rgb="FFD5A6BD"/>
        <bgColor rgb="FFEA9999"/>
      </patternFill>
    </fill>
    <fill>
      <patternFill patternType="solid">
        <fgColor rgb="FF9FC5E8"/>
        <bgColor rgb="FFA2C4C9"/>
      </patternFill>
    </fill>
    <fill>
      <patternFill patternType="solid">
        <fgColor rgb="FFD9EAD3"/>
        <bgColor rgb="FFD9D9D9"/>
      </patternFill>
    </fill>
    <fill>
      <patternFill patternType="solid">
        <fgColor rgb="FFB6D7A8"/>
        <bgColor rgb="FFA2C4C9"/>
      </patternFill>
    </fill>
    <fill>
      <patternFill patternType="solid">
        <fgColor theme="6"/>
        <bgColor rgb="FFDFA703"/>
      </patternFill>
    </fill>
    <fill>
      <patternFill patternType="solid">
        <fgColor theme="0"/>
        <bgColor rgb="FFF3F3F3"/>
      </patternFill>
    </fill>
    <fill>
      <patternFill patternType="solid">
        <fgColor rgb="FFA2C4C9"/>
        <bgColor rgb="FF9FC5E8"/>
      </patternFill>
    </fill>
    <fill>
      <patternFill patternType="solid">
        <fgColor rgb="FFD9D2E9"/>
        <bgColor rgb="FFD9D9D9"/>
      </patternFill>
    </fill>
    <fill>
      <patternFill patternType="solid">
        <fgColor rgb="FFFFD966"/>
        <bgColor rgb="FFFBCE87"/>
      </patternFill>
    </fill>
    <fill>
      <patternFill patternType="solid">
        <fgColor rgb="FFFF6D01"/>
        <bgColor rgb="FFE36100"/>
      </patternFill>
    </fill>
    <fill>
      <patternFill patternType="solid">
        <fgColor rgb="FFFF0000"/>
        <bgColor rgb="FFD03B2F"/>
      </patternFill>
    </fill>
    <fill>
      <patternFill patternType="solid">
        <fgColor rgb="FFCFE2F3"/>
        <bgColor rgb="FFC9DAF8"/>
      </patternFill>
    </fill>
    <fill>
      <patternFill patternType="solid">
        <fgColor rgb="FFF3F3F3"/>
        <bgColor rgb="FFFFFFFF"/>
      </patternFill>
    </fill>
    <fill>
      <patternFill patternType="solid">
        <fgColor rgb="FFFFF2CC"/>
        <bgColor rgb="FFF3F3F3"/>
      </patternFill>
    </fill>
    <fill>
      <patternFill patternType="solid">
        <fgColor rgb="FFC9DAF8"/>
        <bgColor rgb="FFCFE2F3"/>
      </patternFill>
    </fill>
    <fill>
      <patternFill patternType="solid">
        <fgColor rgb="FFEAD1DC"/>
        <bgColor rgb="FFD9D2E9"/>
      </patternFill>
    </fill>
    <fill>
      <patternFill patternType="solid">
        <fgColor rgb="FFEA9999"/>
        <bgColor rgb="FFEF908C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5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2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3">
    <dxf>
      <fill>
        <patternFill patternType="solid">
          <fgColor rgb="FFA2C4C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D9D9D9"/>
      <rgbColor rgb="FFFF00FF"/>
      <rgbColor rgb="FFD9D2E9"/>
      <rgbColor rgb="FF800000"/>
      <rgbColor rgb="FF008000"/>
      <rgbColor rgb="FF000080"/>
      <rgbColor rgb="FFE36100"/>
      <rgbColor rgb="FF800080"/>
      <rgbColor rgb="FF008080"/>
      <rgbColor rgb="FFB3B3B3"/>
      <rgbColor rgb="FFD5A6BD"/>
      <rgbColor rgb="FF8FACF6"/>
      <rgbColor rgb="FF993366"/>
      <rgbColor rgb="FFFFF2CC"/>
      <rgbColor rgb="FFCFE2F3"/>
      <rgbColor rgb="FF660066"/>
      <rgbColor rgb="FFEF908C"/>
      <rgbColor rgb="FF2E75B6"/>
      <rgbColor rgb="FFC9DAF8"/>
      <rgbColor rgb="FF000080"/>
      <rgbColor rgb="FFFF00FF"/>
      <rgbColor rgb="FFEAD1DC"/>
      <rgbColor rgb="FF00FFFF"/>
      <rgbColor rgb="FF800080"/>
      <rgbColor rgb="FF800000"/>
      <rgbColor rgb="FF008080"/>
      <rgbColor rgb="FF0000FF"/>
      <rgbColor rgb="FFA2C4C9"/>
      <rgbColor rgb="FFF3F3F3"/>
      <rgbColor rgb="FFD9EAD3"/>
      <rgbColor rgb="FFFFD966"/>
      <rgbColor rgb="FF9FC5E8"/>
      <rgbColor rgb="FFEA9999"/>
      <rgbColor rgb="FFB4A7D6"/>
      <rgbColor rgb="FFFBCE87"/>
      <rgbColor rgb="FF3A76D9"/>
      <rgbColor rgb="FF3EA8B0"/>
      <rgbColor rgb="FFB6D7A8"/>
      <rgbColor rgb="FFFBBC04"/>
      <rgbColor rgb="FFDFA703"/>
      <rgbColor rgb="FFFF6D01"/>
      <rgbColor rgb="FF4285F4"/>
      <rgbColor rgb="FF8CC195"/>
      <rgbColor rgb="FF003366"/>
      <rgbColor rgb="FF2E9549"/>
      <rgbColor rgb="FF003300"/>
      <rgbColor rgb="FF333300"/>
      <rgbColor rgb="FFD03B2F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<Relationship Id="rId13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1800" spc="-1" strike="noStrike">
                <a:solidFill>
                  <a:srgbClr val="000000"/>
                </a:solidFill>
                <a:latin typeface="Arial"/>
                <a:ea typeface="Arial"/>
              </a:rPr>
              <a:t>میانگین امتیاز بر اساس سرگروه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Dashboard!E4</c:f>
              <c:strCache>
                <c:ptCount val="1"/>
                <c:pt idx="0">
                  <c:v>میانگین امتیاز</c:v>
                </c:pt>
              </c:strCache>
            </c:strRef>
          </c:tx>
          <c:spPr>
            <a:solidFill>
              <a:srgbClr val="4285f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Dashboard!$A$5:$A$13</c:f>
              <c:strCache>
                <c:ptCount val="9"/>
                <c:pt idx="0">
                  <c:v>آتنا مالمیر</c:v>
                </c:pt>
                <c:pt idx="1">
                  <c:v>امیررضا فلاح</c:v>
                </c:pt>
                <c:pt idx="2">
                  <c:v>شاهین شهریاری</c:v>
                </c:pt>
                <c:pt idx="3">
                  <c:v>علیرضا زمانیان</c:v>
                </c:pt>
                <c:pt idx="4">
                  <c:v>فاطمه دهقانپور</c:v>
                </c:pt>
                <c:pt idx="5">
                  <c:v>مریم ایزدی - شاهین شهریاری</c:v>
                </c:pt>
                <c:pt idx="6">
                  <c:v>مهدی ایازی</c:v>
                </c:pt>
                <c:pt idx="7">
                  <c:v>مهدی فراهانی</c:v>
                </c:pt>
                <c:pt idx="8">
                  <c:v>هومن قضائی</c:v>
                </c:pt>
              </c:strCache>
            </c:strRef>
          </c:cat>
          <c:val>
            <c:numRef>
              <c:f>Dashboard!$E$5:$E$13</c:f>
              <c:numCache>
                <c:formatCode>0.00</c:formatCode>
                <c:ptCount val="9"/>
                <c:pt idx="0">
                  <c:v>2.52976190476191</c:v>
                </c:pt>
                <c:pt idx="1">
                  <c:v>2.1328125</c:v>
                </c:pt>
                <c:pt idx="2">
                  <c:v>1.5</c:v>
                </c:pt>
                <c:pt idx="3">
                  <c:v>2.82843137254902</c:v>
                </c:pt>
                <c:pt idx="4">
                  <c:v>2.35227272727273</c:v>
                </c:pt>
                <c:pt idx="5">
                  <c:v>2.50833333333333</c:v>
                </c:pt>
                <c:pt idx="6">
                  <c:v>2.25</c:v>
                </c:pt>
                <c:pt idx="7">
                  <c:v>2.81111111111111</c:v>
                </c:pt>
                <c:pt idx="8">
                  <c:v>1.41666666666667</c:v>
                </c:pt>
              </c:numCache>
            </c:numRef>
          </c:val>
        </c:ser>
        <c:gapWidth val="150"/>
        <c:overlap val="0"/>
        <c:axId val="52613872"/>
        <c:axId val="28445654"/>
      </c:barChart>
      <c:catAx>
        <c:axId val="5261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28445654"/>
        <c:crosses val="autoZero"/>
        <c:auto val="1"/>
        <c:lblAlgn val="ctr"/>
        <c:lblOffset val="100"/>
        <c:noMultiLvlLbl val="0"/>
      </c:catAx>
      <c:valAx>
        <c:axId val="2844565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امتیاز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526138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1800" spc="-1" strike="noStrike">
                <a:solidFill>
                  <a:srgbClr val="000000"/>
                </a:solidFill>
                <a:latin typeface="Arial"/>
                <a:ea typeface="Arial"/>
              </a:rPr>
              <a:t>مجموع سفارشات بر اساس سرگروه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Dashboard!C4</c:f>
              <c:strCache>
                <c:ptCount val="1"/>
                <c:pt idx="0">
                  <c:v>مجموع سفارشات</c:v>
                </c:pt>
              </c:strCache>
            </c:strRef>
          </c:tx>
          <c:spPr>
            <a:solidFill>
              <a:srgbClr val="4285f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Dashboard!$A$5:$A$13</c:f>
              <c:strCache>
                <c:ptCount val="9"/>
                <c:pt idx="0">
                  <c:v>آتنا مالمیر</c:v>
                </c:pt>
                <c:pt idx="1">
                  <c:v>امیررضا فلاح</c:v>
                </c:pt>
                <c:pt idx="2">
                  <c:v>شاهین شهریاری</c:v>
                </c:pt>
                <c:pt idx="3">
                  <c:v>علیرضا زمانیان</c:v>
                </c:pt>
                <c:pt idx="4">
                  <c:v>فاطمه دهقانپور</c:v>
                </c:pt>
                <c:pt idx="5">
                  <c:v>مریم ایزدی - شاهین شهریاری</c:v>
                </c:pt>
                <c:pt idx="6">
                  <c:v>مهدی ایازی</c:v>
                </c:pt>
                <c:pt idx="7">
                  <c:v>مهدی فراهانی</c:v>
                </c:pt>
                <c:pt idx="8">
                  <c:v>هومن قضائی</c:v>
                </c:pt>
              </c:strCache>
            </c:strRef>
          </c:cat>
          <c:val>
            <c:numRef>
              <c:f>Dashboard!$C$5:$C$13</c:f>
              <c:numCache>
                <c:formatCode>General</c:formatCode>
                <c:ptCount val="9"/>
                <c:pt idx="0">
                  <c:v>8361</c:v>
                </c:pt>
                <c:pt idx="1">
                  <c:v>5488</c:v>
                </c:pt>
                <c:pt idx="2">
                  <c:v>46</c:v>
                </c:pt>
                <c:pt idx="3">
                  <c:v>12812</c:v>
                </c:pt>
                <c:pt idx="4">
                  <c:v>9632</c:v>
                </c:pt>
                <c:pt idx="5">
                  <c:v>5799</c:v>
                </c:pt>
                <c:pt idx="6">
                  <c:v>6660</c:v>
                </c:pt>
                <c:pt idx="7">
                  <c:v>10746</c:v>
                </c:pt>
                <c:pt idx="8">
                  <c:v>347</c:v>
                </c:pt>
              </c:numCache>
            </c:numRef>
          </c:val>
        </c:ser>
        <c:gapWidth val="150"/>
        <c:overlap val="0"/>
        <c:axId val="92602176"/>
        <c:axId val="79931415"/>
      </c:barChart>
      <c:catAx>
        <c:axId val="9260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79931415"/>
        <c:crosses val="autoZero"/>
        <c:auto val="1"/>
        <c:lblAlgn val="ctr"/>
        <c:lblOffset val="100"/>
        <c:noMultiLvlLbl val="0"/>
      </c:catAx>
      <c:valAx>
        <c:axId val="799314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سفارش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926021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1800" spc="-1" strike="noStrike">
                <a:solidFill>
                  <a:srgbClr val="000000"/>
                </a:solidFill>
                <a:latin typeface="Arial"/>
                <a:ea typeface="Arial"/>
              </a:rPr>
              <a:t>میانگین OCT بر اساس سرگروه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Dashboard!D4</c:f>
              <c:strCache>
                <c:ptCount val="1"/>
                <c:pt idx="0">
                  <c:v>میانگین OCT (دقیقه)</c:v>
                </c:pt>
              </c:strCache>
            </c:strRef>
          </c:tx>
          <c:spPr>
            <a:solidFill>
              <a:srgbClr val="4285f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Dashboard!$A$5:$A$13</c:f>
              <c:strCache>
                <c:ptCount val="9"/>
                <c:pt idx="0">
                  <c:v>آتنا مالمیر</c:v>
                </c:pt>
                <c:pt idx="1">
                  <c:v>امیررضا فلاح</c:v>
                </c:pt>
                <c:pt idx="2">
                  <c:v>شاهین شهریاری</c:v>
                </c:pt>
                <c:pt idx="3">
                  <c:v>علیرضا زمانیان</c:v>
                </c:pt>
                <c:pt idx="4">
                  <c:v>فاطمه دهقانپور</c:v>
                </c:pt>
                <c:pt idx="5">
                  <c:v>مریم ایزدی - شاهین شهریاری</c:v>
                </c:pt>
                <c:pt idx="6">
                  <c:v>مهدی ایازی</c:v>
                </c:pt>
                <c:pt idx="7">
                  <c:v>مهدی فراهانی</c:v>
                </c:pt>
                <c:pt idx="8">
                  <c:v>هومن قضائی</c:v>
                </c:pt>
              </c:strCache>
            </c:strRef>
          </c:cat>
          <c:val>
            <c:numRef>
              <c:f>Dashboard!$D$5:$D$13</c:f>
              <c:numCache>
                <c:formatCode>0.0</c:formatCode>
                <c:ptCount val="9"/>
                <c:pt idx="0">
                  <c:v>28.7375</c:v>
                </c:pt>
                <c:pt idx="1">
                  <c:v>31.80625</c:v>
                </c:pt>
                <c:pt idx="2">
                  <c:v>22.1666666666667</c:v>
                </c:pt>
                <c:pt idx="3">
                  <c:v>28.3927450980392</c:v>
                </c:pt>
                <c:pt idx="4">
                  <c:v>32.9393939393939</c:v>
                </c:pt>
                <c:pt idx="5">
                  <c:v>26.4759259259259</c:v>
                </c:pt>
                <c:pt idx="6">
                  <c:v>37.4137931034483</c:v>
                </c:pt>
                <c:pt idx="7">
                  <c:v>25.6646464646465</c:v>
                </c:pt>
                <c:pt idx="8">
                  <c:v>35.1666666666667</c:v>
                </c:pt>
              </c:numCache>
            </c:numRef>
          </c:val>
        </c:ser>
        <c:gapWidth val="150"/>
        <c:overlap val="0"/>
        <c:axId val="52070961"/>
        <c:axId val="75808621"/>
      </c:barChart>
      <c:catAx>
        <c:axId val="520709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75808621"/>
        <c:crosses val="autoZero"/>
        <c:auto val="1"/>
        <c:lblAlgn val="ctr"/>
        <c:lblOffset val="100"/>
        <c:noMultiLvlLbl val="0"/>
      </c:catAx>
      <c:valAx>
        <c:axId val="7580862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دقیقه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520709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1800" spc="-1" strike="noStrike">
                <a:solidFill>
                  <a:srgbClr val="000000"/>
                </a:solidFill>
                <a:latin typeface="Arial"/>
                <a:ea typeface="Arial"/>
              </a:rPr>
              <a:t>سهم اپراتورها بر اساس شرکت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Dashboard!B17</c:f>
              <c:strCache>
                <c:ptCount val="1"/>
                <c:pt idx="0">
                  <c:v>تعداد اپراتور</c:v>
                </c:pt>
              </c:strCache>
            </c:strRef>
          </c:tx>
          <c:spPr>
            <a:solidFill>
              <a:srgbClr val="4285f4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3a76d9"/>
              </a:solidFill>
              <a:ln w="0">
                <a:noFill/>
              </a:ln>
            </c:spPr>
          </c:dPt>
          <c:dPt>
            <c:idx val="1"/>
            <c:spPr>
              <a:solidFill>
                <a:srgbClr val="d03b2f"/>
              </a:solidFill>
              <a:ln w="0">
                <a:noFill/>
              </a:ln>
            </c:spPr>
          </c:dPt>
          <c:dPt>
            <c:idx val="2"/>
            <c:spPr>
              <a:solidFill>
                <a:srgbClr val="dfa703"/>
              </a:solidFill>
              <a:ln w="0">
                <a:noFill/>
              </a:ln>
            </c:spPr>
          </c:dPt>
          <c:dPt>
            <c:idx val="3"/>
            <c:spPr>
              <a:solidFill>
                <a:srgbClr val="2e9549"/>
              </a:solidFill>
              <a:ln w="0">
                <a:noFill/>
              </a:ln>
            </c:spPr>
          </c:dPt>
          <c:dPt>
            <c:idx val="4"/>
            <c:spPr>
              <a:solidFill>
                <a:srgbClr val="e3610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3ea8b0"/>
              </a:solidFill>
              <a:ln w="0">
                <a:noFill/>
              </a:ln>
            </c:spPr>
          </c:dPt>
          <c:dPt>
            <c:idx val="6"/>
            <c:spPr>
              <a:solidFill>
                <a:srgbClr val="8facf6"/>
              </a:solidFill>
              <a:ln w="0">
                <a:noFill/>
              </a:ln>
            </c:spPr>
          </c:dPt>
          <c:dPt>
            <c:idx val="7"/>
            <c:spPr>
              <a:solidFill>
                <a:srgbClr val="ef908c"/>
              </a:solidFill>
              <a:ln w="0">
                <a:noFill/>
              </a:ln>
            </c:spPr>
          </c:dPt>
          <c:dPt>
            <c:idx val="8"/>
            <c:spPr>
              <a:solidFill>
                <a:srgbClr val="fbce8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8cc195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Dashboard!$A$18:$A$27</c:f>
              <c:strCache>
                <c:ptCount val="10"/>
                <c:pt idx="0">
                  <c:v>آرمان</c:v>
                </c:pt>
                <c:pt idx="1">
                  <c:v>البرز</c:v>
                </c:pt>
                <c:pt idx="2">
                  <c:v>ایران</c:v>
                </c:pt>
                <c:pt idx="3">
                  <c:v>تعاون</c:v>
                </c:pt>
                <c:pt idx="4">
                  <c:v>دی</c:v>
                </c:pt>
                <c:pt idx="5">
                  <c:v>رازی</c:v>
                </c:pt>
                <c:pt idx="6">
                  <c:v>سنتر</c:v>
                </c:pt>
                <c:pt idx="7">
                  <c:v>سینا</c:v>
                </c:pt>
                <c:pt idx="8">
                  <c:v>هوشمند فردا</c:v>
                </c:pt>
                <c:pt idx="9">
                  <c:v>پارسیان</c:v>
                </c:pt>
              </c:strCache>
            </c:strRef>
          </c:cat>
          <c:val>
            <c:numRef>
              <c:f>Dashboard!$B$18:$B$27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38</c:v>
                </c:pt>
                <c:pt idx="3">
                  <c:v>48</c:v>
                </c:pt>
                <c:pt idx="4">
                  <c:v>9</c:v>
                </c:pt>
                <c:pt idx="5">
                  <c:v>74</c:v>
                </c:pt>
                <c:pt idx="6">
                  <c:v>39</c:v>
                </c:pt>
                <c:pt idx="7">
                  <c:v>58</c:v>
                </c:pt>
                <c:pt idx="8">
                  <c:v>11</c:v>
                </c:pt>
                <c:pt idx="9">
                  <c:v>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1800" spc="-1" strike="noStrike">
                <a:solidFill>
                  <a:srgbClr val="000000"/>
                </a:solidFill>
                <a:latin typeface="Arial"/>
                <a:ea typeface="Arial"/>
              </a:rPr>
              <a:t>باگ‌های ثبت‌شده به تفکیک نوع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Dashboard!B31</c:f>
              <c:strCache>
                <c:ptCount val="1"/>
                <c:pt idx="0">
                  <c:v>تعداد</c:v>
                </c:pt>
              </c:strCache>
            </c:strRef>
          </c:tx>
          <c:spPr>
            <a:solidFill>
              <a:srgbClr val="4285f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Dashboard!$A$32:$A$35</c:f>
              <c:strCache>
                <c:ptCount val="4"/>
                <c:pt idx="0">
                  <c:v>غیرمالی (N.F.B)</c:v>
                </c:pt>
                <c:pt idx="1">
                  <c:v>مالی (F.B)</c:v>
                </c:pt>
                <c:pt idx="2">
                  <c:v>اثرگذار (E.B)</c:v>
                </c:pt>
                <c:pt idx="3">
                  <c:v>مجموع کل</c:v>
                </c:pt>
              </c:strCache>
            </c:strRef>
          </c:cat>
          <c:val>
            <c:numRef>
              <c:f>Dashboard!$B$32:$B$35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17708841"/>
        <c:axId val="47888426"/>
      </c:barChart>
      <c:catAx>
        <c:axId val="177088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47888426"/>
        <c:crosses val="autoZero"/>
        <c:auto val="1"/>
        <c:lblAlgn val="ctr"/>
        <c:lblOffset val="100"/>
        <c:noMultiLvlLbl val="0"/>
      </c:catAx>
      <c:valAx>
        <c:axId val="4788842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تعداد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177088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-465480</xdr:colOff>
      <xdr:row>2</xdr:row>
      <xdr:rowOff>0</xdr:rowOff>
    </xdr:from>
    <xdr:to>
      <xdr:col>10</xdr:col>
      <xdr:colOff>0</xdr:colOff>
      <xdr:row>18</xdr:row>
      <xdr:rowOff>11880</xdr:rowOff>
    </xdr:to>
    <xdr:graphicFrame>
      <xdr:nvGraphicFramePr>
        <xdr:cNvPr id="0" name="Chart 1"/>
        <xdr:cNvGraphicFramePr/>
      </xdr:nvGraphicFramePr>
      <xdr:xfrm>
        <a:off x="-11672640" y="57168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-465480</xdr:colOff>
      <xdr:row>19</xdr:row>
      <xdr:rowOff>0</xdr:rowOff>
    </xdr:from>
    <xdr:to>
      <xdr:col>10</xdr:col>
      <xdr:colOff>0</xdr:colOff>
      <xdr:row>35</xdr:row>
      <xdr:rowOff>11520</xdr:rowOff>
    </xdr:to>
    <xdr:graphicFrame>
      <xdr:nvGraphicFramePr>
        <xdr:cNvPr id="1" name="Chart 2"/>
        <xdr:cNvGraphicFramePr/>
      </xdr:nvGraphicFramePr>
      <xdr:xfrm>
        <a:off x="-11672640" y="380988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-465480</xdr:colOff>
      <xdr:row>36</xdr:row>
      <xdr:rowOff>0</xdr:rowOff>
    </xdr:from>
    <xdr:to>
      <xdr:col>10</xdr:col>
      <xdr:colOff>0</xdr:colOff>
      <xdr:row>52</xdr:row>
      <xdr:rowOff>11520</xdr:rowOff>
    </xdr:to>
    <xdr:graphicFrame>
      <xdr:nvGraphicFramePr>
        <xdr:cNvPr id="2" name="Chart 3"/>
        <xdr:cNvGraphicFramePr/>
      </xdr:nvGraphicFramePr>
      <xdr:xfrm>
        <a:off x="-11672640" y="704844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-507600</xdr:colOff>
      <xdr:row>2</xdr:row>
      <xdr:rowOff>0</xdr:rowOff>
    </xdr:from>
    <xdr:to>
      <xdr:col>21</xdr:col>
      <xdr:colOff>0</xdr:colOff>
      <xdr:row>18</xdr:row>
      <xdr:rowOff>11880</xdr:rowOff>
    </xdr:to>
    <xdr:graphicFrame>
      <xdr:nvGraphicFramePr>
        <xdr:cNvPr id="3" name="Chart 4"/>
        <xdr:cNvGraphicFramePr/>
      </xdr:nvGraphicFramePr>
      <xdr:xfrm>
        <a:off x="-18441360" y="57168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-507600</xdr:colOff>
      <xdr:row>19</xdr:row>
      <xdr:rowOff>0</xdr:rowOff>
    </xdr:from>
    <xdr:to>
      <xdr:col>21</xdr:col>
      <xdr:colOff>0</xdr:colOff>
      <xdr:row>35</xdr:row>
      <xdr:rowOff>11520</xdr:rowOff>
    </xdr:to>
    <xdr:graphicFrame>
      <xdr:nvGraphicFramePr>
        <xdr:cNvPr id="4" name="Chart 5"/>
        <xdr:cNvGraphicFramePr/>
      </xdr:nvGraphicFramePr>
      <xdr:xfrm>
        <a:off x="-18441360" y="380988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81" createdVersion="3">
  <cacheSource type="worksheet">
    <worksheetSource ref="B1:K282" sheet="Operators performance"/>
  </cacheSource>
  <cacheFields count="10">
    <cacheField name="Operator" numFmtId="0">
      <sharedItems containsBlank="1" count="280">
        <s v="آبتین جباری"/>
        <s v="آتنا محبی"/>
        <s v="آرزو حمیدی"/>
        <s v="آرزو عسگری"/>
        <s v="آرمان صاحبی"/>
        <s v="آروین کیخسروی"/>
        <s v="آرین بحیرایی"/>
        <s v="آزاده محبی"/>
        <s v="آزیتا عبدی"/>
        <s v="آمنه رنجبری"/>
        <s v="آوا صادق زاده"/>
        <s v="ابوالفضل بختیاری"/>
        <s v="احسان بشیرزاده هنگامی"/>
        <s v="احسان محمدی"/>
        <s v="اعظم خردبیشه"/>
        <s v="افشین میرزاده"/>
        <s v="اکبر یوسفی"/>
        <s v="الناز بهمنی"/>
        <s v="الهه دریکوند"/>
        <s v="الهه ذبیحی"/>
        <s v="امیر حسین پزشک پور"/>
        <s v="امیر حسین رستمی"/>
        <s v="امیر حسین سبزیانی داویجانی"/>
        <s v="امیر حسین گل محمدی"/>
        <s v="امیر قربانی"/>
        <s v="امیر محمد فیروزی"/>
        <s v="امیرحسین کاروند"/>
        <s v="امیرمحمد بادکوبه"/>
        <s v="امیرمحمد نسائی"/>
        <s v="امین سلیمانی فرد"/>
        <s v="بهار آبنار"/>
        <s v="بهار آرین فر"/>
        <s v="بهناز رستگار رامشه"/>
        <s v="پارسا نصراللهی"/>
        <s v="پرنیان امیری"/>
        <s v="پروین شجاعی"/>
        <s v="پریا کشوری"/>
        <s v="پریسا تعبدی"/>
        <s v="پریسا تولائی"/>
        <s v="پریسا شعبانی"/>
        <s v="پویا رحمانی"/>
        <s v="پویا شهبازی"/>
        <s v="تینا مختاری"/>
        <s v="چنور قاسمی"/>
        <s v="حامد رضایی"/>
        <s v="حدیثه آباده"/>
        <s v="حسن خادمی"/>
        <s v="حسین بهزادی مقدم"/>
        <s v="حسین پیرمرادی"/>
        <s v="حسین حقیقت"/>
        <s v="حسین دین محمدی"/>
        <s v="حسین موذنی فرد"/>
        <s v="حمید قربانی"/>
        <s v="حمید نوری"/>
        <s v="حمیدرضا احمدی"/>
        <s v="حنانه حنانی"/>
        <s v="حنانه خیرالهی"/>
        <s v="حنانه سلامی"/>
        <s v="دانیال سعادت منش"/>
        <s v="درسا ناصری"/>
        <s v="دنیا سیسختی"/>
        <s v="رامینا برنجیان"/>
        <s v="رویا خیری"/>
        <s v="رویا زارعی"/>
        <s v="رویا نادرالوارس"/>
        <s v="ریحانه روئین تن"/>
        <s v="ریحانه کمالی"/>
        <s v="زهرا اسماعیلی"/>
        <s v="زهرا اکبری"/>
        <s v="زهرا براتیان"/>
        <s v="زهرا حبیبی مجد"/>
        <s v="زهرا رحیمی احسان"/>
        <s v="زهرا سبزیانی داویجانی"/>
        <s v="زهرا صحرایی"/>
        <s v="زهرا طاهری"/>
        <s v="زهرا عبدی"/>
        <s v="زهرا عسگری"/>
        <s v="زهرا قربانی"/>
        <s v="زهره خانزادی"/>
        <s v="زهره ذبیحی"/>
        <s v="زهره شمس"/>
        <s v="زهره صفری"/>
        <s v="زیبا زارعی"/>
        <s v="زینب جعفری"/>
        <s v="سارا جاوری"/>
        <s v="سارا رسولی"/>
        <s v="سارا غفاری"/>
        <s v="سایه ملکی"/>
        <s v="سبا نصرالهی"/>
        <s v="سپیده ابراهیم پور مقدم"/>
        <s v="سپیده عبدی پور"/>
        <s v="سپیده گودرزی"/>
        <s v="ستایش ارفع نیا"/>
        <s v="سحر خدابنده"/>
        <s v="سعید اسلاملوئیان"/>
        <s v="سعید براری"/>
        <s v="سعید عزیزی میرحسنی"/>
        <s v="سکینه کاروند"/>
        <s v="سکینه کوپاهی"/>
        <s v="سمانه آشوری"/>
        <s v="سمانه بروغنی"/>
        <s v="سمانه فاطمی"/>
        <s v="سمیرا فتاحی"/>
        <s v="سمیه اسماعیلی"/>
        <s v="سهراب ایروانی"/>
        <s v="سهیلا ناکینی"/>
        <s v="سولماز اسدپور"/>
        <s v="سید امیررضا فیض آبادی"/>
        <s v="سید مهدی موسوی سوها"/>
        <s v="سینا گودرزی"/>
        <s v="شاهین صباحی"/>
        <s v="شراره نجاتی"/>
        <s v="شقایق جوشقانی"/>
        <s v="شقایق طهماسبی"/>
        <s v="شیرین امیری"/>
        <s v="شیما ساعدی"/>
        <s v="صادق عبدی"/>
        <s v="صبا اکبری"/>
        <s v="صبا صباغ"/>
        <s v="عالم جعفری"/>
        <s v="عباس نصیری"/>
        <s v="علی جمالی"/>
        <s v="علی رمضی"/>
        <s v="علی قناعتی"/>
        <s v="علی کمالی"/>
        <s v="علیرضا حمید نیا"/>
        <s v="غزل فردی تبریزی"/>
        <s v="غلامرضا رضایی گرجان"/>
        <s v="فائزه سبزیانی داویجانی"/>
        <s v="فاطمه اقلیمی"/>
        <s v="فاطمه الهیاری"/>
        <s v="فاطمه امان آبادی"/>
        <s v="فاطمه امیری"/>
        <s v="فاطمه براری"/>
        <s v="فاطمه بهزادی"/>
        <s v="فاطمه خوئینی"/>
        <s v="فاطمه خوشرودی"/>
        <s v="فاطمه شریفی"/>
        <s v="فاطمه شصتی"/>
        <s v="فاطمه عبدی"/>
        <s v="فاطمه قاسمی"/>
        <s v="فاطمه کمالی"/>
        <s v="فاطمه منیری"/>
        <s v="فاطمه نیکوبین"/>
        <s v="فاطمه هاشمی"/>
        <s v="فربد طاهر پور"/>
        <s v="فرشته باشتنی"/>
        <s v="فرناز اشجع"/>
        <s v="قاسم شکری"/>
        <s v="کوثر بلالی"/>
        <s v="کیان مهر شجاعی"/>
        <s v="کیمیا غلامی"/>
        <s v="لیلا پاشایی"/>
        <s v="لیلا حسن نیا"/>
        <s v="لیلا داوطلب"/>
        <s v="لیلا عظیمی"/>
        <s v="لیلا یگانه"/>
        <s v="لیلی خالقی"/>
        <s v="ماهان عبدی"/>
        <s v="ماهدخت حسنی"/>
        <s v="ماهرخ باوکان"/>
        <s v="مبینا شکری"/>
        <s v="مبینا کریمی"/>
        <s v="مجتبی بابالو"/>
        <s v="مجتبی درزی"/>
        <s v="مجتبی رفیع زاده بنادک"/>
        <s v="محبوبه شیرزاد"/>
        <s v="محدثه کهن"/>
        <s v="محسن عبدی"/>
        <s v="محمد افتخاری"/>
        <s v="محمد حسین زمانیان"/>
        <s v="محمد سعیدیان"/>
        <s v="محمد علی عظیمی"/>
        <s v="محمد کاظمی"/>
        <s v="محمدامین شصتی"/>
        <s v="محمدمهدی پارسا"/>
        <s v="مرتضی احمدی"/>
        <s v="مرکز صدور اسکندری | نرگس حسنی"/>
        <s v="مرکز صدور افسر | علی قاسمی"/>
        <s v="مرکز صدور افسر | مانلی خالدیان"/>
        <s v="مرکز صدور امیرحسین خوش سیرت"/>
        <s v="مرکز صدور امیرموسوی| سید مهدی امیرموسوی"/>
        <s v="مرکز صدور پیرهادی | زهرا پیرهادی"/>
        <s v="مرکز صدور پیرهادی | نسترن محبی"/>
        <s v="مرکز صدور خلیلی | حمید خلیلی"/>
        <s v="مرکز صدور خوش سیرت | آیدا افشاری"/>
        <s v="مرکز صدور خوش سیرت | فاطمه خوش سیرت"/>
        <s v="مرکز صدور خوش سیرت | مهتاب سهیل رجبی"/>
        <s v="مرکز صدور خوش سیرت | میثم قمری"/>
        <s v="مرکز صدور خوش سیرت | نازنین به نظر"/>
        <s v="مرکز صدور رسول اسماعیل پوراقدم"/>
        <s v="مرکز صدور رضوانی | امیرحسین صابر"/>
        <s v="مرکز صدور رضوانی | رضا رضوانی"/>
        <s v="مرکز صدور رضوانی | طاهارضوانی"/>
        <s v="مرکز صدور رضوانی | متین آقاجانی"/>
        <s v="مرکز صدور رضوانی | محدثه رضوانی"/>
        <s v="مرکز صدور رضوانی | مینا آقاجانی"/>
        <s v="مرکز صدور شاه محمدی | شیوا شجاعی"/>
        <s v="مرکز صدور شاه محمدی | مبینا یارمحمدی"/>
        <s v="مرکز صدور شاه محمدی | مهدیس کامران"/>
        <s v="مرکز صدور علی دادی | زهرا چهرآزاد"/>
        <s v="مرکز صدور علی دادی | ستاره علی دادی"/>
        <s v="مرکز صدور علی دادی | علی دانایی"/>
        <s v="مرکز صدور غفوری | حسن غفوری"/>
        <s v="مرکز صدور کاظمی | اعظم قنبری"/>
        <s v="مرکز صدور کاظمی | امیرحسین ارجمند"/>
        <s v="مرکز صدور کاظمی | فائزه ابراهیمی"/>
        <s v="مرکز صدور کاظمی | فاطمه عسگری"/>
        <s v="مرکز صدور کاظمی | ملیکاحسینی"/>
        <s v="مرکز صدور کاظمی | ویدا نوری"/>
        <s v="مرکز صدور کیانی| تانیا کیانی بیگدلی"/>
        <s v="مرکز صدور مجید رضوانی"/>
        <s v="مرکز صدور هاشم زاده | شیما هاشم زاده"/>
        <s v="مرکز صدور هاشم زاده | محمد هاشم زاده"/>
        <s v="مرکز صدور یارعلی | متین کیومرثی"/>
        <s v="مریم احمدی"/>
        <s v="مریم بیشه بان"/>
        <s v="مریم جلالیان"/>
        <s v="مریم خسرو جردی"/>
        <s v="مریم محمدی"/>
        <s v="مریم محمودی"/>
        <s v="مریم منیری"/>
        <s v="مریم هاشمی"/>
        <s v="مژگان فدایی منفرد"/>
        <s v="مصطفی نوری"/>
        <s v="معراج عزیزی"/>
        <s v="معصومه صمدی"/>
        <s v="معصومه مهری"/>
        <s v="معصومه یعقوبی"/>
        <s v="ملیکا جان محمدی"/>
        <s v="ملیکا جعفریان"/>
        <s v="ملیکا مقدم"/>
        <s v="منیر مغفوری"/>
        <s v="مهدی ایزدی"/>
        <s v="مهدی خاوری"/>
        <s v="مهدی سالاری"/>
        <s v="مهدی عابدینی"/>
        <s v="مهدی عبدی"/>
        <s v="مهدی عظیمی"/>
        <s v="مهدیه آزادی"/>
        <s v="مهدیه حسینی"/>
        <s v="مهدیه داودی"/>
        <s v="مهدیه زند"/>
        <s v="مهرشاد شقاقی"/>
        <s v="مهسا بابائی"/>
        <s v="مهسا سحری"/>
        <s v="مهسا عبدی پور"/>
        <s v="مهسا قادری"/>
        <s v="مهشید حمیدی"/>
        <s v="مهنا رئوف"/>
        <s v="مهناز کبریتی"/>
        <s v="مهیار مصطفی نژاد"/>
        <s v="موژان رونقی"/>
        <s v="مونا منصوری"/>
        <s v="میکائیل بابکی"/>
        <s v="میلاد زدوار"/>
        <s v="مینا صفرپور"/>
        <s v="نازنین خالقی"/>
        <s v="نازنین نیکوبین"/>
        <s v="ناهید عباس زاده"/>
        <s v="نرگس احمدی"/>
        <s v="نرگس خزلی"/>
        <s v="نرگس کدخدایی"/>
        <s v="نرگس نصیری"/>
        <s v="نرمین سرمستی"/>
        <s v="نسترن نیک کار"/>
        <s v="نسرین بابالو"/>
        <s v="نگین سالاریان نژاد"/>
        <s v="نوشین عامری"/>
        <s v="نیلوفر آقاموسی"/>
        <s v="نیلوفر عباس نژاد کنجین"/>
        <s v="نیلوفر لشنی"/>
        <s v="هاجر کمالی"/>
        <s v="هانیه همتی"/>
        <s v="همایون فرحدل"/>
        <s v="هیوا شیری"/>
        <s v="وحید شجاعی"/>
        <s v="یاسین صحرایی"/>
        <s v="یلدا نعمتی"/>
        <m/>
      </sharedItems>
    </cacheField>
    <cacheField name="Company" numFmtId="0">
      <sharedItems containsBlank="1" count="11">
        <s v="آرمان"/>
        <s v="البرز"/>
        <s v="ایران"/>
        <s v="پارسیان"/>
        <s v="تعاون"/>
        <s v="دی"/>
        <s v="رازی"/>
        <s v="سنتر"/>
        <s v="سینا"/>
        <s v="هوشمند فردا"/>
        <m/>
      </sharedItems>
    </cacheField>
    <cacheField name="Work Shift" numFmtId="0">
      <sharedItems containsBlank="1" count="4">
        <s v="اکانت آموزشی"/>
        <s v="صبح"/>
        <s v="عصر"/>
        <m/>
      </sharedItems>
    </cacheField>
    <cacheField name="Team Lead" numFmtId="0">
      <sharedItems containsBlank="1" count="10">
        <s v="آتنا مالمیر"/>
        <s v="امیررضا فلاح"/>
        <s v="شاهین شهریاری"/>
        <s v="علیرضا زمانیان"/>
        <s v="فاطمه دهقانپور"/>
        <s v="مریم ایزدی - شاهین شهریاری"/>
        <s v="مهدی ایازی"/>
        <s v="مهدی فراهانی"/>
        <s v="هومن قضائی"/>
        <m/>
      </sharedItems>
    </cacheField>
    <cacheField name="Operators Bug Price" numFmtId="0">
      <sharedItems containsString="0" containsBlank="1" containsNumber="1" containsInteger="1" minValue="0" maxValue="0" count="2">
        <n v="0"/>
        <m/>
      </sharedItems>
    </cacheField>
    <cacheField name="orders_handled" numFmtId="0">
      <sharedItems containsMixedTypes="1" containsNumber="1" containsInteger="1" minValue="0" maxValue="347" count="161">
        <n v="0"/>
        <n v="1"/>
        <n v="6"/>
        <n v="7"/>
        <n v="8"/>
        <n v="9"/>
        <n v="10"/>
        <n v="11"/>
        <n v="12"/>
        <n v="14"/>
        <n v="15"/>
        <n v="16"/>
        <n v="17"/>
        <n v="18"/>
        <n v="19"/>
        <n v="21"/>
        <n v="22"/>
        <n v="23"/>
        <n v="24"/>
        <n v="25"/>
        <n v="26"/>
        <n v="27"/>
        <n v="28"/>
        <n v="29"/>
        <n v="30"/>
        <n v="32"/>
        <n v="33"/>
        <n v="36"/>
        <n v="38"/>
        <n v="39"/>
        <n v="42"/>
        <n v="43"/>
        <n v="44"/>
        <n v="45"/>
        <n v="46"/>
        <n v="47"/>
        <n v="48"/>
        <n v="49"/>
        <n v="50"/>
        <n v="51"/>
        <n v="52"/>
        <n v="53"/>
        <n v="54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3"/>
        <n v="74"/>
        <n v="75"/>
        <n v="76"/>
        <n v="77"/>
        <n v="78"/>
        <n v="79"/>
        <n v="80"/>
        <n v="81"/>
        <n v="83"/>
        <n v="84"/>
        <n v="85"/>
        <n v="86"/>
        <n v="87"/>
        <n v="88"/>
        <n v="89"/>
        <n v="92"/>
        <n v="93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4"/>
        <n v="115"/>
        <n v="117"/>
        <n v="118"/>
        <n v="119"/>
        <n v="122"/>
        <n v="123"/>
        <n v="125"/>
        <n v="127"/>
        <n v="131"/>
        <n v="133"/>
        <n v="134"/>
        <n v="135"/>
        <n v="136"/>
        <n v="137"/>
        <n v="138"/>
        <n v="141"/>
        <n v="142"/>
        <n v="143"/>
        <n v="146"/>
        <n v="147"/>
        <n v="149"/>
        <n v="150"/>
        <n v="151"/>
        <n v="152"/>
        <n v="155"/>
        <n v="158"/>
        <n v="160"/>
        <n v="164"/>
        <n v="166"/>
        <n v="169"/>
        <n v="171"/>
        <n v="173"/>
        <n v="174"/>
        <n v="178"/>
        <n v="182"/>
        <n v="185"/>
        <n v="186"/>
        <n v="191"/>
        <n v="193"/>
        <n v="195"/>
        <n v="200"/>
        <n v="205"/>
        <n v="208"/>
        <n v="211"/>
        <n v="212"/>
        <n v="213"/>
        <n v="216"/>
        <n v="219"/>
        <n v="221"/>
        <n v="226"/>
        <n v="235"/>
        <n v="239"/>
        <n v="243"/>
        <n v="244"/>
        <n v="247"/>
        <n v="248"/>
        <n v="250"/>
        <n v="252"/>
        <n v="261"/>
        <n v="262"/>
        <n v="269"/>
        <n v="281"/>
        <n v="305"/>
        <n v="320"/>
        <n v="332"/>
        <n v="333"/>
        <n v="334"/>
        <n v="347"/>
        <s v="1st week-6"/>
      </sharedItems>
    </cacheField>
    <cacheField name="OCT(min)" numFmtId="0">
      <sharedItems containsBlank="1" containsMixedTypes="1" containsNumber="1" containsInteger="1" minValue="8" maxValue="100" count="55">
        <n v="8"/>
        <n v="10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6"/>
        <n v="57"/>
        <n v="58"/>
        <n v="63"/>
        <n v="65"/>
        <n v="66"/>
        <n v="67"/>
        <n v="69"/>
        <n v="79"/>
        <n v="100"/>
        <s v="-"/>
        <m/>
      </sharedItems>
    </cacheField>
    <cacheField name="Issuing Score (out of 5)" numFmtId="0">
      <sharedItems containsString="0" containsBlank="1" containsNumber="1" containsInteger="1" minValue="0" maxValue="5" count="7">
        <n v="0"/>
        <n v="1"/>
        <n v="2"/>
        <n v="3"/>
        <n v="4"/>
        <n v="5"/>
        <m/>
      </sharedItems>
    </cacheField>
    <cacheField name="Oct Score (out of 5)" numFmtId="0">
      <sharedItems containsString="0" containsBlank="1" containsNumber="1" containsInteger="1" minValue="1" maxValue="5" count="6">
        <n v="1"/>
        <n v="2"/>
        <n v="3"/>
        <n v="4"/>
        <n v="5"/>
        <m/>
      </sharedItems>
    </cacheField>
    <cacheField name="average Score" numFmtId="0">
      <sharedItems containsString="0" containsBlank="1" containsNumber="1" minValue="0.5" maxValue="5" count="11">
        <n v="0.5"/>
        <n v="1"/>
        <n v="1.5"/>
        <n v="2"/>
        <n v="2.5"/>
        <n v="3"/>
        <n v="3.5"/>
        <n v="4"/>
        <n v="4.5"/>
        <n v="5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1">
  <r>
    <x v="279"/>
    <x v="10"/>
    <x v="3"/>
    <x v="9"/>
    <x v="1"/>
    <x v="160"/>
    <x v="54"/>
    <x v="6"/>
    <x v="5"/>
    <x v="10"/>
  </r>
  <r>
    <x v="0"/>
    <x v="2"/>
    <x v="1"/>
    <x v="7"/>
    <x v="0"/>
    <x v="158"/>
    <x v="0"/>
    <x v="5"/>
    <x v="4"/>
    <x v="9"/>
  </r>
  <r>
    <x v="63"/>
    <x v="6"/>
    <x v="1"/>
    <x v="0"/>
    <x v="0"/>
    <x v="139"/>
    <x v="4"/>
    <x v="5"/>
    <x v="4"/>
    <x v="9"/>
  </r>
  <r>
    <x v="123"/>
    <x v="2"/>
    <x v="2"/>
    <x v="3"/>
    <x v="0"/>
    <x v="151"/>
    <x v="1"/>
    <x v="5"/>
    <x v="4"/>
    <x v="9"/>
  </r>
  <r>
    <x v="125"/>
    <x v="2"/>
    <x v="2"/>
    <x v="3"/>
    <x v="0"/>
    <x v="148"/>
    <x v="4"/>
    <x v="5"/>
    <x v="4"/>
    <x v="9"/>
  </r>
  <r>
    <x v="225"/>
    <x v="2"/>
    <x v="2"/>
    <x v="3"/>
    <x v="0"/>
    <x v="157"/>
    <x v="4"/>
    <x v="5"/>
    <x v="4"/>
    <x v="9"/>
  </r>
  <r>
    <x v="15"/>
    <x v="2"/>
    <x v="1"/>
    <x v="7"/>
    <x v="0"/>
    <x v="152"/>
    <x v="7"/>
    <x v="5"/>
    <x v="4"/>
    <x v="9"/>
  </r>
  <r>
    <x v="20"/>
    <x v="6"/>
    <x v="1"/>
    <x v="0"/>
    <x v="0"/>
    <x v="140"/>
    <x v="5"/>
    <x v="5"/>
    <x v="4"/>
    <x v="9"/>
  </r>
  <r>
    <x v="84"/>
    <x v="2"/>
    <x v="1"/>
    <x v="7"/>
    <x v="0"/>
    <x v="152"/>
    <x v="8"/>
    <x v="5"/>
    <x v="4"/>
    <x v="9"/>
  </r>
  <r>
    <x v="85"/>
    <x v="6"/>
    <x v="2"/>
    <x v="1"/>
    <x v="0"/>
    <x v="142"/>
    <x v="5"/>
    <x v="5"/>
    <x v="4"/>
    <x v="9"/>
  </r>
  <r>
    <x v="134"/>
    <x v="4"/>
    <x v="2"/>
    <x v="3"/>
    <x v="0"/>
    <x v="149"/>
    <x v="9"/>
    <x v="5"/>
    <x v="4"/>
    <x v="9"/>
  </r>
  <r>
    <x v="171"/>
    <x v="2"/>
    <x v="2"/>
    <x v="3"/>
    <x v="0"/>
    <x v="143"/>
    <x v="8"/>
    <x v="5"/>
    <x v="4"/>
    <x v="9"/>
  </r>
  <r>
    <x v="189"/>
    <x v="7"/>
    <x v="1"/>
    <x v="5"/>
    <x v="0"/>
    <x v="132"/>
    <x v="5"/>
    <x v="5"/>
    <x v="4"/>
    <x v="9"/>
  </r>
  <r>
    <x v="10"/>
    <x v="2"/>
    <x v="1"/>
    <x v="7"/>
    <x v="0"/>
    <x v="113"/>
    <x v="5"/>
    <x v="4"/>
    <x v="4"/>
    <x v="8"/>
  </r>
  <r>
    <x v="43"/>
    <x v="6"/>
    <x v="1"/>
    <x v="0"/>
    <x v="0"/>
    <x v="133"/>
    <x v="15"/>
    <x v="5"/>
    <x v="3"/>
    <x v="8"/>
  </r>
  <r>
    <x v="61"/>
    <x v="2"/>
    <x v="2"/>
    <x v="3"/>
    <x v="0"/>
    <x v="154"/>
    <x v="13"/>
    <x v="5"/>
    <x v="3"/>
    <x v="8"/>
  </r>
  <r>
    <x v="62"/>
    <x v="4"/>
    <x v="2"/>
    <x v="3"/>
    <x v="0"/>
    <x v="124"/>
    <x v="6"/>
    <x v="4"/>
    <x v="4"/>
    <x v="8"/>
  </r>
  <r>
    <x v="69"/>
    <x v="8"/>
    <x v="1"/>
    <x v="4"/>
    <x v="0"/>
    <x v="148"/>
    <x v="15"/>
    <x v="5"/>
    <x v="3"/>
    <x v="8"/>
  </r>
  <r>
    <x v="75"/>
    <x v="2"/>
    <x v="1"/>
    <x v="7"/>
    <x v="0"/>
    <x v="146"/>
    <x v="13"/>
    <x v="5"/>
    <x v="3"/>
    <x v="8"/>
  </r>
  <r>
    <x v="106"/>
    <x v="8"/>
    <x v="1"/>
    <x v="4"/>
    <x v="0"/>
    <x v="145"/>
    <x v="14"/>
    <x v="5"/>
    <x v="3"/>
    <x v="8"/>
  </r>
  <r>
    <x v="116"/>
    <x v="4"/>
    <x v="2"/>
    <x v="3"/>
    <x v="0"/>
    <x v="134"/>
    <x v="13"/>
    <x v="5"/>
    <x v="3"/>
    <x v="8"/>
  </r>
  <r>
    <x v="139"/>
    <x v="2"/>
    <x v="1"/>
    <x v="7"/>
    <x v="0"/>
    <x v="159"/>
    <x v="12"/>
    <x v="5"/>
    <x v="3"/>
    <x v="8"/>
  </r>
  <r>
    <x v="144"/>
    <x v="8"/>
    <x v="1"/>
    <x v="4"/>
    <x v="0"/>
    <x v="137"/>
    <x v="10"/>
    <x v="5"/>
    <x v="3"/>
    <x v="8"/>
  </r>
  <r>
    <x v="148"/>
    <x v="6"/>
    <x v="2"/>
    <x v="1"/>
    <x v="0"/>
    <x v="125"/>
    <x v="7"/>
    <x v="4"/>
    <x v="4"/>
    <x v="8"/>
  </r>
  <r>
    <x v="192"/>
    <x v="7"/>
    <x v="1"/>
    <x v="5"/>
    <x v="0"/>
    <x v="135"/>
    <x v="11"/>
    <x v="5"/>
    <x v="3"/>
    <x v="8"/>
  </r>
  <r>
    <x v="193"/>
    <x v="7"/>
    <x v="1"/>
    <x v="5"/>
    <x v="0"/>
    <x v="121"/>
    <x v="5"/>
    <x v="4"/>
    <x v="4"/>
    <x v="8"/>
  </r>
  <r>
    <x v="247"/>
    <x v="2"/>
    <x v="2"/>
    <x v="3"/>
    <x v="0"/>
    <x v="133"/>
    <x v="11"/>
    <x v="5"/>
    <x v="3"/>
    <x v="8"/>
  </r>
  <r>
    <x v="263"/>
    <x v="2"/>
    <x v="1"/>
    <x v="7"/>
    <x v="0"/>
    <x v="156"/>
    <x v="10"/>
    <x v="5"/>
    <x v="3"/>
    <x v="8"/>
  </r>
  <r>
    <x v="3"/>
    <x v="8"/>
    <x v="2"/>
    <x v="6"/>
    <x v="0"/>
    <x v="138"/>
    <x v="17"/>
    <x v="5"/>
    <x v="2"/>
    <x v="7"/>
  </r>
  <r>
    <x v="14"/>
    <x v="2"/>
    <x v="1"/>
    <x v="7"/>
    <x v="0"/>
    <x v="81"/>
    <x v="3"/>
    <x v="2"/>
    <x v="4"/>
    <x v="6"/>
  </r>
  <r>
    <x v="77"/>
    <x v="4"/>
    <x v="2"/>
    <x v="3"/>
    <x v="0"/>
    <x v="119"/>
    <x v="13"/>
    <x v="4"/>
    <x v="3"/>
    <x v="7"/>
  </r>
  <r>
    <x v="83"/>
    <x v="6"/>
    <x v="1"/>
    <x v="0"/>
    <x v="0"/>
    <x v="130"/>
    <x v="19"/>
    <x v="5"/>
    <x v="2"/>
    <x v="7"/>
  </r>
  <r>
    <x v="101"/>
    <x v="8"/>
    <x v="2"/>
    <x v="6"/>
    <x v="0"/>
    <x v="75"/>
    <x v="4"/>
    <x v="2"/>
    <x v="4"/>
    <x v="6"/>
  </r>
  <r>
    <x v="119"/>
    <x v="8"/>
    <x v="1"/>
    <x v="4"/>
    <x v="0"/>
    <x v="126"/>
    <x v="20"/>
    <x v="5"/>
    <x v="2"/>
    <x v="7"/>
  </r>
  <r>
    <x v="130"/>
    <x v="6"/>
    <x v="2"/>
    <x v="1"/>
    <x v="0"/>
    <x v="123"/>
    <x v="14"/>
    <x v="4"/>
    <x v="3"/>
    <x v="7"/>
  </r>
  <r>
    <x v="135"/>
    <x v="4"/>
    <x v="1"/>
    <x v="7"/>
    <x v="0"/>
    <x v="153"/>
    <x v="19"/>
    <x v="5"/>
    <x v="2"/>
    <x v="7"/>
  </r>
  <r>
    <x v="146"/>
    <x v="4"/>
    <x v="2"/>
    <x v="3"/>
    <x v="0"/>
    <x v="106"/>
    <x v="9"/>
    <x v="3"/>
    <x v="4"/>
    <x v="7"/>
  </r>
  <r>
    <x v="154"/>
    <x v="4"/>
    <x v="1"/>
    <x v="7"/>
    <x v="0"/>
    <x v="155"/>
    <x v="16"/>
    <x v="5"/>
    <x v="2"/>
    <x v="7"/>
  </r>
  <r>
    <x v="159"/>
    <x v="6"/>
    <x v="1"/>
    <x v="0"/>
    <x v="0"/>
    <x v="118"/>
    <x v="13"/>
    <x v="4"/>
    <x v="3"/>
    <x v="7"/>
  </r>
  <r>
    <x v="207"/>
    <x v="7"/>
    <x v="1"/>
    <x v="5"/>
    <x v="0"/>
    <x v="131"/>
    <x v="17"/>
    <x v="5"/>
    <x v="2"/>
    <x v="7"/>
  </r>
  <r>
    <x v="212"/>
    <x v="7"/>
    <x v="1"/>
    <x v="5"/>
    <x v="0"/>
    <x v="116"/>
    <x v="11"/>
    <x v="4"/>
    <x v="3"/>
    <x v="7"/>
  </r>
  <r>
    <x v="222"/>
    <x v="6"/>
    <x v="2"/>
    <x v="1"/>
    <x v="0"/>
    <x v="116"/>
    <x v="10"/>
    <x v="4"/>
    <x v="3"/>
    <x v="7"/>
  </r>
  <r>
    <x v="254"/>
    <x v="9"/>
    <x v="1"/>
    <x v="4"/>
    <x v="0"/>
    <x v="144"/>
    <x v="18"/>
    <x v="5"/>
    <x v="2"/>
    <x v="7"/>
  </r>
  <r>
    <x v="266"/>
    <x v="6"/>
    <x v="1"/>
    <x v="0"/>
    <x v="0"/>
    <x v="129"/>
    <x v="16"/>
    <x v="5"/>
    <x v="2"/>
    <x v="7"/>
  </r>
  <r>
    <x v="2"/>
    <x v="4"/>
    <x v="1"/>
    <x v="7"/>
    <x v="0"/>
    <x v="76"/>
    <x v="8"/>
    <x v="2"/>
    <x v="4"/>
    <x v="6"/>
  </r>
  <r>
    <x v="4"/>
    <x v="8"/>
    <x v="2"/>
    <x v="6"/>
    <x v="0"/>
    <x v="122"/>
    <x v="18"/>
    <x v="4"/>
    <x v="2"/>
    <x v="6"/>
  </r>
  <r>
    <x v="17"/>
    <x v="6"/>
    <x v="1"/>
    <x v="0"/>
    <x v="0"/>
    <x v="86"/>
    <x v="5"/>
    <x v="2"/>
    <x v="4"/>
    <x v="6"/>
  </r>
  <r>
    <x v="21"/>
    <x v="6"/>
    <x v="1"/>
    <x v="0"/>
    <x v="0"/>
    <x v="75"/>
    <x v="7"/>
    <x v="2"/>
    <x v="4"/>
    <x v="6"/>
  </r>
  <r>
    <x v="33"/>
    <x v="8"/>
    <x v="2"/>
    <x v="6"/>
    <x v="0"/>
    <x v="88"/>
    <x v="9"/>
    <x v="2"/>
    <x v="4"/>
    <x v="6"/>
  </r>
  <r>
    <x v="38"/>
    <x v="8"/>
    <x v="1"/>
    <x v="4"/>
    <x v="0"/>
    <x v="150"/>
    <x v="26"/>
    <x v="5"/>
    <x v="1"/>
    <x v="6"/>
  </r>
  <r>
    <x v="41"/>
    <x v="4"/>
    <x v="1"/>
    <x v="7"/>
    <x v="0"/>
    <x v="90"/>
    <x v="8"/>
    <x v="2"/>
    <x v="4"/>
    <x v="6"/>
  </r>
  <r>
    <x v="48"/>
    <x v="4"/>
    <x v="2"/>
    <x v="3"/>
    <x v="0"/>
    <x v="124"/>
    <x v="18"/>
    <x v="4"/>
    <x v="2"/>
    <x v="6"/>
  </r>
  <r>
    <x v="49"/>
    <x v="9"/>
    <x v="2"/>
    <x v="6"/>
    <x v="0"/>
    <x v="98"/>
    <x v="13"/>
    <x v="3"/>
    <x v="3"/>
    <x v="6"/>
  </r>
  <r>
    <x v="54"/>
    <x v="8"/>
    <x v="1"/>
    <x v="4"/>
    <x v="0"/>
    <x v="98"/>
    <x v="10"/>
    <x v="3"/>
    <x v="3"/>
    <x v="6"/>
  </r>
  <r>
    <x v="74"/>
    <x v="6"/>
    <x v="1"/>
    <x v="0"/>
    <x v="0"/>
    <x v="147"/>
    <x v="27"/>
    <x v="5"/>
    <x v="1"/>
    <x v="6"/>
  </r>
  <r>
    <x v="87"/>
    <x v="4"/>
    <x v="1"/>
    <x v="7"/>
    <x v="0"/>
    <x v="96"/>
    <x v="11"/>
    <x v="3"/>
    <x v="3"/>
    <x v="6"/>
  </r>
  <r>
    <x v="102"/>
    <x v="2"/>
    <x v="1"/>
    <x v="7"/>
    <x v="0"/>
    <x v="107"/>
    <x v="11"/>
    <x v="3"/>
    <x v="3"/>
    <x v="6"/>
  </r>
  <r>
    <x v="118"/>
    <x v="8"/>
    <x v="2"/>
    <x v="6"/>
    <x v="0"/>
    <x v="89"/>
    <x v="8"/>
    <x v="2"/>
    <x v="4"/>
    <x v="6"/>
  </r>
  <r>
    <x v="121"/>
    <x v="8"/>
    <x v="2"/>
    <x v="6"/>
    <x v="0"/>
    <x v="119"/>
    <x v="16"/>
    <x v="4"/>
    <x v="2"/>
    <x v="6"/>
  </r>
  <r>
    <x v="129"/>
    <x v="4"/>
    <x v="1"/>
    <x v="7"/>
    <x v="0"/>
    <x v="109"/>
    <x v="15"/>
    <x v="3"/>
    <x v="3"/>
    <x v="6"/>
  </r>
  <r>
    <x v="149"/>
    <x v="8"/>
    <x v="1"/>
    <x v="4"/>
    <x v="0"/>
    <x v="136"/>
    <x v="27"/>
    <x v="5"/>
    <x v="1"/>
    <x v="6"/>
  </r>
  <r>
    <x v="158"/>
    <x v="6"/>
    <x v="2"/>
    <x v="1"/>
    <x v="0"/>
    <x v="142"/>
    <x v="22"/>
    <x v="5"/>
    <x v="1"/>
    <x v="6"/>
  </r>
  <r>
    <x v="161"/>
    <x v="4"/>
    <x v="2"/>
    <x v="3"/>
    <x v="0"/>
    <x v="116"/>
    <x v="19"/>
    <x v="4"/>
    <x v="2"/>
    <x v="6"/>
  </r>
  <r>
    <x v="169"/>
    <x v="2"/>
    <x v="2"/>
    <x v="3"/>
    <x v="0"/>
    <x v="106"/>
    <x v="12"/>
    <x v="3"/>
    <x v="3"/>
    <x v="6"/>
  </r>
  <r>
    <x v="175"/>
    <x v="8"/>
    <x v="1"/>
    <x v="4"/>
    <x v="0"/>
    <x v="114"/>
    <x v="16"/>
    <x v="4"/>
    <x v="2"/>
    <x v="6"/>
  </r>
  <r>
    <x v="176"/>
    <x v="6"/>
    <x v="2"/>
    <x v="1"/>
    <x v="0"/>
    <x v="84"/>
    <x v="6"/>
    <x v="2"/>
    <x v="4"/>
    <x v="6"/>
  </r>
  <r>
    <x v="184"/>
    <x v="7"/>
    <x v="1"/>
    <x v="5"/>
    <x v="0"/>
    <x v="112"/>
    <x v="15"/>
    <x v="3"/>
    <x v="3"/>
    <x v="6"/>
  </r>
  <r>
    <x v="197"/>
    <x v="7"/>
    <x v="1"/>
    <x v="5"/>
    <x v="0"/>
    <x v="97"/>
    <x v="13"/>
    <x v="3"/>
    <x v="3"/>
    <x v="6"/>
  </r>
  <r>
    <x v="208"/>
    <x v="7"/>
    <x v="1"/>
    <x v="5"/>
    <x v="0"/>
    <x v="124"/>
    <x v="20"/>
    <x v="4"/>
    <x v="2"/>
    <x v="6"/>
  </r>
  <r>
    <x v="213"/>
    <x v="7"/>
    <x v="1"/>
    <x v="5"/>
    <x v="0"/>
    <x v="65"/>
    <x v="2"/>
    <x v="1"/>
    <x v="4"/>
    <x v="5"/>
  </r>
  <r>
    <x v="224"/>
    <x v="4"/>
    <x v="2"/>
    <x v="3"/>
    <x v="0"/>
    <x v="112"/>
    <x v="12"/>
    <x v="3"/>
    <x v="3"/>
    <x v="6"/>
  </r>
  <r>
    <x v="226"/>
    <x v="4"/>
    <x v="2"/>
    <x v="3"/>
    <x v="0"/>
    <x v="111"/>
    <x v="14"/>
    <x v="3"/>
    <x v="3"/>
    <x v="6"/>
  </r>
  <r>
    <x v="229"/>
    <x v="8"/>
    <x v="2"/>
    <x v="6"/>
    <x v="0"/>
    <x v="141"/>
    <x v="24"/>
    <x v="5"/>
    <x v="1"/>
    <x v="6"/>
  </r>
  <r>
    <x v="245"/>
    <x v="8"/>
    <x v="1"/>
    <x v="4"/>
    <x v="0"/>
    <x v="102"/>
    <x v="15"/>
    <x v="3"/>
    <x v="3"/>
    <x v="6"/>
  </r>
  <r>
    <x v="273"/>
    <x v="4"/>
    <x v="1"/>
    <x v="7"/>
    <x v="0"/>
    <x v="106"/>
    <x v="12"/>
    <x v="3"/>
    <x v="3"/>
    <x v="6"/>
  </r>
  <r>
    <x v="197"/>
    <x v="7"/>
    <x v="1"/>
    <x v="5"/>
    <x v="0"/>
    <x v="97"/>
    <x v="13"/>
    <x v="3"/>
    <x v="3"/>
    <x v="6"/>
  </r>
  <r>
    <x v="1"/>
    <x v="2"/>
    <x v="2"/>
    <x v="3"/>
    <x v="0"/>
    <x v="111"/>
    <x v="21"/>
    <x v="3"/>
    <x v="2"/>
    <x v="5"/>
  </r>
  <r>
    <x v="6"/>
    <x v="4"/>
    <x v="1"/>
    <x v="7"/>
    <x v="0"/>
    <x v="55"/>
    <x v="7"/>
    <x v="1"/>
    <x v="4"/>
    <x v="5"/>
  </r>
  <r>
    <x v="9"/>
    <x v="2"/>
    <x v="2"/>
    <x v="3"/>
    <x v="0"/>
    <x v="75"/>
    <x v="15"/>
    <x v="2"/>
    <x v="3"/>
    <x v="5"/>
  </r>
  <r>
    <x v="42"/>
    <x v="6"/>
    <x v="2"/>
    <x v="1"/>
    <x v="0"/>
    <x v="129"/>
    <x v="43"/>
    <x v="5"/>
    <x v="0"/>
    <x v="5"/>
  </r>
  <r>
    <x v="46"/>
    <x v="8"/>
    <x v="1"/>
    <x v="4"/>
    <x v="0"/>
    <x v="94"/>
    <x v="14"/>
    <x v="2"/>
    <x v="3"/>
    <x v="5"/>
  </r>
  <r>
    <x v="47"/>
    <x v="6"/>
    <x v="2"/>
    <x v="1"/>
    <x v="0"/>
    <x v="56"/>
    <x v="8"/>
    <x v="1"/>
    <x v="4"/>
    <x v="5"/>
  </r>
  <r>
    <x v="66"/>
    <x v="2"/>
    <x v="1"/>
    <x v="7"/>
    <x v="0"/>
    <x v="78"/>
    <x v="14"/>
    <x v="2"/>
    <x v="3"/>
    <x v="5"/>
  </r>
  <r>
    <x v="67"/>
    <x v="6"/>
    <x v="1"/>
    <x v="0"/>
    <x v="0"/>
    <x v="105"/>
    <x v="16"/>
    <x v="3"/>
    <x v="2"/>
    <x v="5"/>
  </r>
  <r>
    <x v="72"/>
    <x v="8"/>
    <x v="1"/>
    <x v="4"/>
    <x v="0"/>
    <x v="128"/>
    <x v="44"/>
    <x v="5"/>
    <x v="0"/>
    <x v="5"/>
  </r>
  <r>
    <x v="79"/>
    <x v="6"/>
    <x v="1"/>
    <x v="0"/>
    <x v="0"/>
    <x v="52"/>
    <x v="8"/>
    <x v="1"/>
    <x v="4"/>
    <x v="5"/>
  </r>
  <r>
    <x v="82"/>
    <x v="4"/>
    <x v="2"/>
    <x v="3"/>
    <x v="0"/>
    <x v="106"/>
    <x v="17"/>
    <x v="3"/>
    <x v="2"/>
    <x v="5"/>
  </r>
  <r>
    <x v="104"/>
    <x v="4"/>
    <x v="2"/>
    <x v="3"/>
    <x v="0"/>
    <x v="120"/>
    <x v="27"/>
    <x v="4"/>
    <x v="1"/>
    <x v="5"/>
  </r>
  <r>
    <x v="137"/>
    <x v="2"/>
    <x v="2"/>
    <x v="3"/>
    <x v="0"/>
    <x v="92"/>
    <x v="11"/>
    <x v="2"/>
    <x v="3"/>
    <x v="5"/>
  </r>
  <r>
    <x v="166"/>
    <x v="8"/>
    <x v="2"/>
    <x v="6"/>
    <x v="0"/>
    <x v="117"/>
    <x v="23"/>
    <x v="4"/>
    <x v="1"/>
    <x v="5"/>
  </r>
  <r>
    <x v="168"/>
    <x v="8"/>
    <x v="1"/>
    <x v="4"/>
    <x v="0"/>
    <x v="132"/>
    <x v="33"/>
    <x v="5"/>
    <x v="0"/>
    <x v="5"/>
  </r>
  <r>
    <x v="174"/>
    <x v="4"/>
    <x v="2"/>
    <x v="3"/>
    <x v="0"/>
    <x v="93"/>
    <x v="13"/>
    <x v="2"/>
    <x v="3"/>
    <x v="5"/>
  </r>
  <r>
    <x v="177"/>
    <x v="7"/>
    <x v="1"/>
    <x v="5"/>
    <x v="0"/>
    <x v="95"/>
    <x v="15"/>
    <x v="2"/>
    <x v="3"/>
    <x v="5"/>
  </r>
  <r>
    <x v="200"/>
    <x v="7"/>
    <x v="1"/>
    <x v="5"/>
    <x v="0"/>
    <x v="115"/>
    <x v="25"/>
    <x v="4"/>
    <x v="1"/>
    <x v="5"/>
  </r>
  <r>
    <x v="228"/>
    <x v="6"/>
    <x v="1"/>
    <x v="0"/>
    <x v="0"/>
    <x v="64"/>
    <x v="9"/>
    <x v="1"/>
    <x v="4"/>
    <x v="5"/>
  </r>
  <r>
    <x v="232"/>
    <x v="6"/>
    <x v="1"/>
    <x v="0"/>
    <x v="0"/>
    <x v="109"/>
    <x v="18"/>
    <x v="3"/>
    <x v="2"/>
    <x v="5"/>
  </r>
  <r>
    <x v="237"/>
    <x v="8"/>
    <x v="2"/>
    <x v="6"/>
    <x v="0"/>
    <x v="127"/>
    <x v="31"/>
    <x v="5"/>
    <x v="0"/>
    <x v="5"/>
  </r>
  <r>
    <x v="239"/>
    <x v="8"/>
    <x v="1"/>
    <x v="4"/>
    <x v="0"/>
    <x v="76"/>
    <x v="14"/>
    <x v="2"/>
    <x v="3"/>
    <x v="5"/>
  </r>
  <r>
    <x v="249"/>
    <x v="2"/>
    <x v="2"/>
    <x v="3"/>
    <x v="0"/>
    <x v="76"/>
    <x v="10"/>
    <x v="2"/>
    <x v="3"/>
    <x v="5"/>
  </r>
  <r>
    <x v="8"/>
    <x v="6"/>
    <x v="1"/>
    <x v="0"/>
    <x v="0"/>
    <x v="69"/>
    <x v="15"/>
    <x v="1"/>
    <x v="3"/>
    <x v="4"/>
  </r>
  <r>
    <x v="11"/>
    <x v="2"/>
    <x v="2"/>
    <x v="3"/>
    <x v="0"/>
    <x v="84"/>
    <x v="16"/>
    <x v="2"/>
    <x v="2"/>
    <x v="4"/>
  </r>
  <r>
    <x v="12"/>
    <x v="6"/>
    <x v="2"/>
    <x v="1"/>
    <x v="0"/>
    <x v="71"/>
    <x v="15"/>
    <x v="1"/>
    <x v="3"/>
    <x v="4"/>
  </r>
  <r>
    <x v="25"/>
    <x v="2"/>
    <x v="1"/>
    <x v="7"/>
    <x v="0"/>
    <x v="3"/>
    <x v="9"/>
    <x v="0"/>
    <x v="4"/>
    <x v="4"/>
  </r>
  <r>
    <x v="28"/>
    <x v="2"/>
    <x v="2"/>
    <x v="3"/>
    <x v="0"/>
    <x v="71"/>
    <x v="11"/>
    <x v="1"/>
    <x v="3"/>
    <x v="4"/>
  </r>
  <r>
    <x v="36"/>
    <x v="4"/>
    <x v="1"/>
    <x v="7"/>
    <x v="0"/>
    <x v="10"/>
    <x v="6"/>
    <x v="0"/>
    <x v="4"/>
    <x v="4"/>
  </r>
  <r>
    <x v="44"/>
    <x v="2"/>
    <x v="2"/>
    <x v="3"/>
    <x v="0"/>
    <x v="101"/>
    <x v="28"/>
    <x v="3"/>
    <x v="1"/>
    <x v="4"/>
  </r>
  <r>
    <x v="55"/>
    <x v="4"/>
    <x v="1"/>
    <x v="7"/>
    <x v="0"/>
    <x v="77"/>
    <x v="16"/>
    <x v="2"/>
    <x v="2"/>
    <x v="4"/>
  </r>
  <r>
    <x v="60"/>
    <x v="6"/>
    <x v="1"/>
    <x v="0"/>
    <x v="0"/>
    <x v="57"/>
    <x v="12"/>
    <x v="1"/>
    <x v="3"/>
    <x v="4"/>
  </r>
  <r>
    <x v="68"/>
    <x v="3"/>
    <x v="1"/>
    <x v="4"/>
    <x v="0"/>
    <x v="15"/>
    <x v="9"/>
    <x v="0"/>
    <x v="4"/>
    <x v="4"/>
  </r>
  <r>
    <x v="76"/>
    <x v="9"/>
    <x v="2"/>
    <x v="6"/>
    <x v="0"/>
    <x v="108"/>
    <x v="22"/>
    <x v="3"/>
    <x v="1"/>
    <x v="4"/>
  </r>
  <r>
    <x v="80"/>
    <x v="6"/>
    <x v="1"/>
    <x v="0"/>
    <x v="0"/>
    <x v="54"/>
    <x v="15"/>
    <x v="1"/>
    <x v="3"/>
    <x v="4"/>
  </r>
  <r>
    <x v="93"/>
    <x v="8"/>
    <x v="1"/>
    <x v="4"/>
    <x v="0"/>
    <x v="100"/>
    <x v="24"/>
    <x v="3"/>
    <x v="1"/>
    <x v="4"/>
  </r>
  <r>
    <x v="97"/>
    <x v="2"/>
    <x v="1"/>
    <x v="7"/>
    <x v="0"/>
    <x v="87"/>
    <x v="20"/>
    <x v="2"/>
    <x v="2"/>
    <x v="4"/>
  </r>
  <r>
    <x v="99"/>
    <x v="4"/>
    <x v="1"/>
    <x v="7"/>
    <x v="0"/>
    <x v="73"/>
    <x v="11"/>
    <x v="1"/>
    <x v="3"/>
    <x v="4"/>
  </r>
  <r>
    <x v="103"/>
    <x v="6"/>
    <x v="1"/>
    <x v="0"/>
    <x v="0"/>
    <x v="91"/>
    <x v="21"/>
    <x v="2"/>
    <x v="2"/>
    <x v="4"/>
  </r>
  <r>
    <x v="122"/>
    <x v="8"/>
    <x v="1"/>
    <x v="4"/>
    <x v="0"/>
    <x v="50"/>
    <x v="10"/>
    <x v="1"/>
    <x v="3"/>
    <x v="4"/>
  </r>
  <r>
    <x v="140"/>
    <x v="6"/>
    <x v="1"/>
    <x v="0"/>
    <x v="0"/>
    <x v="64"/>
    <x v="14"/>
    <x v="1"/>
    <x v="3"/>
    <x v="4"/>
  </r>
  <r>
    <x v="141"/>
    <x v="6"/>
    <x v="2"/>
    <x v="1"/>
    <x v="0"/>
    <x v="85"/>
    <x v="21"/>
    <x v="2"/>
    <x v="2"/>
    <x v="4"/>
  </r>
  <r>
    <x v="143"/>
    <x v="4"/>
    <x v="1"/>
    <x v="7"/>
    <x v="0"/>
    <x v="67"/>
    <x v="12"/>
    <x v="1"/>
    <x v="3"/>
    <x v="4"/>
  </r>
  <r>
    <x v="151"/>
    <x v="2"/>
    <x v="2"/>
    <x v="3"/>
    <x v="0"/>
    <x v="85"/>
    <x v="20"/>
    <x v="2"/>
    <x v="2"/>
    <x v="4"/>
  </r>
  <r>
    <x v="190"/>
    <x v="7"/>
    <x v="1"/>
    <x v="5"/>
    <x v="0"/>
    <x v="69"/>
    <x v="14"/>
    <x v="1"/>
    <x v="3"/>
    <x v="4"/>
  </r>
  <r>
    <x v="201"/>
    <x v="7"/>
    <x v="1"/>
    <x v="5"/>
    <x v="0"/>
    <x v="104"/>
    <x v="27"/>
    <x v="3"/>
    <x v="1"/>
    <x v="4"/>
  </r>
  <r>
    <x v="216"/>
    <x v="2"/>
    <x v="1"/>
    <x v="7"/>
    <x v="0"/>
    <x v="103"/>
    <x v="26"/>
    <x v="3"/>
    <x v="1"/>
    <x v="4"/>
  </r>
  <r>
    <x v="243"/>
    <x v="6"/>
    <x v="1"/>
    <x v="0"/>
    <x v="0"/>
    <x v="26"/>
    <x v="7"/>
    <x v="0"/>
    <x v="4"/>
    <x v="4"/>
  </r>
  <r>
    <x v="244"/>
    <x v="6"/>
    <x v="1"/>
    <x v="0"/>
    <x v="0"/>
    <x v="50"/>
    <x v="10"/>
    <x v="1"/>
    <x v="3"/>
    <x v="4"/>
  </r>
  <r>
    <x v="246"/>
    <x v="6"/>
    <x v="2"/>
    <x v="1"/>
    <x v="0"/>
    <x v="91"/>
    <x v="20"/>
    <x v="2"/>
    <x v="2"/>
    <x v="4"/>
  </r>
  <r>
    <x v="248"/>
    <x v="4"/>
    <x v="2"/>
    <x v="3"/>
    <x v="0"/>
    <x v="78"/>
    <x v="18"/>
    <x v="2"/>
    <x v="2"/>
    <x v="4"/>
  </r>
  <r>
    <x v="261"/>
    <x v="2"/>
    <x v="1"/>
    <x v="7"/>
    <x v="0"/>
    <x v="83"/>
    <x v="16"/>
    <x v="2"/>
    <x v="2"/>
    <x v="4"/>
  </r>
  <r>
    <x v="265"/>
    <x v="8"/>
    <x v="2"/>
    <x v="6"/>
    <x v="0"/>
    <x v="105"/>
    <x v="22"/>
    <x v="3"/>
    <x v="1"/>
    <x v="4"/>
  </r>
  <r>
    <x v="274"/>
    <x v="6"/>
    <x v="1"/>
    <x v="0"/>
    <x v="0"/>
    <x v="79"/>
    <x v="17"/>
    <x v="2"/>
    <x v="2"/>
    <x v="4"/>
  </r>
  <r>
    <x v="278"/>
    <x v="8"/>
    <x v="1"/>
    <x v="4"/>
    <x v="0"/>
    <x v="110"/>
    <x v="24"/>
    <x v="3"/>
    <x v="1"/>
    <x v="4"/>
  </r>
  <r>
    <x v="191"/>
    <x v="7"/>
    <x v="1"/>
    <x v="5"/>
    <x v="0"/>
    <x v="70"/>
    <x v="12"/>
    <x v="1"/>
    <x v="3"/>
    <x v="4"/>
  </r>
  <r>
    <x v="5"/>
    <x v="6"/>
    <x v="1"/>
    <x v="0"/>
    <x v="0"/>
    <x v="42"/>
    <x v="14"/>
    <x v="0"/>
    <x v="3"/>
    <x v="3"/>
  </r>
  <r>
    <x v="7"/>
    <x v="2"/>
    <x v="2"/>
    <x v="3"/>
    <x v="0"/>
    <x v="63"/>
    <x v="19"/>
    <x v="1"/>
    <x v="2"/>
    <x v="3"/>
  </r>
  <r>
    <x v="18"/>
    <x v="2"/>
    <x v="2"/>
    <x v="3"/>
    <x v="0"/>
    <x v="68"/>
    <x v="18"/>
    <x v="1"/>
    <x v="2"/>
    <x v="3"/>
  </r>
  <r>
    <x v="23"/>
    <x v="2"/>
    <x v="1"/>
    <x v="7"/>
    <x v="0"/>
    <x v="63"/>
    <x v="16"/>
    <x v="1"/>
    <x v="2"/>
    <x v="3"/>
  </r>
  <r>
    <x v="24"/>
    <x v="6"/>
    <x v="2"/>
    <x v="1"/>
    <x v="0"/>
    <x v="46"/>
    <x v="13"/>
    <x v="0"/>
    <x v="3"/>
    <x v="3"/>
  </r>
  <r>
    <x v="26"/>
    <x v="4"/>
    <x v="2"/>
    <x v="3"/>
    <x v="0"/>
    <x v="34"/>
    <x v="14"/>
    <x v="0"/>
    <x v="3"/>
    <x v="3"/>
  </r>
  <r>
    <x v="27"/>
    <x v="8"/>
    <x v="1"/>
    <x v="4"/>
    <x v="0"/>
    <x v="48"/>
    <x v="21"/>
    <x v="1"/>
    <x v="2"/>
    <x v="3"/>
  </r>
  <r>
    <x v="52"/>
    <x v="8"/>
    <x v="2"/>
    <x v="6"/>
    <x v="0"/>
    <x v="30"/>
    <x v="11"/>
    <x v="0"/>
    <x v="3"/>
    <x v="3"/>
  </r>
  <r>
    <x v="56"/>
    <x v="8"/>
    <x v="1"/>
    <x v="4"/>
    <x v="0"/>
    <x v="22"/>
    <x v="11"/>
    <x v="0"/>
    <x v="3"/>
    <x v="3"/>
  </r>
  <r>
    <x v="64"/>
    <x v="6"/>
    <x v="2"/>
    <x v="1"/>
    <x v="0"/>
    <x v="56"/>
    <x v="18"/>
    <x v="1"/>
    <x v="2"/>
    <x v="3"/>
  </r>
  <r>
    <x v="81"/>
    <x v="8"/>
    <x v="1"/>
    <x v="4"/>
    <x v="0"/>
    <x v="80"/>
    <x v="24"/>
    <x v="2"/>
    <x v="1"/>
    <x v="3"/>
  </r>
  <r>
    <x v="86"/>
    <x v="4"/>
    <x v="2"/>
    <x v="3"/>
    <x v="0"/>
    <x v="74"/>
    <x v="20"/>
    <x v="1"/>
    <x v="2"/>
    <x v="3"/>
  </r>
  <r>
    <x v="88"/>
    <x v="8"/>
    <x v="2"/>
    <x v="6"/>
    <x v="0"/>
    <x v="83"/>
    <x v="22"/>
    <x v="2"/>
    <x v="1"/>
    <x v="3"/>
  </r>
  <r>
    <x v="90"/>
    <x v="4"/>
    <x v="2"/>
    <x v="3"/>
    <x v="0"/>
    <x v="53"/>
    <x v="18"/>
    <x v="1"/>
    <x v="2"/>
    <x v="3"/>
  </r>
  <r>
    <x v="95"/>
    <x v="4"/>
    <x v="1"/>
    <x v="7"/>
    <x v="0"/>
    <x v="39"/>
    <x v="13"/>
    <x v="0"/>
    <x v="3"/>
    <x v="3"/>
  </r>
  <r>
    <x v="96"/>
    <x v="8"/>
    <x v="1"/>
    <x v="4"/>
    <x v="0"/>
    <x v="76"/>
    <x v="23"/>
    <x v="2"/>
    <x v="1"/>
    <x v="3"/>
  </r>
  <r>
    <x v="107"/>
    <x v="8"/>
    <x v="1"/>
    <x v="4"/>
    <x v="0"/>
    <x v="50"/>
    <x v="16"/>
    <x v="1"/>
    <x v="2"/>
    <x v="3"/>
  </r>
  <r>
    <x v="110"/>
    <x v="6"/>
    <x v="1"/>
    <x v="0"/>
    <x v="0"/>
    <x v="42"/>
    <x v="15"/>
    <x v="0"/>
    <x v="3"/>
    <x v="3"/>
  </r>
  <r>
    <x v="120"/>
    <x v="2"/>
    <x v="1"/>
    <x v="7"/>
    <x v="0"/>
    <x v="71"/>
    <x v="17"/>
    <x v="1"/>
    <x v="2"/>
    <x v="3"/>
  </r>
  <r>
    <x v="136"/>
    <x v="6"/>
    <x v="1"/>
    <x v="0"/>
    <x v="0"/>
    <x v="99"/>
    <x v="30"/>
    <x v="3"/>
    <x v="0"/>
    <x v="3"/>
  </r>
  <r>
    <x v="145"/>
    <x v="9"/>
    <x v="1"/>
    <x v="4"/>
    <x v="0"/>
    <x v="82"/>
    <x v="22"/>
    <x v="2"/>
    <x v="1"/>
    <x v="3"/>
  </r>
  <r>
    <x v="147"/>
    <x v="8"/>
    <x v="1"/>
    <x v="4"/>
    <x v="0"/>
    <x v="67"/>
    <x v="16"/>
    <x v="1"/>
    <x v="2"/>
    <x v="3"/>
  </r>
  <r>
    <x v="157"/>
    <x v="6"/>
    <x v="1"/>
    <x v="0"/>
    <x v="0"/>
    <x v="67"/>
    <x v="17"/>
    <x v="1"/>
    <x v="2"/>
    <x v="3"/>
  </r>
  <r>
    <x v="160"/>
    <x v="2"/>
    <x v="1"/>
    <x v="7"/>
    <x v="0"/>
    <x v="72"/>
    <x v="21"/>
    <x v="1"/>
    <x v="2"/>
    <x v="3"/>
  </r>
  <r>
    <x v="164"/>
    <x v="6"/>
    <x v="2"/>
    <x v="1"/>
    <x v="0"/>
    <x v="84"/>
    <x v="22"/>
    <x v="2"/>
    <x v="1"/>
    <x v="3"/>
  </r>
  <r>
    <x v="165"/>
    <x v="8"/>
    <x v="1"/>
    <x v="4"/>
    <x v="0"/>
    <x v="52"/>
    <x v="17"/>
    <x v="1"/>
    <x v="2"/>
    <x v="3"/>
  </r>
  <r>
    <x v="206"/>
    <x v="7"/>
    <x v="1"/>
    <x v="5"/>
    <x v="0"/>
    <x v="52"/>
    <x v="17"/>
    <x v="1"/>
    <x v="2"/>
    <x v="3"/>
  </r>
  <r>
    <x v="211"/>
    <x v="7"/>
    <x v="0"/>
    <x v="2"/>
    <x v="0"/>
    <x v="2"/>
    <x v="12"/>
    <x v="0"/>
    <x v="3"/>
    <x v="3"/>
  </r>
  <r>
    <x v="219"/>
    <x v="5"/>
    <x v="1"/>
    <x v="7"/>
    <x v="0"/>
    <x v="84"/>
    <x v="22"/>
    <x v="2"/>
    <x v="1"/>
    <x v="3"/>
  </r>
  <r>
    <x v="230"/>
    <x v="6"/>
    <x v="1"/>
    <x v="0"/>
    <x v="0"/>
    <x v="48"/>
    <x v="19"/>
    <x v="1"/>
    <x v="2"/>
    <x v="3"/>
  </r>
  <r>
    <x v="235"/>
    <x v="6"/>
    <x v="2"/>
    <x v="1"/>
    <x v="0"/>
    <x v="32"/>
    <x v="11"/>
    <x v="0"/>
    <x v="3"/>
    <x v="3"/>
  </r>
  <r>
    <x v="241"/>
    <x v="4"/>
    <x v="2"/>
    <x v="3"/>
    <x v="0"/>
    <x v="55"/>
    <x v="18"/>
    <x v="1"/>
    <x v="2"/>
    <x v="3"/>
  </r>
  <r>
    <x v="250"/>
    <x v="8"/>
    <x v="1"/>
    <x v="4"/>
    <x v="0"/>
    <x v="66"/>
    <x v="19"/>
    <x v="1"/>
    <x v="2"/>
    <x v="3"/>
  </r>
  <r>
    <x v="256"/>
    <x v="2"/>
    <x v="1"/>
    <x v="7"/>
    <x v="0"/>
    <x v="69"/>
    <x v="18"/>
    <x v="1"/>
    <x v="2"/>
    <x v="3"/>
  </r>
  <r>
    <x v="267"/>
    <x v="6"/>
    <x v="2"/>
    <x v="1"/>
    <x v="0"/>
    <x v="59"/>
    <x v="21"/>
    <x v="1"/>
    <x v="2"/>
    <x v="3"/>
  </r>
  <r>
    <x v="272"/>
    <x v="6"/>
    <x v="2"/>
    <x v="1"/>
    <x v="0"/>
    <x v="67"/>
    <x v="18"/>
    <x v="1"/>
    <x v="2"/>
    <x v="3"/>
  </r>
  <r>
    <x v="277"/>
    <x v="6"/>
    <x v="1"/>
    <x v="0"/>
    <x v="0"/>
    <x v="47"/>
    <x v="20"/>
    <x v="1"/>
    <x v="2"/>
    <x v="3"/>
  </r>
  <r>
    <x v="186"/>
    <x v="7"/>
    <x v="1"/>
    <x v="5"/>
    <x v="0"/>
    <x v="60"/>
    <x v="18"/>
    <x v="1"/>
    <x v="2"/>
    <x v="3"/>
  </r>
  <r>
    <x v="13"/>
    <x v="4"/>
    <x v="2"/>
    <x v="3"/>
    <x v="0"/>
    <x v="33"/>
    <x v="21"/>
    <x v="0"/>
    <x v="2"/>
    <x v="2"/>
  </r>
  <r>
    <x v="22"/>
    <x v="6"/>
    <x v="2"/>
    <x v="1"/>
    <x v="0"/>
    <x v="14"/>
    <x v="19"/>
    <x v="0"/>
    <x v="2"/>
    <x v="2"/>
  </r>
  <r>
    <x v="29"/>
    <x v="4"/>
    <x v="1"/>
    <x v="7"/>
    <x v="0"/>
    <x v="5"/>
    <x v="21"/>
    <x v="0"/>
    <x v="2"/>
    <x v="2"/>
  </r>
  <r>
    <x v="30"/>
    <x v="5"/>
    <x v="2"/>
    <x v="3"/>
    <x v="0"/>
    <x v="49"/>
    <x v="22"/>
    <x v="1"/>
    <x v="1"/>
    <x v="2"/>
  </r>
  <r>
    <x v="39"/>
    <x v="4"/>
    <x v="1"/>
    <x v="7"/>
    <x v="0"/>
    <x v="29"/>
    <x v="21"/>
    <x v="0"/>
    <x v="2"/>
    <x v="2"/>
  </r>
  <r>
    <x v="45"/>
    <x v="4"/>
    <x v="2"/>
    <x v="3"/>
    <x v="0"/>
    <x v="57"/>
    <x v="26"/>
    <x v="1"/>
    <x v="1"/>
    <x v="2"/>
  </r>
  <r>
    <x v="51"/>
    <x v="8"/>
    <x v="2"/>
    <x v="6"/>
    <x v="0"/>
    <x v="55"/>
    <x v="27"/>
    <x v="1"/>
    <x v="1"/>
    <x v="2"/>
  </r>
  <r>
    <x v="71"/>
    <x v="6"/>
    <x v="1"/>
    <x v="0"/>
    <x v="0"/>
    <x v="28"/>
    <x v="17"/>
    <x v="0"/>
    <x v="2"/>
    <x v="2"/>
  </r>
  <r>
    <x v="73"/>
    <x v="6"/>
    <x v="2"/>
    <x v="1"/>
    <x v="0"/>
    <x v="58"/>
    <x v="28"/>
    <x v="1"/>
    <x v="1"/>
    <x v="2"/>
  </r>
  <r>
    <x v="91"/>
    <x v="8"/>
    <x v="2"/>
    <x v="6"/>
    <x v="0"/>
    <x v="90"/>
    <x v="45"/>
    <x v="2"/>
    <x v="0"/>
    <x v="2"/>
  </r>
  <r>
    <x v="92"/>
    <x v="5"/>
    <x v="1"/>
    <x v="7"/>
    <x v="0"/>
    <x v="33"/>
    <x v="17"/>
    <x v="0"/>
    <x v="2"/>
    <x v="2"/>
  </r>
  <r>
    <x v="114"/>
    <x v="4"/>
    <x v="2"/>
    <x v="3"/>
    <x v="0"/>
    <x v="66"/>
    <x v="28"/>
    <x v="1"/>
    <x v="1"/>
    <x v="2"/>
  </r>
  <r>
    <x v="117"/>
    <x v="9"/>
    <x v="1"/>
    <x v="4"/>
    <x v="0"/>
    <x v="46"/>
    <x v="16"/>
    <x v="0"/>
    <x v="2"/>
    <x v="2"/>
  </r>
  <r>
    <x v="124"/>
    <x v="6"/>
    <x v="2"/>
    <x v="1"/>
    <x v="0"/>
    <x v="32"/>
    <x v="21"/>
    <x v="0"/>
    <x v="2"/>
    <x v="2"/>
  </r>
  <r>
    <x v="126"/>
    <x v="4"/>
    <x v="1"/>
    <x v="7"/>
    <x v="0"/>
    <x v="22"/>
    <x v="19"/>
    <x v="0"/>
    <x v="2"/>
    <x v="2"/>
  </r>
  <r>
    <x v="138"/>
    <x v="5"/>
    <x v="1"/>
    <x v="7"/>
    <x v="0"/>
    <x v="26"/>
    <x v="21"/>
    <x v="0"/>
    <x v="2"/>
    <x v="2"/>
  </r>
  <r>
    <x v="150"/>
    <x v="2"/>
    <x v="2"/>
    <x v="3"/>
    <x v="0"/>
    <x v="74"/>
    <x v="25"/>
    <x v="1"/>
    <x v="1"/>
    <x v="2"/>
  </r>
  <r>
    <x v="153"/>
    <x v="4"/>
    <x v="2"/>
    <x v="3"/>
    <x v="0"/>
    <x v="44"/>
    <x v="17"/>
    <x v="0"/>
    <x v="2"/>
    <x v="2"/>
  </r>
  <r>
    <x v="155"/>
    <x v="5"/>
    <x v="2"/>
    <x v="3"/>
    <x v="0"/>
    <x v="85"/>
    <x v="36"/>
    <x v="2"/>
    <x v="0"/>
    <x v="2"/>
  </r>
  <r>
    <x v="167"/>
    <x v="8"/>
    <x v="2"/>
    <x v="6"/>
    <x v="0"/>
    <x v="91"/>
    <x v="43"/>
    <x v="2"/>
    <x v="0"/>
    <x v="2"/>
  </r>
  <r>
    <x v="185"/>
    <x v="7"/>
    <x v="1"/>
    <x v="5"/>
    <x v="0"/>
    <x v="46"/>
    <x v="19"/>
    <x v="0"/>
    <x v="2"/>
    <x v="2"/>
  </r>
  <r>
    <x v="195"/>
    <x v="7"/>
    <x v="2"/>
    <x v="8"/>
    <x v="0"/>
    <x v="36"/>
    <x v="16"/>
    <x v="0"/>
    <x v="2"/>
    <x v="2"/>
  </r>
  <r>
    <x v="203"/>
    <x v="7"/>
    <x v="1"/>
    <x v="5"/>
    <x v="0"/>
    <x v="44"/>
    <x v="18"/>
    <x v="0"/>
    <x v="2"/>
    <x v="2"/>
  </r>
  <r>
    <x v="205"/>
    <x v="7"/>
    <x v="1"/>
    <x v="5"/>
    <x v="0"/>
    <x v="16"/>
    <x v="20"/>
    <x v="0"/>
    <x v="2"/>
    <x v="2"/>
  </r>
  <r>
    <x v="209"/>
    <x v="7"/>
    <x v="2"/>
    <x v="8"/>
    <x v="0"/>
    <x v="52"/>
    <x v="25"/>
    <x v="1"/>
    <x v="1"/>
    <x v="2"/>
  </r>
  <r>
    <x v="215"/>
    <x v="2"/>
    <x v="2"/>
    <x v="3"/>
    <x v="0"/>
    <x v="38"/>
    <x v="19"/>
    <x v="0"/>
    <x v="2"/>
    <x v="2"/>
  </r>
  <r>
    <x v="221"/>
    <x v="6"/>
    <x v="2"/>
    <x v="1"/>
    <x v="0"/>
    <x v="67"/>
    <x v="26"/>
    <x v="1"/>
    <x v="1"/>
    <x v="2"/>
  </r>
  <r>
    <x v="223"/>
    <x v="2"/>
    <x v="1"/>
    <x v="7"/>
    <x v="0"/>
    <x v="67"/>
    <x v="26"/>
    <x v="1"/>
    <x v="1"/>
    <x v="2"/>
  </r>
  <r>
    <x v="231"/>
    <x v="8"/>
    <x v="1"/>
    <x v="4"/>
    <x v="0"/>
    <x v="78"/>
    <x v="29"/>
    <x v="2"/>
    <x v="0"/>
    <x v="2"/>
  </r>
  <r>
    <x v="240"/>
    <x v="8"/>
    <x v="1"/>
    <x v="4"/>
    <x v="0"/>
    <x v="94"/>
    <x v="30"/>
    <x v="2"/>
    <x v="0"/>
    <x v="2"/>
  </r>
  <r>
    <x v="242"/>
    <x v="3"/>
    <x v="1"/>
    <x v="4"/>
    <x v="0"/>
    <x v="29"/>
    <x v="20"/>
    <x v="0"/>
    <x v="2"/>
    <x v="2"/>
  </r>
  <r>
    <x v="252"/>
    <x v="6"/>
    <x v="2"/>
    <x v="1"/>
    <x v="0"/>
    <x v="64"/>
    <x v="24"/>
    <x v="1"/>
    <x v="1"/>
    <x v="2"/>
  </r>
  <r>
    <x v="253"/>
    <x v="4"/>
    <x v="2"/>
    <x v="3"/>
    <x v="0"/>
    <x v="63"/>
    <x v="23"/>
    <x v="1"/>
    <x v="1"/>
    <x v="2"/>
  </r>
  <r>
    <x v="259"/>
    <x v="8"/>
    <x v="1"/>
    <x v="4"/>
    <x v="0"/>
    <x v="44"/>
    <x v="19"/>
    <x v="0"/>
    <x v="2"/>
    <x v="2"/>
  </r>
  <r>
    <x v="262"/>
    <x v="4"/>
    <x v="1"/>
    <x v="7"/>
    <x v="0"/>
    <x v="41"/>
    <x v="19"/>
    <x v="0"/>
    <x v="2"/>
    <x v="2"/>
  </r>
  <r>
    <x v="269"/>
    <x v="6"/>
    <x v="1"/>
    <x v="0"/>
    <x v="0"/>
    <x v="68"/>
    <x v="24"/>
    <x v="1"/>
    <x v="1"/>
    <x v="2"/>
  </r>
  <r>
    <x v="270"/>
    <x v="9"/>
    <x v="2"/>
    <x v="6"/>
    <x v="0"/>
    <x v="95"/>
    <x v="31"/>
    <x v="2"/>
    <x v="0"/>
    <x v="2"/>
  </r>
  <r>
    <x v="271"/>
    <x v="6"/>
    <x v="1"/>
    <x v="0"/>
    <x v="0"/>
    <x v="68"/>
    <x v="28"/>
    <x v="1"/>
    <x v="1"/>
    <x v="2"/>
  </r>
  <r>
    <x v="16"/>
    <x v="6"/>
    <x v="1"/>
    <x v="0"/>
    <x v="0"/>
    <x v="18"/>
    <x v="22"/>
    <x v="0"/>
    <x v="1"/>
    <x v="1"/>
  </r>
  <r>
    <x v="19"/>
    <x v="6"/>
    <x v="2"/>
    <x v="1"/>
    <x v="0"/>
    <x v="61"/>
    <x v="31"/>
    <x v="1"/>
    <x v="0"/>
    <x v="1"/>
  </r>
  <r>
    <x v="32"/>
    <x v="9"/>
    <x v="2"/>
    <x v="6"/>
    <x v="0"/>
    <x v="16"/>
    <x v="24"/>
    <x v="0"/>
    <x v="1"/>
    <x v="1"/>
  </r>
  <r>
    <x v="34"/>
    <x v="4"/>
    <x v="2"/>
    <x v="3"/>
    <x v="0"/>
    <x v="40"/>
    <x v="24"/>
    <x v="0"/>
    <x v="1"/>
    <x v="1"/>
  </r>
  <r>
    <x v="37"/>
    <x v="8"/>
    <x v="1"/>
    <x v="4"/>
    <x v="0"/>
    <x v="64"/>
    <x v="36"/>
    <x v="1"/>
    <x v="0"/>
    <x v="1"/>
  </r>
  <r>
    <x v="40"/>
    <x v="6"/>
    <x v="1"/>
    <x v="0"/>
    <x v="0"/>
    <x v="43"/>
    <x v="28"/>
    <x v="0"/>
    <x v="1"/>
    <x v="1"/>
  </r>
  <r>
    <x v="50"/>
    <x v="8"/>
    <x v="2"/>
    <x v="6"/>
    <x v="0"/>
    <x v="49"/>
    <x v="50"/>
    <x v="1"/>
    <x v="0"/>
    <x v="1"/>
  </r>
  <r>
    <x v="53"/>
    <x v="4"/>
    <x v="2"/>
    <x v="3"/>
    <x v="0"/>
    <x v="60"/>
    <x v="41"/>
    <x v="1"/>
    <x v="0"/>
    <x v="1"/>
  </r>
  <r>
    <x v="58"/>
    <x v="1"/>
    <x v="1"/>
    <x v="4"/>
    <x v="0"/>
    <x v="37"/>
    <x v="25"/>
    <x v="0"/>
    <x v="1"/>
    <x v="1"/>
  </r>
  <r>
    <x v="59"/>
    <x v="6"/>
    <x v="2"/>
    <x v="1"/>
    <x v="0"/>
    <x v="7"/>
    <x v="23"/>
    <x v="0"/>
    <x v="1"/>
    <x v="1"/>
  </r>
  <r>
    <x v="78"/>
    <x v="4"/>
    <x v="1"/>
    <x v="7"/>
    <x v="0"/>
    <x v="35"/>
    <x v="28"/>
    <x v="0"/>
    <x v="1"/>
    <x v="1"/>
  </r>
  <r>
    <x v="89"/>
    <x v="8"/>
    <x v="2"/>
    <x v="6"/>
    <x v="0"/>
    <x v="64"/>
    <x v="38"/>
    <x v="1"/>
    <x v="0"/>
    <x v="1"/>
  </r>
  <r>
    <x v="94"/>
    <x v="4"/>
    <x v="1"/>
    <x v="7"/>
    <x v="0"/>
    <x v="13"/>
    <x v="28"/>
    <x v="0"/>
    <x v="1"/>
    <x v="1"/>
  </r>
  <r>
    <x v="98"/>
    <x v="9"/>
    <x v="1"/>
    <x v="4"/>
    <x v="0"/>
    <x v="23"/>
    <x v="27"/>
    <x v="0"/>
    <x v="1"/>
    <x v="1"/>
  </r>
  <r>
    <x v="100"/>
    <x v="8"/>
    <x v="2"/>
    <x v="6"/>
    <x v="0"/>
    <x v="56"/>
    <x v="30"/>
    <x v="1"/>
    <x v="0"/>
    <x v="1"/>
  </r>
  <r>
    <x v="105"/>
    <x v="6"/>
    <x v="2"/>
    <x v="1"/>
    <x v="0"/>
    <x v="53"/>
    <x v="29"/>
    <x v="1"/>
    <x v="0"/>
    <x v="1"/>
  </r>
  <r>
    <x v="108"/>
    <x v="9"/>
    <x v="2"/>
    <x v="6"/>
    <x v="0"/>
    <x v="10"/>
    <x v="28"/>
    <x v="0"/>
    <x v="1"/>
    <x v="1"/>
  </r>
  <r>
    <x v="109"/>
    <x v="8"/>
    <x v="2"/>
    <x v="6"/>
    <x v="0"/>
    <x v="73"/>
    <x v="49"/>
    <x v="1"/>
    <x v="0"/>
    <x v="1"/>
  </r>
  <r>
    <x v="113"/>
    <x v="8"/>
    <x v="1"/>
    <x v="4"/>
    <x v="0"/>
    <x v="59"/>
    <x v="29"/>
    <x v="1"/>
    <x v="0"/>
    <x v="1"/>
  </r>
  <r>
    <x v="115"/>
    <x v="6"/>
    <x v="1"/>
    <x v="0"/>
    <x v="0"/>
    <x v="39"/>
    <x v="28"/>
    <x v="0"/>
    <x v="1"/>
    <x v="1"/>
  </r>
  <r>
    <x v="131"/>
    <x v="8"/>
    <x v="1"/>
    <x v="4"/>
    <x v="0"/>
    <x v="72"/>
    <x v="48"/>
    <x v="1"/>
    <x v="0"/>
    <x v="1"/>
  </r>
  <r>
    <x v="156"/>
    <x v="9"/>
    <x v="1"/>
    <x v="4"/>
    <x v="0"/>
    <x v="44"/>
    <x v="24"/>
    <x v="0"/>
    <x v="1"/>
    <x v="1"/>
  </r>
  <r>
    <x v="172"/>
    <x v="6"/>
    <x v="2"/>
    <x v="1"/>
    <x v="0"/>
    <x v="62"/>
    <x v="32"/>
    <x v="1"/>
    <x v="0"/>
    <x v="1"/>
  </r>
  <r>
    <x v="173"/>
    <x v="8"/>
    <x v="2"/>
    <x v="6"/>
    <x v="0"/>
    <x v="58"/>
    <x v="46"/>
    <x v="1"/>
    <x v="0"/>
    <x v="1"/>
  </r>
  <r>
    <x v="178"/>
    <x v="7"/>
    <x v="1"/>
    <x v="5"/>
    <x v="0"/>
    <x v="24"/>
    <x v="24"/>
    <x v="0"/>
    <x v="1"/>
    <x v="1"/>
  </r>
  <r>
    <x v="196"/>
    <x v="7"/>
    <x v="2"/>
    <x v="8"/>
    <x v="0"/>
    <x v="45"/>
    <x v="28"/>
    <x v="0"/>
    <x v="1"/>
    <x v="1"/>
  </r>
  <r>
    <x v="199"/>
    <x v="7"/>
    <x v="1"/>
    <x v="5"/>
    <x v="0"/>
    <x v="39"/>
    <x v="28"/>
    <x v="0"/>
    <x v="1"/>
    <x v="1"/>
  </r>
  <r>
    <x v="217"/>
    <x v="9"/>
    <x v="2"/>
    <x v="6"/>
    <x v="0"/>
    <x v="14"/>
    <x v="25"/>
    <x v="0"/>
    <x v="1"/>
    <x v="1"/>
  </r>
  <r>
    <x v="218"/>
    <x v="6"/>
    <x v="1"/>
    <x v="0"/>
    <x v="0"/>
    <x v="15"/>
    <x v="24"/>
    <x v="0"/>
    <x v="1"/>
    <x v="1"/>
  </r>
  <r>
    <x v="227"/>
    <x v="0"/>
    <x v="1"/>
    <x v="7"/>
    <x v="0"/>
    <x v="65"/>
    <x v="38"/>
    <x v="1"/>
    <x v="0"/>
    <x v="1"/>
  </r>
  <r>
    <x v="234"/>
    <x v="5"/>
    <x v="1"/>
    <x v="7"/>
    <x v="0"/>
    <x v="4"/>
    <x v="24"/>
    <x v="0"/>
    <x v="1"/>
    <x v="1"/>
  </r>
  <r>
    <x v="251"/>
    <x v="6"/>
    <x v="2"/>
    <x v="1"/>
    <x v="0"/>
    <x v="26"/>
    <x v="23"/>
    <x v="0"/>
    <x v="1"/>
    <x v="1"/>
  </r>
  <r>
    <x v="255"/>
    <x v="5"/>
    <x v="2"/>
    <x v="3"/>
    <x v="0"/>
    <x v="51"/>
    <x v="37"/>
    <x v="1"/>
    <x v="0"/>
    <x v="1"/>
  </r>
  <r>
    <x v="275"/>
    <x v="8"/>
    <x v="1"/>
    <x v="4"/>
    <x v="0"/>
    <x v="55"/>
    <x v="39"/>
    <x v="1"/>
    <x v="0"/>
    <x v="1"/>
  </r>
  <r>
    <x v="198"/>
    <x v="7"/>
    <x v="1"/>
    <x v="5"/>
    <x v="0"/>
    <x v="42"/>
    <x v="22"/>
    <x v="0"/>
    <x v="1"/>
    <x v="1"/>
  </r>
  <r>
    <x v="210"/>
    <x v="7"/>
    <x v="1"/>
    <x v="5"/>
    <x v="0"/>
    <x v="27"/>
    <x v="24"/>
    <x v="0"/>
    <x v="1"/>
    <x v="1"/>
  </r>
  <r>
    <x v="31"/>
    <x v="6"/>
    <x v="1"/>
    <x v="0"/>
    <x v="0"/>
    <x v="31"/>
    <x v="36"/>
    <x v="0"/>
    <x v="0"/>
    <x v="0"/>
  </r>
  <r>
    <x v="35"/>
    <x v="5"/>
    <x v="1"/>
    <x v="7"/>
    <x v="0"/>
    <x v="17"/>
    <x v="35"/>
    <x v="0"/>
    <x v="0"/>
    <x v="0"/>
  </r>
  <r>
    <x v="57"/>
    <x v="6"/>
    <x v="1"/>
    <x v="0"/>
    <x v="0"/>
    <x v="25"/>
    <x v="52"/>
    <x v="0"/>
    <x v="0"/>
    <x v="0"/>
  </r>
  <r>
    <x v="65"/>
    <x v="4"/>
    <x v="2"/>
    <x v="3"/>
    <x v="0"/>
    <x v="16"/>
    <x v="34"/>
    <x v="0"/>
    <x v="0"/>
    <x v="0"/>
  </r>
  <r>
    <x v="70"/>
    <x v="6"/>
    <x v="1"/>
    <x v="0"/>
    <x v="0"/>
    <x v="0"/>
    <x v="53"/>
    <x v="0"/>
    <x v="0"/>
    <x v="0"/>
  </r>
  <r>
    <x v="111"/>
    <x v="8"/>
    <x v="2"/>
    <x v="6"/>
    <x v="0"/>
    <x v="12"/>
    <x v="42"/>
    <x v="0"/>
    <x v="0"/>
    <x v="0"/>
  </r>
  <r>
    <x v="112"/>
    <x v="8"/>
    <x v="1"/>
    <x v="4"/>
    <x v="0"/>
    <x v="0"/>
    <x v="53"/>
    <x v="0"/>
    <x v="0"/>
    <x v="0"/>
  </r>
  <r>
    <x v="127"/>
    <x v="8"/>
    <x v="2"/>
    <x v="6"/>
    <x v="0"/>
    <x v="33"/>
    <x v="43"/>
    <x v="0"/>
    <x v="0"/>
    <x v="0"/>
  </r>
  <r>
    <x v="128"/>
    <x v="6"/>
    <x v="2"/>
    <x v="1"/>
    <x v="0"/>
    <x v="11"/>
    <x v="51"/>
    <x v="0"/>
    <x v="0"/>
    <x v="0"/>
  </r>
  <r>
    <x v="132"/>
    <x v="6"/>
    <x v="2"/>
    <x v="1"/>
    <x v="0"/>
    <x v="0"/>
    <x v="53"/>
    <x v="0"/>
    <x v="0"/>
    <x v="0"/>
  </r>
  <r>
    <x v="133"/>
    <x v="6"/>
    <x v="1"/>
    <x v="0"/>
    <x v="0"/>
    <x v="42"/>
    <x v="37"/>
    <x v="0"/>
    <x v="0"/>
    <x v="0"/>
  </r>
  <r>
    <x v="142"/>
    <x v="5"/>
    <x v="2"/>
    <x v="3"/>
    <x v="0"/>
    <x v="44"/>
    <x v="29"/>
    <x v="0"/>
    <x v="0"/>
    <x v="0"/>
  </r>
  <r>
    <x v="152"/>
    <x v="6"/>
    <x v="2"/>
    <x v="1"/>
    <x v="0"/>
    <x v="37"/>
    <x v="34"/>
    <x v="0"/>
    <x v="0"/>
    <x v="0"/>
  </r>
  <r>
    <x v="162"/>
    <x v="6"/>
    <x v="1"/>
    <x v="0"/>
    <x v="0"/>
    <x v="19"/>
    <x v="29"/>
    <x v="0"/>
    <x v="0"/>
    <x v="0"/>
  </r>
  <r>
    <x v="163"/>
    <x v="6"/>
    <x v="2"/>
    <x v="1"/>
    <x v="0"/>
    <x v="12"/>
    <x v="35"/>
    <x v="0"/>
    <x v="0"/>
    <x v="0"/>
  </r>
  <r>
    <x v="170"/>
    <x v="4"/>
    <x v="2"/>
    <x v="3"/>
    <x v="0"/>
    <x v="11"/>
    <x v="47"/>
    <x v="0"/>
    <x v="0"/>
    <x v="0"/>
  </r>
  <r>
    <x v="179"/>
    <x v="7"/>
    <x v="1"/>
    <x v="5"/>
    <x v="0"/>
    <x v="0"/>
    <x v="53"/>
    <x v="0"/>
    <x v="0"/>
    <x v="0"/>
  </r>
  <r>
    <x v="180"/>
    <x v="7"/>
    <x v="0"/>
    <x v="2"/>
    <x v="0"/>
    <x v="0"/>
    <x v="53"/>
    <x v="0"/>
    <x v="0"/>
    <x v="0"/>
  </r>
  <r>
    <x v="182"/>
    <x v="7"/>
    <x v="0"/>
    <x v="2"/>
    <x v="0"/>
    <x v="6"/>
    <x v="32"/>
    <x v="0"/>
    <x v="0"/>
    <x v="0"/>
  </r>
  <r>
    <x v="188"/>
    <x v="7"/>
    <x v="1"/>
    <x v="5"/>
    <x v="0"/>
    <x v="0"/>
    <x v="53"/>
    <x v="0"/>
    <x v="0"/>
    <x v="0"/>
  </r>
  <r>
    <x v="194"/>
    <x v="7"/>
    <x v="2"/>
    <x v="8"/>
    <x v="0"/>
    <x v="0"/>
    <x v="53"/>
    <x v="0"/>
    <x v="0"/>
    <x v="0"/>
  </r>
  <r>
    <x v="202"/>
    <x v="7"/>
    <x v="1"/>
    <x v="5"/>
    <x v="0"/>
    <x v="0"/>
    <x v="53"/>
    <x v="0"/>
    <x v="0"/>
    <x v="0"/>
  </r>
  <r>
    <x v="204"/>
    <x v="7"/>
    <x v="1"/>
    <x v="5"/>
    <x v="0"/>
    <x v="33"/>
    <x v="30"/>
    <x v="0"/>
    <x v="0"/>
    <x v="0"/>
  </r>
  <r>
    <x v="214"/>
    <x v="7"/>
    <x v="1"/>
    <x v="5"/>
    <x v="0"/>
    <x v="46"/>
    <x v="29"/>
    <x v="0"/>
    <x v="0"/>
    <x v="0"/>
  </r>
  <r>
    <x v="220"/>
    <x v="6"/>
    <x v="1"/>
    <x v="0"/>
    <x v="0"/>
    <x v="0"/>
    <x v="53"/>
    <x v="0"/>
    <x v="0"/>
    <x v="0"/>
  </r>
  <r>
    <x v="233"/>
    <x v="4"/>
    <x v="2"/>
    <x v="3"/>
    <x v="0"/>
    <x v="4"/>
    <x v="39"/>
    <x v="0"/>
    <x v="0"/>
    <x v="0"/>
  </r>
  <r>
    <x v="236"/>
    <x v="8"/>
    <x v="1"/>
    <x v="4"/>
    <x v="0"/>
    <x v="0"/>
    <x v="53"/>
    <x v="0"/>
    <x v="0"/>
    <x v="0"/>
  </r>
  <r>
    <x v="238"/>
    <x v="3"/>
    <x v="2"/>
    <x v="6"/>
    <x v="0"/>
    <x v="4"/>
    <x v="45"/>
    <x v="0"/>
    <x v="0"/>
    <x v="0"/>
  </r>
  <r>
    <x v="257"/>
    <x v="8"/>
    <x v="1"/>
    <x v="4"/>
    <x v="0"/>
    <x v="9"/>
    <x v="38"/>
    <x v="0"/>
    <x v="0"/>
    <x v="0"/>
  </r>
  <r>
    <x v="258"/>
    <x v="8"/>
    <x v="1"/>
    <x v="4"/>
    <x v="0"/>
    <x v="20"/>
    <x v="39"/>
    <x v="0"/>
    <x v="0"/>
    <x v="0"/>
  </r>
  <r>
    <x v="260"/>
    <x v="6"/>
    <x v="1"/>
    <x v="0"/>
    <x v="0"/>
    <x v="21"/>
    <x v="37"/>
    <x v="0"/>
    <x v="0"/>
    <x v="0"/>
  </r>
  <r>
    <x v="264"/>
    <x v="6"/>
    <x v="1"/>
    <x v="0"/>
    <x v="0"/>
    <x v="42"/>
    <x v="32"/>
    <x v="0"/>
    <x v="0"/>
    <x v="0"/>
  </r>
  <r>
    <x v="268"/>
    <x v="4"/>
    <x v="1"/>
    <x v="7"/>
    <x v="0"/>
    <x v="0"/>
    <x v="53"/>
    <x v="0"/>
    <x v="0"/>
    <x v="0"/>
  </r>
  <r>
    <x v="276"/>
    <x v="8"/>
    <x v="1"/>
    <x v="4"/>
    <x v="0"/>
    <x v="8"/>
    <x v="40"/>
    <x v="0"/>
    <x v="0"/>
    <x v="0"/>
  </r>
  <r>
    <x v="187"/>
    <x v="7"/>
    <x v="1"/>
    <x v="5"/>
    <x v="0"/>
    <x v="20"/>
    <x v="37"/>
    <x v="0"/>
    <x v="0"/>
    <x v="0"/>
  </r>
  <r>
    <x v="181"/>
    <x v="7"/>
    <x v="2"/>
    <x v="8"/>
    <x v="0"/>
    <x v="2"/>
    <x v="37"/>
    <x v="0"/>
    <x v="0"/>
    <x v="0"/>
  </r>
  <r>
    <x v="183"/>
    <x v="7"/>
    <x v="2"/>
    <x v="8"/>
    <x v="0"/>
    <x v="1"/>
    <x v="52"/>
    <x v="0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6-week1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H2:J14" firstHeaderRow="1" firstDataRow="2" firstDataCol="1"/>
  <pivotFields count="10">
    <pivotField dataField="1" compact="0" showAll="0" outline="0"/>
    <pivotField compact="0" showAll="0" outline="0"/>
    <pivotField compact="0" showAll="0" outline="0"/>
    <pivotField axis="axisRow" compact="0" showAll="0" outline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dataField="1" compact="0" showAll="0" outline="0"/>
  </pivotFields>
  <rowFields count="1">
    <field x="3"/>
  </rowFields>
  <colFields count="1">
    <field x="-2"/>
  </colFields>
  <dataFields count="2">
    <dataField name="COUNTA of Operator" fld="0" subtotal="count" numFmtId="164"/>
    <dataField name="AVERAGE of average Score" fld="9" subtotal="average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6"/>
    <col collapsed="false" customWidth="true" hidden="false" outlineLevel="0" max="6" min="6" style="0" width="3"/>
    <col collapsed="false" customWidth="true" hidden="false" outlineLevel="0" max="7" min="7" style="0" width="22"/>
    <col collapsed="false" customWidth="true" hidden="false" outlineLevel="0" max="10" min="8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f aca="false">COUNTIF('Operators performance'!$E$3:$E$1001,A5)</f>
        <v>42</v>
      </c>
      <c r="C5" s="5" t="n">
        <f aca="false">SUMIF('Operators performance'!$E$3:$E$1001,A5,'Operators performance'!$G$3:$G$1001)+SUMIF('Operators performance'!$E$3:$E$1001,A5,'Operators performance'!$L$3:$L$1001)</f>
        <v>8361</v>
      </c>
      <c r="D5" s="6" t="n">
        <f aca="false">IFERROR((AVERAGEIF('Operators performance'!$E$3:$E$1001,A5,'Operators performance'!$H$3:$H$1001)+AVERAGEIF('Operators performance'!$E$3:$E$1001,A5,'Operators performance'!$M$3:$M$1001))/2,0)</f>
        <v>28.7375</v>
      </c>
      <c r="E5" s="7" t="n">
        <f aca="false">IFERROR((AVERAGEIF('Operators performance'!$E$3:$E$1001,A5,'Operators performance'!$K$3:$K$1001)+AVERAGEIF('Operators performance'!$E$3:$E$1001,A5,'Operators performance'!$P$3:$P$1001))/2,0)</f>
        <v>2.52976190476191</v>
      </c>
    </row>
    <row r="6" customFormat="false" ht="15" hidden="false" customHeight="false" outlineLevel="0" collapsed="false">
      <c r="A6" s="4" t="s">
        <v>8</v>
      </c>
      <c r="B6" s="5" t="n">
        <f aca="false">COUNTIF('Operators performance'!$E$3:$E$1001,A6)</f>
        <v>32</v>
      </c>
      <c r="C6" s="5" t="n">
        <f aca="false">SUMIF('Operators performance'!$E$3:$E$1001,A6,'Operators performance'!$G$3:$G$1001)+SUMIF('Operators performance'!$E$3:$E$1001,A6,'Operators performance'!$L$3:$L$1001)</f>
        <v>5488</v>
      </c>
      <c r="D6" s="6" t="n">
        <f aca="false">IFERROR((AVERAGEIF('Operators performance'!$E$3:$E$1001,A6,'Operators performance'!$H$3:$H$1001)+AVERAGEIF('Operators performance'!$E$3:$E$1001,A6,'Operators performance'!$M$3:$M$1001))/2,0)</f>
        <v>31.80625</v>
      </c>
      <c r="E6" s="7" t="n">
        <f aca="false">IFERROR((AVERAGEIF('Operators performance'!$E$3:$E$1001,A6,'Operators performance'!$K$3:$K$1001)+AVERAGEIF('Operators performance'!$E$3:$E$1001,A6,'Operators performance'!$P$3:$P$1001))/2,0)</f>
        <v>2.1328125</v>
      </c>
    </row>
    <row r="7" customFormat="false" ht="15" hidden="false" customHeight="false" outlineLevel="0" collapsed="false">
      <c r="A7" s="4" t="s">
        <v>9</v>
      </c>
      <c r="B7" s="5" t="n">
        <f aca="false">COUNTIF('Operators performance'!$E$3:$E$1001,A7)</f>
        <v>3</v>
      </c>
      <c r="C7" s="5" t="n">
        <f aca="false">SUMIF('Operators performance'!$E$3:$E$1001,A7,'Operators performance'!$G$3:$G$1001)+SUMIF('Operators performance'!$E$3:$E$1001,A7,'Operators performance'!$L$3:$L$1001)</f>
        <v>46</v>
      </c>
      <c r="D7" s="6" t="n">
        <f aca="false">IFERROR((AVERAGEIF('Operators performance'!$E$3:$E$1001,A7,'Operators performance'!$H$3:$H$1001)+AVERAGEIF('Operators performance'!$E$3:$E$1001,A7,'Operators performance'!$M$3:$M$1001))/2,0)</f>
        <v>22.1666666666667</v>
      </c>
      <c r="E7" s="7" t="n">
        <f aca="false">IFERROR((AVERAGEIF('Operators performance'!$E$3:$E$1001,A7,'Operators performance'!$K$3:$K$1001)+AVERAGEIF('Operators performance'!$E$3:$E$1001,A7,'Operators performance'!$P$3:$P$1001))/2,0)</f>
        <v>1.5</v>
      </c>
    </row>
    <row r="8" customFormat="false" ht="15" hidden="false" customHeight="false" outlineLevel="0" collapsed="false">
      <c r="A8" s="4" t="s">
        <v>10</v>
      </c>
      <c r="B8" s="5" t="n">
        <f aca="false">COUNTIF('Operators performance'!$E$3:$E$1001,A8)</f>
        <v>51</v>
      </c>
      <c r="C8" s="5" t="n">
        <f aca="false">SUMIF('Operators performance'!$E$3:$E$1001,A8,'Operators performance'!$G$3:$G$1001)+SUMIF('Operators performance'!$E$3:$E$1001,A8,'Operators performance'!$L$3:$L$1001)</f>
        <v>12812</v>
      </c>
      <c r="D8" s="6" t="n">
        <f aca="false">IFERROR((AVERAGEIF('Operators performance'!$E$3:$E$1001,A8,'Operators performance'!$H$3:$H$1001)+AVERAGEIF('Operators performance'!$E$3:$E$1001,A8,'Operators performance'!$M$3:$M$1001))/2,0)</f>
        <v>28.3927450980392</v>
      </c>
      <c r="E8" s="7" t="n">
        <f aca="false">IFERROR((AVERAGEIF('Operators performance'!$E$3:$E$1001,A8,'Operators performance'!$K$3:$K$1001)+AVERAGEIF('Operators performance'!$E$3:$E$1001,A8,'Operators performance'!$P$3:$P$1001))/2,0)</f>
        <v>2.82843137254902</v>
      </c>
    </row>
    <row r="9" customFormat="false" ht="15" hidden="false" customHeight="false" outlineLevel="0" collapsed="false">
      <c r="A9" s="4" t="s">
        <v>11</v>
      </c>
      <c r="B9" s="5" t="n">
        <f aca="false">COUNTIF('Operators performance'!$E$3:$E$1001,A9)</f>
        <v>44</v>
      </c>
      <c r="C9" s="5" t="n">
        <f aca="false">SUMIF('Operators performance'!$E$3:$E$1001,A9,'Operators performance'!$G$3:$G$1001)+SUMIF('Operators performance'!$E$3:$E$1001,A9,'Operators performance'!$L$3:$L$1001)</f>
        <v>9632</v>
      </c>
      <c r="D9" s="6" t="n">
        <f aca="false">IFERROR((AVERAGEIF('Operators performance'!$E$3:$E$1001,A9,'Operators performance'!$H$3:$H$1001)+AVERAGEIF('Operators performance'!$E$3:$E$1001,A9,'Operators performance'!$M$3:$M$1001))/2,0)</f>
        <v>32.9393939393939</v>
      </c>
      <c r="E9" s="7" t="n">
        <f aca="false">IFERROR((AVERAGEIF('Operators performance'!$E$3:$E$1001,A9,'Operators performance'!$K$3:$K$1001)+AVERAGEIF('Operators performance'!$E$3:$E$1001,A9,'Operators performance'!$P$3:$P$1001))/2,0)</f>
        <v>2.35227272727273</v>
      </c>
    </row>
    <row r="10" customFormat="false" ht="15" hidden="false" customHeight="false" outlineLevel="0" collapsed="false">
      <c r="A10" s="4" t="s">
        <v>12</v>
      </c>
      <c r="B10" s="5" t="n">
        <f aca="false">COUNTIF('Operators performance'!$E$3:$E$1001,A10)</f>
        <v>30</v>
      </c>
      <c r="C10" s="5" t="n">
        <f aca="false">SUMIF('Operators performance'!$E$3:$E$1001,A10,'Operators performance'!$G$3:$G$1001)+SUMIF('Operators performance'!$E$3:$E$1001,A10,'Operators performance'!$L$3:$L$1001)</f>
        <v>5799</v>
      </c>
      <c r="D10" s="6" t="n">
        <f aca="false">IFERROR((AVERAGEIF('Operators performance'!$E$3:$E$1001,A10,'Operators performance'!$H$3:$H$1001)+AVERAGEIF('Operators performance'!$E$3:$E$1001,A10,'Operators performance'!$M$3:$M$1001))/2,0)</f>
        <v>26.4759259259259</v>
      </c>
      <c r="E10" s="7" t="n">
        <f aca="false">IFERROR((AVERAGEIF('Operators performance'!$E$3:$E$1001,A10,'Operators performance'!$K$3:$K$1001)+AVERAGEIF('Operators performance'!$E$3:$E$1001,A10,'Operators performance'!$P$3:$P$1001))/2,0)</f>
        <v>2.50833333333333</v>
      </c>
    </row>
    <row r="11" customFormat="false" ht="15" hidden="false" customHeight="false" outlineLevel="0" collapsed="false">
      <c r="A11" s="4" t="s">
        <v>13</v>
      </c>
      <c r="B11" s="5" t="n">
        <f aca="false">COUNTIF('Operators performance'!$E$3:$E$1001,A11)</f>
        <v>29</v>
      </c>
      <c r="C11" s="5" t="n">
        <f aca="false">SUMIF('Operators performance'!$E$3:$E$1001,A11,'Operators performance'!$G$3:$G$1001)+SUMIF('Operators performance'!$E$3:$E$1001,A11,'Operators performance'!$L$3:$L$1001)</f>
        <v>6660</v>
      </c>
      <c r="D11" s="6" t="n">
        <f aca="false">IFERROR((AVERAGEIF('Operators performance'!$E$3:$E$1001,A11,'Operators performance'!$H$3:$H$1001)+AVERAGEIF('Operators performance'!$E$3:$E$1001,A11,'Operators performance'!$M$3:$M$1001))/2,0)</f>
        <v>37.4137931034483</v>
      </c>
      <c r="E11" s="7" t="n">
        <f aca="false">IFERROR((AVERAGEIF('Operators performance'!$E$3:$E$1001,A11,'Operators performance'!$K$3:$K$1001)+AVERAGEIF('Operators performance'!$E$3:$E$1001,A11,'Operators performance'!$P$3:$P$1001))/2,0)</f>
        <v>2.25</v>
      </c>
    </row>
    <row r="12" customFormat="false" ht="15" hidden="false" customHeight="false" outlineLevel="0" collapsed="false">
      <c r="A12" s="4" t="s">
        <v>14</v>
      </c>
      <c r="B12" s="5" t="n">
        <f aca="false">COUNTIF('Operators performance'!$E$3:$E$1001,A12)</f>
        <v>45</v>
      </c>
      <c r="C12" s="5" t="n">
        <f aca="false">SUMIF('Operators performance'!$E$3:$E$1001,A12,'Operators performance'!$G$3:$G$1001)+SUMIF('Operators performance'!$E$3:$E$1001,A12,'Operators performance'!$L$3:$L$1001)</f>
        <v>10746</v>
      </c>
      <c r="D12" s="6" t="n">
        <f aca="false">IFERROR((AVERAGEIF('Operators performance'!$E$3:$E$1001,A12,'Operators performance'!$H$3:$H$1001)+AVERAGEIF('Operators performance'!$E$3:$E$1001,A12,'Operators performance'!$M$3:$M$1001))/2,0)</f>
        <v>25.6646464646465</v>
      </c>
      <c r="E12" s="7" t="n">
        <f aca="false">IFERROR((AVERAGEIF('Operators performance'!$E$3:$E$1001,A12,'Operators performance'!$K$3:$K$1001)+AVERAGEIF('Operators performance'!$E$3:$E$1001,A12,'Operators performance'!$P$3:$P$1001))/2,0)</f>
        <v>2.81111111111111</v>
      </c>
    </row>
    <row r="13" customFormat="false" ht="15" hidden="false" customHeight="false" outlineLevel="0" collapsed="false">
      <c r="A13" s="4" t="s">
        <v>15</v>
      </c>
      <c r="B13" s="5" t="n">
        <f aca="false">COUNTIF('Operators performance'!$E$3:$E$1001,A13)</f>
        <v>6</v>
      </c>
      <c r="C13" s="5" t="n">
        <f aca="false">SUMIF('Operators performance'!$E$3:$E$1001,A13,'Operators performance'!$G$3:$G$1001)+SUMIF('Operators performance'!$E$3:$E$1001,A13,'Operators performance'!$L$3:$L$1001)</f>
        <v>347</v>
      </c>
      <c r="D13" s="6" t="n">
        <f aca="false">IFERROR((AVERAGEIF('Operators performance'!$E$3:$E$1001,A13,'Operators performance'!$H$3:$H$1001)+AVERAGEIF('Operators performance'!$E$3:$E$1001,A13,'Operators performance'!$M$3:$M$1001))/2,0)</f>
        <v>35.1666666666667</v>
      </c>
      <c r="E13" s="7" t="n">
        <f aca="false">IFERROR((AVERAGEIF('Operators performance'!$E$3:$E$1001,A13,'Operators performance'!$K$3:$K$1001)+AVERAGEIF('Operators performance'!$E$3:$E$1001,A13,'Operators performance'!$P$3:$P$1001))/2,0)</f>
        <v>1.41666666666667</v>
      </c>
    </row>
    <row r="16" customFormat="false" ht="15" hidden="false" customHeight="false" outlineLevel="0" collapsed="false">
      <c r="A16" s="2" t="s">
        <v>16</v>
      </c>
    </row>
    <row r="17" customFormat="false" ht="15" hidden="false" customHeight="false" outlineLevel="0" collapsed="false">
      <c r="A17" s="3" t="s">
        <v>17</v>
      </c>
      <c r="B17" s="3" t="s">
        <v>3</v>
      </c>
      <c r="C17" s="3" t="s">
        <v>4</v>
      </c>
      <c r="D17" s="3" t="s">
        <v>6</v>
      </c>
    </row>
    <row r="18" customFormat="false" ht="15" hidden="false" customHeight="false" outlineLevel="0" collapsed="false">
      <c r="A18" s="4" t="s">
        <v>18</v>
      </c>
      <c r="B18" s="5" t="n">
        <f aca="false">COUNTIF('Operators performance'!$C$3:$C$1001,A18)</f>
        <v>1</v>
      </c>
      <c r="C18" s="5" t="n">
        <f aca="false">SUMIF('Operators performance'!$C$3:$C$1001,A18,'Operators performance'!$G$3:$G$1001)+SUMIF('Operators performance'!$C$3:$C$1001,A18,'Operators performance'!$L$3:$L$1001)</f>
        <v>167</v>
      </c>
      <c r="D18" s="7" t="n">
        <f aca="false">IFERROR((AVERAGEIF('Operators performance'!$C$3:$C$1001,A18,'Operators performance'!$K$3:$K$1001)+AVERAGEIF('Operators performance'!$C$3:$C$1001,A18,'Operators performance'!$P$3:$P$1001))/2,0)</f>
        <v>1.25</v>
      </c>
    </row>
    <row r="19" customFormat="false" ht="15" hidden="false" customHeight="false" outlineLevel="0" collapsed="false">
      <c r="A19" s="4" t="s">
        <v>19</v>
      </c>
      <c r="B19" s="5" t="n">
        <f aca="false">COUNTIF('Operators performance'!$C$3:$C$1001,A19)</f>
        <v>1</v>
      </c>
      <c r="C19" s="5" t="n">
        <f aca="false">SUMIF('Operators performance'!$C$3:$C$1001,A19,'Operators performance'!$G$3:$G$1001)+SUMIF('Operators performance'!$C$3:$C$1001,A19,'Operators performance'!$L$3:$L$1001)</f>
        <v>162</v>
      </c>
      <c r="D19" s="7" t="n">
        <f aca="false">IFERROR((AVERAGEIF('Operators performance'!$C$3:$C$1001,A19,'Operators performance'!$K$3:$K$1001)+AVERAGEIF('Operators performance'!$C$3:$C$1001,A19,'Operators performance'!$P$3:$P$1001))/2,0)</f>
        <v>1.25</v>
      </c>
    </row>
    <row r="20" customFormat="false" ht="15" hidden="false" customHeight="false" outlineLevel="0" collapsed="false">
      <c r="A20" s="4" t="s">
        <v>20</v>
      </c>
      <c r="B20" s="5" t="n">
        <f aca="false">COUNTIF('Operators performance'!$C$3:$C$1001,A20)</f>
        <v>38</v>
      </c>
      <c r="C20" s="5" t="n">
        <f aca="false">SUMIF('Operators performance'!$C$3:$C$1001,A20,'Operators performance'!$G$3:$G$1001)+SUMIF('Operators performance'!$C$3:$C$1001,A20,'Operators performance'!$L$3:$L$1001)</f>
        <v>12601</v>
      </c>
      <c r="D20" s="7" t="n">
        <f aca="false">IFERROR((AVERAGEIF('Operators performance'!$C$3:$C$1001,A20,'Operators performance'!$K$3:$K$1001)+AVERAGEIF('Operators performance'!$C$3:$C$1001,A20,'Operators performance'!$P$3:$P$1001))/2,0)</f>
        <v>3.42105263157895</v>
      </c>
    </row>
    <row r="21" customFormat="false" ht="15" hidden="false" customHeight="false" outlineLevel="0" collapsed="false">
      <c r="A21" s="4" t="s">
        <v>21</v>
      </c>
      <c r="B21" s="5" t="n">
        <f aca="false">COUNTIF('Operators performance'!$C$3:$C$1001,A21)</f>
        <v>48</v>
      </c>
      <c r="C21" s="5" t="n">
        <f aca="false">SUMIF('Operators performance'!$C$3:$C$1001,A21,'Operators performance'!$G$3:$G$1001)+SUMIF('Operators performance'!$C$3:$C$1001,A21,'Operators performance'!$L$3:$L$1001)</f>
        <v>9625</v>
      </c>
      <c r="D21" s="7" t="n">
        <f aca="false">IFERROR((AVERAGEIF('Operators performance'!$C$3:$C$1001,A21,'Operators performance'!$K$3:$K$1001)+AVERAGEIF('Operators performance'!$C$3:$C$1001,A21,'Operators performance'!$P$3:$P$1001))/2,0)</f>
        <v>2.61458333333333</v>
      </c>
    </row>
    <row r="22" customFormat="false" ht="15" hidden="false" customHeight="false" outlineLevel="0" collapsed="false">
      <c r="A22" s="4" t="s">
        <v>22</v>
      </c>
      <c r="B22" s="5" t="n">
        <f aca="false">COUNTIF('Operators performance'!$C$3:$C$1001,A22)</f>
        <v>9</v>
      </c>
      <c r="C22" s="5" t="n">
        <f aca="false">SUMIF('Operators performance'!$C$3:$C$1001,A22,'Operators performance'!$G$3:$G$1001)+SUMIF('Operators performance'!$C$3:$C$1001,A22,'Operators performance'!$L$3:$L$1001)</f>
        <v>1165</v>
      </c>
      <c r="D22" s="7" t="n">
        <f aca="false">IFERROR((AVERAGEIF('Operators performance'!$C$3:$C$1001,A22,'Operators performance'!$K$3:$K$1001)+AVERAGEIF('Operators performance'!$C$3:$C$1001,A22,'Operators performance'!$P$3:$P$1001))/2,0)</f>
        <v>1.55555555555556</v>
      </c>
    </row>
    <row r="23" customFormat="false" ht="15" hidden="false" customHeight="false" outlineLevel="0" collapsed="false">
      <c r="A23" s="4" t="s">
        <v>23</v>
      </c>
      <c r="B23" s="5" t="n">
        <f aca="false">COUNTIF('Operators performance'!$C$3:$C$1001,A23)</f>
        <v>74</v>
      </c>
      <c r="C23" s="5" t="n">
        <f aca="false">SUMIF('Operators performance'!$C$3:$C$1001,A23,'Operators performance'!$G$3:$G$1001)+SUMIF('Operators performance'!$C$3:$C$1001,A23,'Operators performance'!$L$3:$L$1001)</f>
        <v>13849</v>
      </c>
      <c r="D23" s="7" t="n">
        <f aca="false">IFERROR((AVERAGEIF('Operators performance'!$C$3:$C$1001,A23,'Operators performance'!$K$3:$K$1001)+AVERAGEIF('Operators performance'!$C$3:$C$1001,A23,'Operators performance'!$P$3:$P$1001))/2,0)</f>
        <v>2.35810810810811</v>
      </c>
    </row>
    <row r="24" customFormat="false" ht="15" hidden="false" customHeight="false" outlineLevel="0" collapsed="false">
      <c r="A24" s="4" t="s">
        <v>24</v>
      </c>
      <c r="B24" s="5" t="n">
        <f aca="false">COUNTIF('Operators performance'!$C$3:$C$1001,A24)</f>
        <v>39</v>
      </c>
      <c r="C24" s="5" t="n">
        <f aca="false">SUMIF('Operators performance'!$C$3:$C$1001,A24,'Operators performance'!$G$3:$G$1001)+SUMIF('Operators performance'!$C$3:$C$1001,A24,'Operators performance'!$L$3:$L$1001)</f>
        <v>6192</v>
      </c>
      <c r="D24" s="7" t="n">
        <f aca="false">IFERROR((AVERAGEIF('Operators performance'!$C$3:$C$1001,A24,'Operators performance'!$K$3:$K$1001)+AVERAGEIF('Operators performance'!$C$3:$C$1001,A24,'Operators performance'!$P$3:$P$1001))/2,0)</f>
        <v>2.26282051282051</v>
      </c>
    </row>
    <row r="25" customFormat="false" ht="15" hidden="false" customHeight="false" outlineLevel="0" collapsed="false">
      <c r="A25" s="4" t="s">
        <v>25</v>
      </c>
      <c r="B25" s="5" t="n">
        <f aca="false">COUNTIF('Operators performance'!$C$3:$C$1001,A25)</f>
        <v>58</v>
      </c>
      <c r="C25" s="5" t="n">
        <f aca="false">SUMIF('Operators performance'!$C$3:$C$1001,A25,'Operators performance'!$G$3:$G$1001)+SUMIF('Operators performance'!$C$3:$C$1001,A25,'Operators performance'!$L$3:$L$1001)</f>
        <v>13773</v>
      </c>
      <c r="D25" s="7" t="n">
        <f aca="false">IFERROR((AVERAGEIF('Operators performance'!$C$3:$C$1001,A25,'Operators performance'!$K$3:$K$1001)+AVERAGEIF('Operators performance'!$C$3:$C$1001,A25,'Operators performance'!$P$3:$P$1001))/2,0)</f>
        <v>2.39224137931035</v>
      </c>
    </row>
    <row r="26" customFormat="false" ht="15" hidden="false" customHeight="false" outlineLevel="0" collapsed="false">
      <c r="A26" s="4" t="s">
        <v>26</v>
      </c>
      <c r="B26" s="5" t="n">
        <f aca="false">COUNTIF('Operators performance'!$C$3:$C$1001,A26)</f>
        <v>11</v>
      </c>
      <c r="C26" s="5" t="n">
        <f aca="false">SUMIF('Operators performance'!$C$3:$C$1001,A26,'Operators performance'!$G$3:$G$1001)+SUMIF('Operators performance'!$C$3:$C$1001,A26,'Operators performance'!$L$3:$L$1001)</f>
        <v>2202</v>
      </c>
      <c r="D26" s="7" t="n">
        <f aca="false">IFERROR((AVERAGEIF('Operators performance'!$C$3:$C$1001,A26,'Operators performance'!$K$3:$K$1001)+AVERAGEIF('Operators performance'!$C$3:$C$1001,A26,'Operators performance'!$P$3:$P$1001))/2,0)</f>
        <v>2.09090909090909</v>
      </c>
    </row>
    <row r="27" customFormat="false" ht="15" hidden="false" customHeight="false" outlineLevel="0" collapsed="false">
      <c r="A27" s="4" t="s">
        <v>27</v>
      </c>
      <c r="B27" s="5" t="n">
        <f aca="false">COUNTIF('Operators performance'!$C$3:$C$1001,A27)</f>
        <v>3</v>
      </c>
      <c r="C27" s="5" t="n">
        <f aca="false">SUMIF('Operators performance'!$C$3:$C$1001,A27,'Operators performance'!$G$3:$G$1001)+SUMIF('Operators performance'!$C$3:$C$1001,A27,'Operators performance'!$L$3:$L$1001)</f>
        <v>155</v>
      </c>
      <c r="D27" s="7" t="n">
        <f aca="false">IFERROR((AVERAGEIF('Operators performance'!$C$3:$C$1001,A27,'Operators performance'!$K$3:$K$1001)+AVERAGEIF('Operators performance'!$C$3:$C$1001,A27,'Operators performance'!$P$3:$P$1001))/2,0)</f>
        <v>1.91666666666667</v>
      </c>
    </row>
    <row r="30" customFormat="false" ht="15" hidden="false" customHeight="false" outlineLevel="0" collapsed="false">
      <c r="A30" s="2" t="s">
        <v>28</v>
      </c>
    </row>
    <row r="31" customFormat="false" ht="15" hidden="false" customHeight="false" outlineLevel="0" collapsed="false">
      <c r="A31" s="3" t="s">
        <v>29</v>
      </c>
      <c r="B31" s="3" t="s">
        <v>30</v>
      </c>
    </row>
    <row r="32" customFormat="false" ht="15" hidden="false" customHeight="false" outlineLevel="0" collapsed="false">
      <c r="A32" s="4" t="s">
        <v>31</v>
      </c>
      <c r="B32" s="5" t="n">
        <f aca="false">SUM('Operator Bugs'!$M$2:$M$1002)</f>
        <v>0</v>
      </c>
    </row>
    <row r="33" customFormat="false" ht="15" hidden="false" customHeight="false" outlineLevel="0" collapsed="false">
      <c r="A33" s="4" t="s">
        <v>32</v>
      </c>
      <c r="B33" s="5" t="n">
        <f aca="false">SUM('Operator Bugs'!$N$2:$N$1002)</f>
        <v>0</v>
      </c>
    </row>
    <row r="34" customFormat="false" ht="15" hidden="false" customHeight="false" outlineLevel="0" collapsed="false">
      <c r="A34" s="4" t="s">
        <v>33</v>
      </c>
      <c r="B34" s="5" t="n">
        <f aca="false">SUM('Operator Bugs'!$O$2:$O$1002)</f>
        <v>0</v>
      </c>
    </row>
    <row r="35" customFormat="false" ht="15" hidden="false" customHeight="false" outlineLevel="0" collapsed="false">
      <c r="A35" s="4" t="s">
        <v>34</v>
      </c>
      <c r="B35" s="5" t="n">
        <f aca="false">SUM('Operator Bugs'!$P$2:$P$1002)</f>
        <v>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0" topLeftCell="G1" activePane="topRight" state="frozen"/>
      <selection pane="topLeft" activeCell="A1" activeCellId="0" sqref="A1"/>
      <selection pane="topRight" activeCell="H2" activeCellId="0" sqref="H2"/>
    </sheetView>
  </sheetViews>
  <sheetFormatPr defaultColWidth="12.6328125" defaultRowHeight="15.75" zeroHeight="false" outlineLevelRow="0" outlineLevelCol="0"/>
  <cols>
    <col collapsed="false" customWidth="true" hidden="true" outlineLevel="0" max="1" min="1" style="8" width="30.88"/>
    <col collapsed="false" customWidth="true" hidden="false" outlineLevel="0" max="2" min="2" style="8" width="31.25"/>
    <col collapsed="false" customWidth="true" hidden="false" outlineLevel="0" max="3" min="3" style="8" width="11.38"/>
    <col collapsed="false" customWidth="true" hidden="false" outlineLevel="0" max="4" min="4" style="8" width="10.63"/>
    <col collapsed="false" customWidth="true" hidden="false" outlineLevel="0" max="5" min="5" style="8" width="22.75"/>
    <col collapsed="false" customWidth="true" hidden="false" outlineLevel="0" max="6" min="6" style="8" width="18"/>
    <col collapsed="false" customWidth="true" hidden="false" outlineLevel="0" max="7" min="7" style="8" width="12.38"/>
    <col collapsed="false" customWidth="true" hidden="false" outlineLevel="0" max="8" min="8" style="8" width="17.75"/>
    <col collapsed="false" customWidth="true" hidden="false" outlineLevel="0" max="9" min="9" style="8" width="18.38"/>
    <col collapsed="false" customWidth="true" hidden="false" outlineLevel="0" max="10" min="10" style="8" width="15.63"/>
    <col collapsed="false" customWidth="true" hidden="false" outlineLevel="0" max="11" min="11" style="8" width="12.38"/>
    <col collapsed="false" customWidth="true" hidden="false" outlineLevel="0" max="13" min="12" style="8" width="16.5"/>
    <col collapsed="false" customWidth="true" hidden="false" outlineLevel="0" max="14" min="14" style="8" width="21.38"/>
    <col collapsed="false" customWidth="true" hidden="false" outlineLevel="0" max="17" min="15" style="8" width="16.5"/>
    <col collapsed="false" customWidth="true" hidden="false" outlineLevel="0" max="34" min="18" style="8" width="30.88"/>
  </cols>
  <sheetData>
    <row r="1" customFormat="false" ht="18" hidden="false" customHeight="true" outlineLevel="0" collapsed="false">
      <c r="A1" s="9" t="s">
        <v>35</v>
      </c>
      <c r="B1" s="10" t="s">
        <v>36</v>
      </c>
      <c r="C1" s="10" t="s">
        <v>37</v>
      </c>
      <c r="D1" s="10" t="s">
        <v>38</v>
      </c>
      <c r="E1" s="10" t="s">
        <v>39</v>
      </c>
      <c r="F1" s="11" t="s">
        <v>40</v>
      </c>
      <c r="G1" s="12" t="s">
        <v>41</v>
      </c>
      <c r="H1" s="12" t="s">
        <v>42</v>
      </c>
      <c r="I1" s="12" t="s">
        <v>43</v>
      </c>
      <c r="J1" s="12" t="s">
        <v>44</v>
      </c>
      <c r="K1" s="13" t="s">
        <v>45</v>
      </c>
      <c r="L1" s="14" t="s">
        <v>41</v>
      </c>
      <c r="M1" s="14" t="s">
        <v>42</v>
      </c>
      <c r="N1" s="14" t="s">
        <v>43</v>
      </c>
      <c r="O1" s="14" t="s">
        <v>44</v>
      </c>
      <c r="P1" s="14" t="s">
        <v>45</v>
      </c>
      <c r="Q1" s="14" t="s">
        <v>46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customFormat="false" ht="18" hidden="false" customHeight="true" outlineLevel="0" collapsed="false">
      <c r="A2" s="9"/>
      <c r="B2" s="10"/>
      <c r="C2" s="10"/>
      <c r="D2" s="10"/>
      <c r="E2" s="10"/>
      <c r="F2" s="10"/>
      <c r="G2" s="16" t="s">
        <v>47</v>
      </c>
      <c r="H2" s="16"/>
      <c r="I2" s="16"/>
      <c r="J2" s="16"/>
      <c r="K2" s="16"/>
      <c r="L2" s="16" t="s">
        <v>48</v>
      </c>
      <c r="M2" s="16"/>
      <c r="N2" s="16"/>
      <c r="O2" s="16"/>
      <c r="P2" s="16"/>
      <c r="Q2" s="17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</row>
    <row r="3" customFormat="false" ht="18" hidden="false" customHeight="true" outlineLevel="0" collapsed="false">
      <c r="A3" s="18" t="s">
        <v>49</v>
      </c>
      <c r="B3" s="18" t="str">
        <f aca="false">TRIM(A3)</f>
        <v>آبتین جباری</v>
      </c>
      <c r="C3" s="18" t="str">
        <f aca="false">VLOOKUP(B3,Company!B:E,3,0)</f>
        <v>ایران</v>
      </c>
      <c r="D3" s="18" t="str">
        <f aca="false">VLOOKUP(B3,Company!B:E,2,0)</f>
        <v>صبح</v>
      </c>
      <c r="E3" s="18" t="str">
        <f aca="false" t="array" ref="E3:E3">IFERROR(INDEX('Team Leads'!$B:$D, MATCH(C3,'Team Leads'!$A:$A,0), MATCH(D3,'Team Leads'!$B$1:$D$1,0)), "")</f>
        <v>مهدی فراهانی</v>
      </c>
      <c r="F3" s="18" t="n">
        <f aca="false">VLOOKUP(B3,'Operator Bugs'!A:P,16,0)</f>
        <v>0</v>
      </c>
      <c r="G3" s="18" t="n">
        <f aca="false">IFERROR(VLOOKUP(B3,'6-week1'!B:D,2,0),0)</f>
        <v>334</v>
      </c>
      <c r="H3" s="18" t="n">
        <f aca="false">IFERROR(VLOOKUP(B3,'6-week1'!B:D,3,0),"-")</f>
        <v>8</v>
      </c>
      <c r="I3" s="18" t="n">
        <f aca="false">IF(G3&gt;179,5,IF(G3&gt;149,4,IF(G3&gt;119,3,IF(G3&gt;89,2,IF(G3&gt;59,1,IF(G3&lt;=59,0))))))</f>
        <v>5</v>
      </c>
      <c r="J3" s="18" t="n">
        <f aca="false">IF(H3&gt;39,1,IF(H3&gt;32,2,IF(H3&gt;26,3,IF(H3&gt;20,4,IF(H3&lt;=20,5)))))</f>
        <v>5</v>
      </c>
      <c r="K3" s="15" t="n">
        <f aca="false">AVERAGE(I3:J3)</f>
        <v>5</v>
      </c>
      <c r="L3" s="19" t="n">
        <f aca="false">IFERROR(VLOOKUP(B3,'6-week2'!B:D,2,0),0)</f>
        <v>298</v>
      </c>
      <c r="M3" s="19" t="n">
        <f aca="false">IFERROR(VLOOKUP(B3,'6-week2'!B:D,3,0),0)</f>
        <v>8</v>
      </c>
      <c r="N3" s="19" t="n">
        <f aca="false">IF(L3&gt;179,5,IF(L3&gt;149,4,IF(L3&gt;119,3,IF(L3&gt;89,2,IF(L3&gt;59,1,IF(L3&lt;=59,0))))))</f>
        <v>5</v>
      </c>
      <c r="O3" s="19" t="n">
        <f aca="false">IF(M3&gt;39,1,IF(M3&gt;32,2,IF(M3&gt;26,3,IF(M3&gt;20,4,IF(M3&lt;=20,5)))))</f>
        <v>5</v>
      </c>
      <c r="P3" s="19" t="n">
        <f aca="false">AVERAGE(N3,O3)</f>
        <v>5</v>
      </c>
      <c r="Q3" s="19" t="n">
        <f aca="false">IFERROR(VLOOKUP(B3,'6-week1'!B:F,5,0),0)</f>
        <v>0</v>
      </c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</row>
    <row r="4" customFormat="false" ht="18" hidden="false" customHeight="true" outlineLevel="0" collapsed="false">
      <c r="A4" s="18" t="s">
        <v>50</v>
      </c>
      <c r="B4" s="18" t="str">
        <f aca="false">TRIM(A4)</f>
        <v>رویا زارعی</v>
      </c>
      <c r="C4" s="18" t="str">
        <f aca="false">VLOOKUP(B4,Company!B:E,3,0)</f>
        <v>رازی</v>
      </c>
      <c r="D4" s="18" t="str">
        <f aca="false">VLOOKUP(B4,Company!B:E,2,0)</f>
        <v>صبح</v>
      </c>
      <c r="E4" s="18" t="str">
        <f aca="false" t="array" ref="E4:E4">IFERROR(INDEX('Team Leads'!$B:$D, MATCH(C4,'Team Leads'!$A:$A,0), MATCH(D4,'Team Leads'!$B$1:$D$1,0)), "")</f>
        <v>آتنا مالمیر</v>
      </c>
      <c r="F4" s="18" t="n">
        <f aca="false">VLOOKUP(B4,'Operator Bugs'!A:P,16,0)</f>
        <v>0</v>
      </c>
      <c r="G4" s="18" t="n">
        <f aca="false">IFERROR(VLOOKUP(B4,'6-week1'!B:D,2,0),0)</f>
        <v>219</v>
      </c>
      <c r="H4" s="18" t="n">
        <f aca="false">IFERROR(VLOOKUP(B4,'6-week1'!B:D,3,0),"-")</f>
        <v>15</v>
      </c>
      <c r="I4" s="18" t="n">
        <f aca="false">IF(G4&gt;179,5,IF(G4&gt;149,4,IF(G4&gt;119,3,IF(G4&gt;89,2,IF(G4&gt;59,1,IF(G4&lt;=59,0))))))</f>
        <v>5</v>
      </c>
      <c r="J4" s="18" t="n">
        <f aca="false">IF(H4&gt;39,1,IF(H4&gt;32,2,IF(H4&gt;26,3,IF(H4&gt;20,4,IF(H4&lt;=20,5)))))</f>
        <v>5</v>
      </c>
      <c r="K4" s="15" t="n">
        <f aca="false">AVERAGE(I4:J4)</f>
        <v>5</v>
      </c>
      <c r="L4" s="19" t="n">
        <f aca="false">IFERROR(VLOOKUP(B4,'6-week2'!B:D,2,0),0)</f>
        <v>232</v>
      </c>
      <c r="M4" s="19" t="n">
        <f aca="false">IFERROR(VLOOKUP(B4,'6-week2'!B:D,3,0),0)</f>
        <v>13</v>
      </c>
      <c r="N4" s="19" t="n">
        <f aca="false">IF(L4&gt;179,5,IF(L4&gt;149,4,IF(L4&gt;119,3,IF(L4&gt;89,2,IF(L4&gt;59,1,IF(L4&lt;=59,0))))))</f>
        <v>5</v>
      </c>
      <c r="O4" s="19" t="n">
        <f aca="false">IF(M4&gt;39,1,IF(M4&gt;32,2,IF(M4&gt;26,3,IF(M4&gt;20,4,IF(M4&lt;=20,5)))))</f>
        <v>5</v>
      </c>
      <c r="P4" s="19" t="n">
        <f aca="false">AVERAGE(N4,O4)</f>
        <v>5</v>
      </c>
      <c r="Q4" s="19" t="n">
        <f aca="false">IFERROR(VLOOKUP(B4,'6-week1'!B:F,5,0),0)</f>
        <v>0</v>
      </c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</row>
    <row r="5" customFormat="false" ht="18" hidden="false" customHeight="true" outlineLevel="0" collapsed="false">
      <c r="A5" s="18" t="s">
        <v>51</v>
      </c>
      <c r="B5" s="18" t="str">
        <f aca="false">TRIM(A5)</f>
        <v>علی قناعتی</v>
      </c>
      <c r="C5" s="18" t="str">
        <f aca="false">VLOOKUP(B5,Company!B:E,3,0)</f>
        <v>ایران</v>
      </c>
      <c r="D5" s="18" t="str">
        <f aca="false">VLOOKUP(B5,Company!B:E,2,0)</f>
        <v>عصر</v>
      </c>
      <c r="E5" s="18" t="str">
        <f aca="false" t="array" ref="E5:E5">IFERROR(INDEX('Team Leads'!$B:$D, MATCH(C5,'Team Leads'!$A:$A,0), MATCH(D5,'Team Leads'!$B$1:$D$1,0)), "")</f>
        <v>علیرضا زمانیان</v>
      </c>
      <c r="F5" s="18" t="n">
        <f aca="false">VLOOKUP(B5,'Operator Bugs'!A:P,16,0)</f>
        <v>0</v>
      </c>
      <c r="G5" s="18" t="n">
        <f aca="false">IFERROR(VLOOKUP(B5,'6-week1'!B:D,2,0),0)</f>
        <v>262</v>
      </c>
      <c r="H5" s="18" t="n">
        <f aca="false">IFERROR(VLOOKUP(B5,'6-week1'!B:D,3,0),"-")</f>
        <v>10</v>
      </c>
      <c r="I5" s="18" t="n">
        <f aca="false">IF(G5&gt;179,5,IF(G5&gt;149,4,IF(G5&gt;119,3,IF(G5&gt;89,2,IF(G5&gt;59,1,IF(G5&lt;=59,0))))))</f>
        <v>5</v>
      </c>
      <c r="J5" s="18" t="n">
        <f aca="false">IF(H5&gt;39,1,IF(H5&gt;32,2,IF(H5&gt;26,3,IF(H5&gt;20,4,IF(H5&lt;=20,5)))))</f>
        <v>5</v>
      </c>
      <c r="K5" s="15" t="n">
        <f aca="false">AVERAGE(I5:J5)</f>
        <v>5</v>
      </c>
      <c r="L5" s="19" t="n">
        <f aca="false">IFERROR(VLOOKUP(B5,'6-week2'!B:D,2,0),0)</f>
        <v>480</v>
      </c>
      <c r="M5" s="19" t="n">
        <f aca="false">IFERROR(VLOOKUP(B5,'6-week2'!B:D,3,0),0)</f>
        <v>18</v>
      </c>
      <c r="N5" s="19" t="n">
        <f aca="false">IF(L5&gt;179,5,IF(L5&gt;149,4,IF(L5&gt;119,3,IF(L5&gt;89,2,IF(L5&gt;59,1,IF(L5&lt;=59,0))))))</f>
        <v>5</v>
      </c>
      <c r="O5" s="19" t="n">
        <f aca="false">IF(M5&gt;39,1,IF(M5&gt;32,2,IF(M5&gt;26,3,IF(M5&gt;20,4,IF(M5&lt;=20,5)))))</f>
        <v>5</v>
      </c>
      <c r="P5" s="19" t="n">
        <f aca="false">AVERAGE(N5,O5)</f>
        <v>5</v>
      </c>
      <c r="Q5" s="19" t="n">
        <f aca="false">IFERROR(VLOOKUP(B5,'6-week1'!B:F,5,0),0)</f>
        <v>0</v>
      </c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</row>
    <row r="6" customFormat="false" ht="18" hidden="false" customHeight="true" outlineLevel="0" collapsed="false">
      <c r="A6" s="18" t="s">
        <v>52</v>
      </c>
      <c r="B6" s="18" t="str">
        <f aca="false">TRIM(A6)</f>
        <v>علیرضا حمید نیا</v>
      </c>
      <c r="C6" s="18" t="str">
        <f aca="false">VLOOKUP(B6,Company!B:E,3,0)</f>
        <v>ایران</v>
      </c>
      <c r="D6" s="18" t="str">
        <f aca="false">VLOOKUP(B6,Company!B:E,2,0)</f>
        <v>عصر</v>
      </c>
      <c r="E6" s="18" t="str">
        <f aca="false" t="array" ref="E6:E6">IFERROR(INDEX('Team Leads'!$B:$D, MATCH(C6,'Team Leads'!$A:$A,0), MATCH(D6,'Team Leads'!$B$1:$D$1,0)), "")</f>
        <v>علیرضا زمانیان</v>
      </c>
      <c r="F6" s="18" t="n">
        <f aca="false">VLOOKUP(B6,'Operator Bugs'!A:P,16,0)</f>
        <v>0</v>
      </c>
      <c r="G6" s="18" t="n">
        <f aca="false">IFERROR(VLOOKUP(B6,'6-week1'!B:D,2,0),0)</f>
        <v>250</v>
      </c>
      <c r="H6" s="18" t="n">
        <f aca="false">IFERROR(VLOOKUP(B6,'6-week1'!B:D,3,0),"-")</f>
        <v>15</v>
      </c>
      <c r="I6" s="18" t="n">
        <f aca="false">IF(G6&gt;179,5,IF(G6&gt;149,4,IF(G6&gt;119,3,IF(G6&gt;89,2,IF(G6&gt;59,1,IF(G6&lt;=59,0))))))</f>
        <v>5</v>
      </c>
      <c r="J6" s="18" t="n">
        <f aca="false">IF(H6&gt;39,1,IF(H6&gt;32,2,IF(H6&gt;26,3,IF(H6&gt;20,4,IF(H6&lt;=20,5)))))</f>
        <v>5</v>
      </c>
      <c r="K6" s="15" t="n">
        <f aca="false">AVERAGE(I6:J6)</f>
        <v>5</v>
      </c>
      <c r="L6" s="19" t="n">
        <f aca="false">IFERROR(VLOOKUP(B6,'6-week2'!B:D,2,0),0)</f>
        <v>253</v>
      </c>
      <c r="M6" s="19" t="n">
        <f aca="false">IFERROR(VLOOKUP(B6,'6-week2'!B:D,3,0),0)</f>
        <v>11</v>
      </c>
      <c r="N6" s="19" t="n">
        <f aca="false">IF(L6&gt;179,5,IF(L6&gt;149,4,IF(L6&gt;119,3,IF(L6&gt;89,2,IF(L6&gt;59,1,IF(L6&lt;=59,0))))))</f>
        <v>5</v>
      </c>
      <c r="O6" s="19" t="n">
        <f aca="false">IF(M6&gt;39,1,IF(M6&gt;32,2,IF(M6&gt;26,3,IF(M6&gt;20,4,IF(M6&lt;=20,5)))))</f>
        <v>5</v>
      </c>
      <c r="P6" s="19" t="n">
        <f aca="false">AVERAGE(N6,O6)</f>
        <v>5</v>
      </c>
      <c r="Q6" s="19" t="n">
        <f aca="false">IFERROR(VLOOKUP(B6,'6-week1'!B:F,5,0),0)</f>
        <v>0</v>
      </c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</row>
    <row r="7" customFormat="false" ht="18" hidden="false" customHeight="true" outlineLevel="0" collapsed="false">
      <c r="A7" s="18" t="s">
        <v>53</v>
      </c>
      <c r="B7" s="18" t="str">
        <f aca="false">TRIM(A7)</f>
        <v>معراج عزیزی</v>
      </c>
      <c r="C7" s="18" t="str">
        <f aca="false">VLOOKUP(B7,Company!B:E,3,0)</f>
        <v>ایران</v>
      </c>
      <c r="D7" s="18" t="str">
        <f aca="false">VLOOKUP(B7,Company!B:E,2,0)</f>
        <v>عصر</v>
      </c>
      <c r="E7" s="18" t="str">
        <f aca="false" t="array" ref="E7:E7">IFERROR(INDEX('Team Leads'!$B:$D, MATCH(C7,'Team Leads'!$A:$A,0), MATCH(D7,'Team Leads'!$B$1:$D$1,0)), "")</f>
        <v>علیرضا زمانیان</v>
      </c>
      <c r="F7" s="18" t="n">
        <f aca="false">VLOOKUP(B7,'Operator Bugs'!A:P,16,0)</f>
        <v>0</v>
      </c>
      <c r="G7" s="18" t="n">
        <f aca="false">IFERROR(VLOOKUP(B7,'6-week1'!B:D,2,0),0)</f>
        <v>333</v>
      </c>
      <c r="H7" s="18" t="n">
        <f aca="false">IFERROR(VLOOKUP(B7,'6-week1'!B:D,3,0),"-")</f>
        <v>15</v>
      </c>
      <c r="I7" s="18" t="n">
        <f aca="false">IF(G7&gt;179,5,IF(G7&gt;149,4,IF(G7&gt;119,3,IF(G7&gt;89,2,IF(G7&gt;59,1,IF(G7&lt;=59,0))))))</f>
        <v>5</v>
      </c>
      <c r="J7" s="18" t="n">
        <f aca="false">IF(H7&gt;39,1,IF(H7&gt;32,2,IF(H7&gt;26,3,IF(H7&gt;20,4,IF(H7&lt;=20,5)))))</f>
        <v>5</v>
      </c>
      <c r="K7" s="15" t="n">
        <f aca="false">AVERAGE(I7:J7)</f>
        <v>5</v>
      </c>
      <c r="L7" s="19" t="n">
        <f aca="false">IFERROR(VLOOKUP(B7,'6-week2'!B:D,2,0),0)</f>
        <v>194</v>
      </c>
      <c r="M7" s="19" t="n">
        <f aca="false">IFERROR(VLOOKUP(B7,'6-week2'!B:D,3,0),0)</f>
        <v>12</v>
      </c>
      <c r="N7" s="19" t="n">
        <f aca="false">IF(L7&gt;179,5,IF(L7&gt;149,4,IF(L7&gt;119,3,IF(L7&gt;89,2,IF(L7&gt;59,1,IF(L7&lt;=59,0))))))</f>
        <v>5</v>
      </c>
      <c r="O7" s="19" t="n">
        <f aca="false">IF(M7&gt;39,1,IF(M7&gt;32,2,IF(M7&gt;26,3,IF(M7&gt;20,4,IF(M7&lt;=20,5)))))</f>
        <v>5</v>
      </c>
      <c r="P7" s="19" t="n">
        <f aca="false">AVERAGE(N7,O7)</f>
        <v>5</v>
      </c>
      <c r="Q7" s="19" t="n">
        <f aca="false">IFERROR(VLOOKUP(B7,'6-week1'!B:F,5,0),0)</f>
        <v>0</v>
      </c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</row>
    <row r="8" customFormat="false" ht="18" hidden="false" customHeight="true" outlineLevel="0" collapsed="false">
      <c r="A8" s="18" t="s">
        <v>54</v>
      </c>
      <c r="B8" s="18" t="str">
        <f aca="false">TRIM(A8)</f>
        <v>افشین میرزاده</v>
      </c>
      <c r="C8" s="18" t="str">
        <f aca="false">VLOOKUP(B8,Company!B:E,3,0)</f>
        <v>ایران</v>
      </c>
      <c r="D8" s="18" t="str">
        <f aca="false">VLOOKUP(B8,Company!B:E,2,0)</f>
        <v>صبح</v>
      </c>
      <c r="E8" s="18" t="str">
        <f aca="false" t="array" ref="E8:E8">IFERROR(INDEX('Team Leads'!$B:$D, MATCH(C8,'Team Leads'!$A:$A,0), MATCH(D8,'Team Leads'!$B$1:$D$1,0)), "")</f>
        <v>مهدی فراهانی</v>
      </c>
      <c r="F8" s="18" t="n">
        <f aca="false">VLOOKUP(B8,'Operator Bugs'!A:P,16,0)</f>
        <v>0</v>
      </c>
      <c r="G8" s="18" t="n">
        <f aca="false">IFERROR(VLOOKUP(B8,'6-week1'!B:D,2,0),0)</f>
        <v>269</v>
      </c>
      <c r="H8" s="18" t="n">
        <f aca="false">IFERROR(VLOOKUP(B8,'6-week1'!B:D,3,0),"-")</f>
        <v>18</v>
      </c>
      <c r="I8" s="18" t="n">
        <f aca="false">IF(G8&gt;179,5,IF(G8&gt;149,4,IF(G8&gt;119,3,IF(G8&gt;89,2,IF(G8&gt;59,1,IF(G8&lt;=59,0))))))</f>
        <v>5</v>
      </c>
      <c r="J8" s="18" t="n">
        <f aca="false">IF(H8&gt;39,1,IF(H8&gt;32,2,IF(H8&gt;26,3,IF(H8&gt;20,4,IF(H8&lt;=20,5)))))</f>
        <v>5</v>
      </c>
      <c r="K8" s="15" t="n">
        <f aca="false">AVERAGE(I8:J8)</f>
        <v>5</v>
      </c>
      <c r="L8" s="19" t="n">
        <f aca="false">IFERROR(VLOOKUP(B8,'6-week2'!B:D,2,0),0)</f>
        <v>201</v>
      </c>
      <c r="M8" s="19" t="n">
        <f aca="false">IFERROR(VLOOKUP(B8,'6-week2'!B:D,3,0),0)</f>
        <v>24</v>
      </c>
      <c r="N8" s="19" t="n">
        <f aca="false">IF(L8&gt;179,5,IF(L8&gt;149,4,IF(L8&gt;119,3,IF(L8&gt;89,2,IF(L8&gt;59,1,IF(L8&lt;=59,0))))))</f>
        <v>5</v>
      </c>
      <c r="O8" s="19" t="n">
        <f aca="false">IF(M8&gt;39,1,IF(M8&gt;32,2,IF(M8&gt;26,3,IF(M8&gt;20,4,IF(M8&lt;=20,5)))))</f>
        <v>4</v>
      </c>
      <c r="P8" s="19" t="n">
        <f aca="false">AVERAGE(N8,O8)</f>
        <v>4.5</v>
      </c>
      <c r="Q8" s="19" t="n">
        <f aca="false">IFERROR(VLOOKUP(B8,'6-week1'!B:F,5,0),0)</f>
        <v>0</v>
      </c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</row>
    <row r="9" customFormat="false" ht="18" hidden="false" customHeight="true" outlineLevel="0" collapsed="false">
      <c r="A9" s="18" t="s">
        <v>55</v>
      </c>
      <c r="B9" s="18" t="str">
        <f aca="false">TRIM(A9)</f>
        <v>امیر حسین پزشک پور</v>
      </c>
      <c r="C9" s="18" t="str">
        <f aca="false">VLOOKUP(B9,Company!B:E,3,0)</f>
        <v>رازی</v>
      </c>
      <c r="D9" s="18" t="str">
        <f aca="false">VLOOKUP(B9,Company!B:E,2,0)</f>
        <v>صبح</v>
      </c>
      <c r="E9" s="18" t="str">
        <f aca="false" t="array" ref="E9:E9">IFERROR(INDEX('Team Leads'!$B:$D, MATCH(C9,'Team Leads'!$A:$A,0), MATCH(D9,'Team Leads'!$B$1:$D$1,0)), "")</f>
        <v>آتنا مالمیر</v>
      </c>
      <c r="F9" s="18" t="n">
        <f aca="false">VLOOKUP(B9,'Operator Bugs'!A:P,16,0)</f>
        <v>0</v>
      </c>
      <c r="G9" s="18" t="n">
        <f aca="false">IFERROR(VLOOKUP(B9,'6-week1'!B:D,2,0),0)</f>
        <v>221</v>
      </c>
      <c r="H9" s="18" t="n">
        <f aca="false">IFERROR(VLOOKUP(B9,'6-week1'!B:D,3,0),"-")</f>
        <v>16</v>
      </c>
      <c r="I9" s="18" t="n">
        <f aca="false">IF(G9&gt;179,5,IF(G9&gt;149,4,IF(G9&gt;119,3,IF(G9&gt;89,2,IF(G9&gt;59,1,IF(G9&lt;=59,0))))))</f>
        <v>5</v>
      </c>
      <c r="J9" s="18" t="n">
        <f aca="false">IF(H9&gt;39,1,IF(H9&gt;32,2,IF(H9&gt;26,3,IF(H9&gt;20,4,IF(H9&lt;=20,5)))))</f>
        <v>5</v>
      </c>
      <c r="K9" s="15" t="n">
        <f aca="false">AVERAGE(I9:J9)</f>
        <v>5</v>
      </c>
      <c r="L9" s="19" t="n">
        <f aca="false">IFERROR(VLOOKUP(B9,'6-week2'!B:D,2,0),0)</f>
        <v>233</v>
      </c>
      <c r="M9" s="19" t="n">
        <f aca="false">IFERROR(VLOOKUP(B9,'6-week2'!B:D,3,0),0)</f>
        <v>22</v>
      </c>
      <c r="N9" s="19" t="n">
        <f aca="false">IF(L9&gt;179,5,IF(L9&gt;149,4,IF(L9&gt;119,3,IF(L9&gt;89,2,IF(L9&gt;59,1,IF(L9&lt;=59,0))))))</f>
        <v>5</v>
      </c>
      <c r="O9" s="19" t="n">
        <f aca="false">IF(M9&gt;39,1,IF(M9&gt;32,2,IF(M9&gt;26,3,IF(M9&gt;20,4,IF(M9&lt;=20,5)))))</f>
        <v>4</v>
      </c>
      <c r="P9" s="19" t="n">
        <f aca="false">AVERAGE(N9,O9)</f>
        <v>4.5</v>
      </c>
      <c r="Q9" s="19" t="n">
        <f aca="false">IFERROR(VLOOKUP(B9,'6-week1'!B:F,5,0),0)</f>
        <v>0</v>
      </c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</row>
    <row r="10" customFormat="false" ht="18" hidden="false" customHeight="true" outlineLevel="0" collapsed="false">
      <c r="A10" s="18" t="s">
        <v>56</v>
      </c>
      <c r="B10" s="18" t="str">
        <f aca="false">TRIM(A10)</f>
        <v>سارا جاوری</v>
      </c>
      <c r="C10" s="18" t="str">
        <f aca="false">VLOOKUP(B10,Company!B:E,3,0)</f>
        <v>ایران</v>
      </c>
      <c r="D10" s="18" t="str">
        <f aca="false">VLOOKUP(B10,Company!B:E,2,0)</f>
        <v>صبح</v>
      </c>
      <c r="E10" s="18" t="str">
        <f aca="false" t="array" ref="E10:E10">IFERROR(INDEX('Team Leads'!$B:$D, MATCH(C10,'Team Leads'!$A:$A,0), MATCH(D10,'Team Leads'!$B$1:$D$1,0)), "")</f>
        <v>مهدی فراهانی</v>
      </c>
      <c r="F10" s="18" t="n">
        <f aca="false">VLOOKUP(B10,'Operator Bugs'!A:P,16,0)</f>
        <v>0</v>
      </c>
      <c r="G10" s="18" t="n">
        <f aca="false">IFERROR(VLOOKUP(B10,'6-week1'!B:D,2,0),0)</f>
        <v>269</v>
      </c>
      <c r="H10" s="18" t="n">
        <f aca="false">IFERROR(VLOOKUP(B10,'6-week1'!B:D,3,0),"-")</f>
        <v>19</v>
      </c>
      <c r="I10" s="18" t="n">
        <f aca="false">IF(G10&gt;179,5,IF(G10&gt;149,4,IF(G10&gt;119,3,IF(G10&gt;89,2,IF(G10&gt;59,1,IF(G10&lt;=59,0))))))</f>
        <v>5</v>
      </c>
      <c r="J10" s="18" t="n">
        <f aca="false">IF(H10&gt;39,1,IF(H10&gt;32,2,IF(H10&gt;26,3,IF(H10&gt;20,4,IF(H10&lt;=20,5)))))</f>
        <v>5</v>
      </c>
      <c r="K10" s="15" t="n">
        <f aca="false">AVERAGE(I10:J10)</f>
        <v>5</v>
      </c>
      <c r="L10" s="19" t="n">
        <f aca="false">IFERROR(VLOOKUP(B10,'6-week2'!B:D,2,0),0)</f>
        <v>258</v>
      </c>
      <c r="M10" s="19" t="n">
        <f aca="false">IFERROR(VLOOKUP(B10,'6-week2'!B:D,3,0),0)</f>
        <v>17</v>
      </c>
      <c r="N10" s="19" t="n">
        <f aca="false">IF(L10&gt;179,5,IF(L10&gt;149,4,IF(L10&gt;119,3,IF(L10&gt;89,2,IF(L10&gt;59,1,IF(L10&lt;=59,0))))))</f>
        <v>5</v>
      </c>
      <c r="O10" s="19" t="n">
        <f aca="false">IF(M10&gt;39,1,IF(M10&gt;32,2,IF(M10&gt;26,3,IF(M10&gt;20,4,IF(M10&lt;=20,5)))))</f>
        <v>5</v>
      </c>
      <c r="P10" s="19" t="n">
        <f aca="false">AVERAGE(N10,O10)</f>
        <v>5</v>
      </c>
      <c r="Q10" s="19" t="n">
        <f aca="false">IFERROR(VLOOKUP(B10,'6-week1'!B:F,5,0),0)</f>
        <v>0</v>
      </c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</row>
    <row r="11" customFormat="false" ht="18" hidden="false" customHeight="true" outlineLevel="0" collapsed="false">
      <c r="A11" s="18" t="s">
        <v>57</v>
      </c>
      <c r="B11" s="18" t="str">
        <f aca="false">TRIM(A11)</f>
        <v>سارا رسولی</v>
      </c>
      <c r="C11" s="18" t="str">
        <f aca="false">VLOOKUP(B11,Company!B:E,3,0)</f>
        <v>رازی</v>
      </c>
      <c r="D11" s="18" t="str">
        <f aca="false">VLOOKUP(B11,Company!B:E,2,0)</f>
        <v>عصر</v>
      </c>
      <c r="E11" s="18" t="str">
        <f aca="false" t="array" ref="E11:E11">IFERROR(INDEX('Team Leads'!$B:$D, MATCH(C11,'Team Leads'!$A:$A,0), MATCH(D11,'Team Leads'!$B$1:$D$1,0)), "")</f>
        <v>امیررضا فلاح</v>
      </c>
      <c r="F11" s="18" t="n">
        <f aca="false">VLOOKUP(B11,'Operator Bugs'!A:P,16,0)</f>
        <v>0</v>
      </c>
      <c r="G11" s="18" t="n">
        <f aca="false">IFERROR(VLOOKUP(B11,'6-week1'!B:D,2,0),0)</f>
        <v>235</v>
      </c>
      <c r="H11" s="18" t="n">
        <f aca="false">IFERROR(VLOOKUP(B11,'6-week1'!B:D,3,0),"-")</f>
        <v>16</v>
      </c>
      <c r="I11" s="18" t="n">
        <f aca="false">IF(G11&gt;179,5,IF(G11&gt;149,4,IF(G11&gt;119,3,IF(G11&gt;89,2,IF(G11&gt;59,1,IF(G11&lt;=59,0))))))</f>
        <v>5</v>
      </c>
      <c r="J11" s="18" t="n">
        <f aca="false">IF(H11&gt;39,1,IF(H11&gt;32,2,IF(H11&gt;26,3,IF(H11&gt;20,4,IF(H11&lt;=20,5)))))</f>
        <v>5</v>
      </c>
      <c r="K11" s="15" t="n">
        <f aca="false">AVERAGE(I11:J11)</f>
        <v>5</v>
      </c>
      <c r="L11" s="19" t="n">
        <f aca="false">IFERROR(VLOOKUP(B11,'6-week2'!B:D,2,0),0)</f>
        <v>283</v>
      </c>
      <c r="M11" s="19" t="n">
        <f aca="false">IFERROR(VLOOKUP(B11,'6-week2'!B:D,3,0),0)</f>
        <v>24</v>
      </c>
      <c r="N11" s="19" t="n">
        <f aca="false">IF(L11&gt;179,5,IF(L11&gt;149,4,IF(L11&gt;119,3,IF(L11&gt;89,2,IF(L11&gt;59,1,IF(L11&lt;=59,0))))))</f>
        <v>5</v>
      </c>
      <c r="O11" s="19" t="n">
        <f aca="false">IF(M11&gt;39,1,IF(M11&gt;32,2,IF(M11&gt;26,3,IF(M11&gt;20,4,IF(M11&lt;=20,5)))))</f>
        <v>4</v>
      </c>
      <c r="P11" s="19" t="n">
        <f aca="false">AVERAGE(N11,O11)</f>
        <v>4.5</v>
      </c>
      <c r="Q11" s="19" t="n">
        <f aca="false">IFERROR(VLOOKUP(B11,'6-week1'!B:F,5,0),0)</f>
        <v>0</v>
      </c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</row>
    <row r="12" customFormat="false" ht="18" hidden="false" customHeight="true" outlineLevel="0" collapsed="false">
      <c r="A12" s="18" t="s">
        <v>58</v>
      </c>
      <c r="B12" s="18" t="str">
        <f aca="false">TRIM(A12)</f>
        <v>فاطمه بهزادی</v>
      </c>
      <c r="C12" s="18" t="str">
        <f aca="false">VLOOKUP(B12,Company!B:E,3,0)</f>
        <v>تعاون</v>
      </c>
      <c r="D12" s="18" t="str">
        <f aca="false">VLOOKUP(B12,Company!B:E,2,0)</f>
        <v>عصر</v>
      </c>
      <c r="E12" s="18" t="str">
        <f aca="false" t="array" ref="E12:E12">IFERROR(INDEX('Team Leads'!$B:$D, MATCH(C12,'Team Leads'!$A:$A,0), MATCH(D12,'Team Leads'!$B$1:$D$1,0)), "")</f>
        <v>علیرضا زمانیان</v>
      </c>
      <c r="F12" s="18" t="n">
        <f aca="false">VLOOKUP(B12,'Operator Bugs'!A:P,16,0)</f>
        <v>0</v>
      </c>
      <c r="G12" s="18" t="n">
        <f aca="false">IFERROR(VLOOKUP(B12,'6-week1'!B:D,2,0),0)</f>
        <v>252</v>
      </c>
      <c r="H12" s="18" t="n">
        <f aca="false">IFERROR(VLOOKUP(B12,'6-week1'!B:D,3,0),"-")</f>
        <v>20</v>
      </c>
      <c r="I12" s="18" t="n">
        <f aca="false">IF(G12&gt;179,5,IF(G12&gt;149,4,IF(G12&gt;119,3,IF(G12&gt;89,2,IF(G12&gt;59,1,IF(G12&lt;=59,0))))))</f>
        <v>5</v>
      </c>
      <c r="J12" s="18" t="n">
        <f aca="false">IF(H12&gt;39,1,IF(H12&gt;32,2,IF(H12&gt;26,3,IF(H12&gt;20,4,IF(H12&lt;=20,5)))))</f>
        <v>5</v>
      </c>
      <c r="K12" s="15" t="n">
        <f aca="false">AVERAGE(I12:J12)</f>
        <v>5</v>
      </c>
      <c r="L12" s="19" t="n">
        <f aca="false">IFERROR(VLOOKUP(B12,'6-week2'!B:D,2,0),0)</f>
        <v>171</v>
      </c>
      <c r="M12" s="19" t="n">
        <f aca="false">IFERROR(VLOOKUP(B12,'6-week2'!B:D,3,0),0)</f>
        <v>17</v>
      </c>
      <c r="N12" s="19" t="n">
        <f aca="false">IF(L12&gt;179,5,IF(L12&gt;149,4,IF(L12&gt;119,3,IF(L12&gt;89,2,IF(L12&gt;59,1,IF(L12&lt;=59,0))))))</f>
        <v>4</v>
      </c>
      <c r="O12" s="19" t="n">
        <f aca="false">IF(M12&gt;39,1,IF(M12&gt;32,2,IF(M12&gt;26,3,IF(M12&gt;20,4,IF(M12&lt;=20,5)))))</f>
        <v>5</v>
      </c>
      <c r="P12" s="19" t="n">
        <f aca="false">AVERAGE(N12,O12)</f>
        <v>4.5</v>
      </c>
      <c r="Q12" s="19" t="n">
        <f aca="false">IFERROR(VLOOKUP(B12,'6-week1'!B:F,5,0),0)</f>
        <v>0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</row>
    <row r="13" customFormat="false" ht="18" hidden="false" customHeight="true" outlineLevel="0" collapsed="false">
      <c r="A13" s="18" t="s">
        <v>59</v>
      </c>
      <c r="B13" s="18" t="str">
        <f aca="false">TRIM(A13)</f>
        <v>محمد سعیدیان</v>
      </c>
      <c r="C13" s="18" t="str">
        <f aca="false">VLOOKUP(B13,Company!B:E,3,0)</f>
        <v>ایران</v>
      </c>
      <c r="D13" s="18" t="str">
        <f aca="false">VLOOKUP(B13,Company!B:E,2,0)</f>
        <v>عصر</v>
      </c>
      <c r="E13" s="18" t="str">
        <f aca="false" t="array" ref="E13:E13">IFERROR(INDEX('Team Leads'!$B:$D, MATCH(C13,'Team Leads'!$A:$A,0), MATCH(D13,'Team Leads'!$B$1:$D$1,0)), "")</f>
        <v>علیرضا زمانیان</v>
      </c>
      <c r="F13" s="18" t="n">
        <f aca="false">VLOOKUP(B13,'Operator Bugs'!A:P,16,0)</f>
        <v>0</v>
      </c>
      <c r="G13" s="18" t="n">
        <f aca="false">IFERROR(VLOOKUP(B13,'6-week1'!B:D,2,0),0)</f>
        <v>239</v>
      </c>
      <c r="H13" s="18" t="n">
        <f aca="false">IFERROR(VLOOKUP(B13,'6-week1'!B:D,3,0),"-")</f>
        <v>19</v>
      </c>
      <c r="I13" s="18" t="n">
        <f aca="false">IF(G13&gt;179,5,IF(G13&gt;149,4,IF(G13&gt;119,3,IF(G13&gt;89,2,IF(G13&gt;59,1,IF(G13&lt;=59,0))))))</f>
        <v>5</v>
      </c>
      <c r="J13" s="18" t="n">
        <f aca="false">IF(H13&gt;39,1,IF(H13&gt;32,2,IF(H13&gt;26,3,IF(H13&gt;20,4,IF(H13&lt;=20,5)))))</f>
        <v>5</v>
      </c>
      <c r="K13" s="15" t="n">
        <f aca="false">AVERAGE(I13:J13)</f>
        <v>5</v>
      </c>
      <c r="L13" s="19" t="n">
        <f aca="false">IFERROR(VLOOKUP(B13,'6-week2'!B:D,2,0),0)</f>
        <v>160</v>
      </c>
      <c r="M13" s="19" t="n">
        <f aca="false">IFERROR(VLOOKUP(B13,'6-week2'!B:D,3,0),0)</f>
        <v>20</v>
      </c>
      <c r="N13" s="19" t="n">
        <f aca="false">IF(L13&gt;179,5,IF(L13&gt;149,4,IF(L13&gt;119,3,IF(L13&gt;89,2,IF(L13&gt;59,1,IF(L13&lt;=59,0))))))</f>
        <v>4</v>
      </c>
      <c r="O13" s="19" t="n">
        <f aca="false">IF(M13&gt;39,1,IF(M13&gt;32,2,IF(M13&gt;26,3,IF(M13&gt;20,4,IF(M13&lt;=20,5)))))</f>
        <v>5</v>
      </c>
      <c r="P13" s="19" t="n">
        <f aca="false">AVERAGE(N13,O13)</f>
        <v>4.5</v>
      </c>
      <c r="Q13" s="19" t="n">
        <f aca="false">IFERROR(VLOOKUP(B13,'6-week1'!B:F,5,0),0)</f>
        <v>0</v>
      </c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</row>
    <row r="14" customFormat="false" ht="18" hidden="false" customHeight="true" outlineLevel="0" collapsed="false">
      <c r="A14" s="18" t="s">
        <v>60</v>
      </c>
      <c r="B14" s="18" t="str">
        <f aca="false">TRIM(A14)</f>
        <v>مرکز صدور خوش سیرت | نازنین به نظر</v>
      </c>
      <c r="C14" s="18" t="str">
        <f aca="false">VLOOKUP(B14,Company!B:E,3,0)</f>
        <v>سنتر</v>
      </c>
      <c r="D14" s="18" t="str">
        <f aca="false">VLOOKUP(B14,Company!B:E,2,0)</f>
        <v>صبح</v>
      </c>
      <c r="E14" s="18" t="str">
        <f aca="false" t="array" ref="E14:E14">IFERROR(INDEX('Team Leads'!$B:$D, MATCH(C14,'Team Leads'!$A:$A,0), MATCH(D14,'Team Leads'!$B$1:$D$1,0)), "")</f>
        <v>مریم ایزدی - شاهین شهریاری</v>
      </c>
      <c r="F14" s="18" t="n">
        <f aca="false">VLOOKUP(B14,'Operator Bugs'!A:P,16,0)</f>
        <v>0</v>
      </c>
      <c r="G14" s="18" t="n">
        <f aca="false">IFERROR(VLOOKUP(B14,'6-week1'!B:D,2,0),0)</f>
        <v>200</v>
      </c>
      <c r="H14" s="18" t="n">
        <f aca="false">IFERROR(VLOOKUP(B14,'6-week1'!B:D,3,0),"-")</f>
        <v>16</v>
      </c>
      <c r="I14" s="18" t="n">
        <f aca="false">IF(G14&gt;179,5,IF(G14&gt;149,4,IF(G14&gt;119,3,IF(G14&gt;89,2,IF(G14&gt;59,1,IF(G14&lt;=59,0))))))</f>
        <v>5</v>
      </c>
      <c r="J14" s="18" t="n">
        <f aca="false">IF(H14&gt;39,1,IF(H14&gt;32,2,IF(H14&gt;26,3,IF(H14&gt;20,4,IF(H14&lt;=20,5)))))</f>
        <v>5</v>
      </c>
      <c r="K14" s="15" t="n">
        <f aca="false">AVERAGE(I14:J14)</f>
        <v>5</v>
      </c>
      <c r="L14" s="19" t="n">
        <f aca="false">IFERROR(VLOOKUP(B14,'6-week2'!B:D,2,0),0)</f>
        <v>238</v>
      </c>
      <c r="M14" s="19" t="n">
        <f aca="false">IFERROR(VLOOKUP(B14,'6-week2'!B:D,3,0),0)</f>
        <v>15</v>
      </c>
      <c r="N14" s="19" t="n">
        <f aca="false">IF(L14&gt;179,5,IF(L14&gt;149,4,IF(L14&gt;119,3,IF(L14&gt;89,2,IF(L14&gt;59,1,IF(L14&lt;=59,0))))))</f>
        <v>5</v>
      </c>
      <c r="O14" s="19" t="n">
        <f aca="false">IF(M14&gt;39,1,IF(M14&gt;32,2,IF(M14&gt;26,3,IF(M14&gt;20,4,IF(M14&lt;=20,5)))))</f>
        <v>5</v>
      </c>
      <c r="P14" s="19" t="n">
        <f aca="false">AVERAGE(N14,O14)</f>
        <v>5</v>
      </c>
      <c r="Q14" s="19" t="n">
        <f aca="false">IFERROR(VLOOKUP(B14,'6-week1'!B:F,5,0),0)</f>
        <v>0</v>
      </c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</row>
    <row r="15" customFormat="false" ht="18" hidden="false" customHeight="true" outlineLevel="0" collapsed="false">
      <c r="A15" s="18" t="s">
        <v>61</v>
      </c>
      <c r="B15" s="18" t="str">
        <f aca="false">TRIM(A15)</f>
        <v>آوا صادق زاده</v>
      </c>
      <c r="C15" s="18" t="str">
        <f aca="false">VLOOKUP(B15,Company!B:E,3,0)</f>
        <v>ایران</v>
      </c>
      <c r="D15" s="18" t="str">
        <f aca="false">VLOOKUP(B15,Company!B:E,2,0)</f>
        <v>صبح</v>
      </c>
      <c r="E15" s="18" t="str">
        <f aca="false" t="array" ref="E15:E15">IFERROR(INDEX('Team Leads'!$B:$D, MATCH(C15,'Team Leads'!$A:$A,0), MATCH(D15,'Team Leads'!$B$1:$D$1,0)), "")</f>
        <v>مهدی فراهانی</v>
      </c>
      <c r="F15" s="18" t="n">
        <f aca="false">VLOOKUP(B15,'Operator Bugs'!A:P,16,0)</f>
        <v>0</v>
      </c>
      <c r="G15" s="18" t="n">
        <f aca="false">IFERROR(VLOOKUP(B15,'6-week1'!B:D,2,0),0)</f>
        <v>150</v>
      </c>
      <c r="H15" s="18" t="n">
        <f aca="false">IFERROR(VLOOKUP(B15,'6-week1'!B:D,3,0),"-")</f>
        <v>16</v>
      </c>
      <c r="I15" s="18" t="n">
        <f aca="false">IF(G15&gt;179,5,IF(G15&gt;149,4,IF(G15&gt;119,3,IF(G15&gt;89,2,IF(G15&gt;59,1,IF(G15&lt;=59,0))))))</f>
        <v>4</v>
      </c>
      <c r="J15" s="18" t="n">
        <f aca="false">IF(H15&gt;39,1,IF(H15&gt;32,2,IF(H15&gt;26,3,IF(H15&gt;20,4,IF(H15&lt;=20,5)))))</f>
        <v>5</v>
      </c>
      <c r="K15" s="15" t="n">
        <f aca="false">AVERAGE(I15:J15)</f>
        <v>4.5</v>
      </c>
      <c r="L15" s="19" t="n">
        <f aca="false">IFERROR(VLOOKUP(B15,'6-week2'!B:D,2,0),0)</f>
        <v>105</v>
      </c>
      <c r="M15" s="19" t="n">
        <f aca="false">IFERROR(VLOOKUP(B15,'6-week2'!B:D,3,0),0)</f>
        <v>15</v>
      </c>
      <c r="N15" s="19" t="n">
        <f aca="false">IF(L15&gt;179,5,IF(L15&gt;149,4,IF(L15&gt;119,3,IF(L15&gt;89,2,IF(L15&gt;59,1,IF(L15&lt;=59,0))))))</f>
        <v>2</v>
      </c>
      <c r="O15" s="19" t="n">
        <f aca="false">IF(M15&gt;39,1,IF(M15&gt;32,2,IF(M15&gt;26,3,IF(M15&gt;20,4,IF(M15&lt;=20,5)))))</f>
        <v>5</v>
      </c>
      <c r="P15" s="19" t="n">
        <f aca="false">AVERAGE(N15,O15)</f>
        <v>3.5</v>
      </c>
      <c r="Q15" s="19" t="n">
        <f aca="false">IFERROR(VLOOKUP(B15,'6-week1'!B:F,5,0),0)</f>
        <v>0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</row>
    <row r="16" customFormat="false" ht="18" hidden="false" customHeight="true" outlineLevel="0" collapsed="false">
      <c r="A16" s="18" t="s">
        <v>62</v>
      </c>
      <c r="B16" s="18" t="str">
        <f aca="false">TRIM(A16)</f>
        <v>چنور قاسمی</v>
      </c>
      <c r="C16" s="18" t="str">
        <f aca="false">VLOOKUP(B16,Company!B:E,3,0)</f>
        <v>رازی</v>
      </c>
      <c r="D16" s="18" t="str">
        <f aca="false">VLOOKUP(B16,Company!B:E,2,0)</f>
        <v>صبح</v>
      </c>
      <c r="E16" s="18" t="str">
        <f aca="false" t="array" ref="E16:E16">IFERROR(INDEX('Team Leads'!$B:$D, MATCH(C16,'Team Leads'!$A:$A,0), MATCH(D16,'Team Leads'!$B$1:$D$1,0)), "")</f>
        <v>آتنا مالمیر</v>
      </c>
      <c r="F16" s="18" t="n">
        <f aca="false">VLOOKUP(B16,'Operator Bugs'!A:P,16,0)</f>
        <v>0</v>
      </c>
      <c r="G16" s="18" t="n">
        <f aca="false">IFERROR(VLOOKUP(B16,'6-week1'!B:D,2,0),0)</f>
        <v>205</v>
      </c>
      <c r="H16" s="18" t="n">
        <f aca="false">IFERROR(VLOOKUP(B16,'6-week1'!B:D,3,0),"-")</f>
        <v>26</v>
      </c>
      <c r="I16" s="18" t="n">
        <f aca="false">IF(G16&gt;179,5,IF(G16&gt;149,4,IF(G16&gt;119,3,IF(G16&gt;89,2,IF(G16&gt;59,1,IF(G16&lt;=59,0))))))</f>
        <v>5</v>
      </c>
      <c r="J16" s="18" t="n">
        <f aca="false">IF(H16&gt;39,1,IF(H16&gt;32,2,IF(H16&gt;26,3,IF(H16&gt;20,4,IF(H16&lt;=20,5)))))</f>
        <v>4</v>
      </c>
      <c r="K16" s="15" t="n">
        <f aca="false">AVERAGE(I16:J16)</f>
        <v>4.5</v>
      </c>
      <c r="L16" s="19" t="n">
        <f aca="false">IFERROR(VLOOKUP(B16,'6-week2'!B:D,2,0),0)</f>
        <v>217</v>
      </c>
      <c r="M16" s="19" t="n">
        <f aca="false">IFERROR(VLOOKUP(B16,'6-week2'!B:D,3,0),0)</f>
        <v>18</v>
      </c>
      <c r="N16" s="19" t="n">
        <f aca="false">IF(L16&gt;179,5,IF(L16&gt;149,4,IF(L16&gt;119,3,IF(L16&gt;89,2,IF(L16&gt;59,1,IF(L16&lt;=59,0))))))</f>
        <v>5</v>
      </c>
      <c r="O16" s="19" t="n">
        <f aca="false">IF(M16&gt;39,1,IF(M16&gt;32,2,IF(M16&gt;26,3,IF(M16&gt;20,4,IF(M16&lt;=20,5)))))</f>
        <v>5</v>
      </c>
      <c r="P16" s="19" t="n">
        <f aca="false">AVERAGE(N16,O16)</f>
        <v>5</v>
      </c>
      <c r="Q16" s="19" t="n">
        <f aca="false">IFERROR(VLOOKUP(B16,'6-week1'!B:F,5,0),0)</f>
        <v>0</v>
      </c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</row>
    <row r="17" customFormat="false" ht="18" hidden="false" customHeight="true" outlineLevel="0" collapsed="false">
      <c r="A17" s="18" t="s">
        <v>63</v>
      </c>
      <c r="B17" s="18" t="str">
        <f aca="false">TRIM(A17)</f>
        <v>رامینا برنجیان</v>
      </c>
      <c r="C17" s="18" t="str">
        <f aca="false">VLOOKUP(B17,Company!B:E,3,0)</f>
        <v>ایران</v>
      </c>
      <c r="D17" s="18" t="str">
        <f aca="false">VLOOKUP(B17,Company!B:E,2,0)</f>
        <v>عصر</v>
      </c>
      <c r="E17" s="18" t="str">
        <f aca="false" t="array" ref="E17:E17">IFERROR(INDEX('Team Leads'!$B:$D, MATCH(C17,'Team Leads'!$A:$A,0), MATCH(D17,'Team Leads'!$B$1:$D$1,0)), "")</f>
        <v>علیرضا زمانیان</v>
      </c>
      <c r="F17" s="18" t="n">
        <f aca="false">VLOOKUP(B17,'Operator Bugs'!A:P,16,0)</f>
        <v>0</v>
      </c>
      <c r="G17" s="18" t="n">
        <f aca="false">IFERROR(VLOOKUP(B17,'6-week1'!B:D,2,0),0)</f>
        <v>305</v>
      </c>
      <c r="H17" s="18" t="n">
        <f aca="false">IFERROR(VLOOKUP(B17,'6-week1'!B:D,3,0),"-")</f>
        <v>24</v>
      </c>
      <c r="I17" s="18" t="n">
        <f aca="false">IF(G17&gt;179,5,IF(G17&gt;149,4,IF(G17&gt;119,3,IF(G17&gt;89,2,IF(G17&gt;59,1,IF(G17&lt;=59,0))))))</f>
        <v>5</v>
      </c>
      <c r="J17" s="18" t="n">
        <f aca="false">IF(H17&gt;39,1,IF(H17&gt;32,2,IF(H17&gt;26,3,IF(H17&gt;20,4,IF(H17&lt;=20,5)))))</f>
        <v>4</v>
      </c>
      <c r="K17" s="15" t="n">
        <f aca="false">AVERAGE(I17:J17)</f>
        <v>4.5</v>
      </c>
      <c r="L17" s="19" t="n">
        <f aca="false">IFERROR(VLOOKUP(B17,'6-week2'!B:D,2,0),0)</f>
        <v>338</v>
      </c>
      <c r="M17" s="19" t="n">
        <f aca="false">IFERROR(VLOOKUP(B17,'6-week2'!B:D,3,0),0)</f>
        <v>23</v>
      </c>
      <c r="N17" s="19" t="n">
        <f aca="false">IF(L17&gt;179,5,IF(L17&gt;149,4,IF(L17&gt;119,3,IF(L17&gt;89,2,IF(L17&gt;59,1,IF(L17&lt;=59,0))))))</f>
        <v>5</v>
      </c>
      <c r="O17" s="19" t="n">
        <f aca="false">IF(M17&gt;39,1,IF(M17&gt;32,2,IF(M17&gt;26,3,IF(M17&gt;20,4,IF(M17&lt;=20,5)))))</f>
        <v>4</v>
      </c>
      <c r="P17" s="19" t="n">
        <f aca="false">AVERAGE(N17,O17)</f>
        <v>4.5</v>
      </c>
      <c r="Q17" s="19" t="n">
        <f aca="false">IFERROR(VLOOKUP(B17,'6-week1'!B:F,5,0),0)</f>
        <v>0</v>
      </c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</row>
    <row r="18" customFormat="false" ht="18" hidden="false" customHeight="true" outlineLevel="0" collapsed="false">
      <c r="A18" s="18" t="s">
        <v>64</v>
      </c>
      <c r="B18" s="18" t="str">
        <f aca="false">TRIM(A18)</f>
        <v>رویا خیری</v>
      </c>
      <c r="C18" s="18" t="str">
        <f aca="false">VLOOKUP(B18,Company!B:E,3,0)</f>
        <v>تعاون</v>
      </c>
      <c r="D18" s="18" t="str">
        <f aca="false">VLOOKUP(B18,Company!B:E,2,0)</f>
        <v>عصر</v>
      </c>
      <c r="E18" s="18" t="str">
        <f aca="false" t="array" ref="E18:E18">IFERROR(INDEX('Team Leads'!$B:$D, MATCH(C18,'Team Leads'!$A:$A,0), MATCH(D18,'Team Leads'!$B$1:$D$1,0)), "")</f>
        <v>علیرضا زمانیان</v>
      </c>
      <c r="F18" s="18" t="n">
        <f aca="false">VLOOKUP(B18,'Operator Bugs'!A:P,16,0)</f>
        <v>0</v>
      </c>
      <c r="G18" s="18" t="n">
        <f aca="false">IFERROR(VLOOKUP(B18,'6-week1'!B:D,2,0),0)</f>
        <v>174</v>
      </c>
      <c r="H18" s="18" t="n">
        <f aca="false">IFERROR(VLOOKUP(B18,'6-week1'!B:D,3,0),"-")</f>
        <v>17</v>
      </c>
      <c r="I18" s="18" t="n">
        <f aca="false">IF(G18&gt;179,5,IF(G18&gt;149,4,IF(G18&gt;119,3,IF(G18&gt;89,2,IF(G18&gt;59,1,IF(G18&lt;=59,0))))))</f>
        <v>4</v>
      </c>
      <c r="J18" s="18" t="n">
        <f aca="false">IF(H18&gt;39,1,IF(H18&gt;32,2,IF(H18&gt;26,3,IF(H18&gt;20,4,IF(H18&lt;=20,5)))))</f>
        <v>5</v>
      </c>
      <c r="K18" s="15" t="n">
        <f aca="false">AVERAGE(I18:J18)</f>
        <v>4.5</v>
      </c>
      <c r="L18" s="19" t="n">
        <f aca="false">IFERROR(VLOOKUP(B18,'6-week2'!B:D,2,0),0)</f>
        <v>245</v>
      </c>
      <c r="M18" s="19" t="n">
        <f aca="false">IFERROR(VLOOKUP(B18,'6-week2'!B:D,3,0),0)</f>
        <v>22</v>
      </c>
      <c r="N18" s="19" t="n">
        <f aca="false">IF(L18&gt;179,5,IF(L18&gt;149,4,IF(L18&gt;119,3,IF(L18&gt;89,2,IF(L18&gt;59,1,IF(L18&lt;=59,0))))))</f>
        <v>5</v>
      </c>
      <c r="O18" s="19" t="n">
        <f aca="false">IF(M18&gt;39,1,IF(M18&gt;32,2,IF(M18&gt;26,3,IF(M18&gt;20,4,IF(M18&lt;=20,5)))))</f>
        <v>4</v>
      </c>
      <c r="P18" s="19" t="n">
        <f aca="false">AVERAGE(N18,O18)</f>
        <v>4.5</v>
      </c>
      <c r="Q18" s="19" t="n">
        <f aca="false">IFERROR(VLOOKUP(B18,'6-week1'!B:F,5,0),0)</f>
        <v>0</v>
      </c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</row>
    <row r="19" customFormat="false" ht="18" hidden="false" customHeight="true" outlineLevel="0" collapsed="false">
      <c r="A19" s="18" t="s">
        <v>65</v>
      </c>
      <c r="B19" s="18" t="str">
        <f aca="false">TRIM(A19)</f>
        <v>زهرا براتیان</v>
      </c>
      <c r="C19" s="18" t="str">
        <f aca="false">VLOOKUP(B19,Company!B:E,3,0)</f>
        <v>سینا</v>
      </c>
      <c r="D19" s="18" t="str">
        <f aca="false">VLOOKUP(B19,Company!B:E,2,0)</f>
        <v>صبح</v>
      </c>
      <c r="E19" s="18" t="str">
        <f aca="false" t="array" ref="E19:E19">IFERROR(INDEX('Team Leads'!$B:$D, MATCH(C19,'Team Leads'!$A:$A,0), MATCH(D19,'Team Leads'!$B$1:$D$1,0)), "")</f>
        <v>فاطمه دهقانپور</v>
      </c>
      <c r="F19" s="18" t="n">
        <f aca="false">VLOOKUP(B19,'Operator Bugs'!A:P,16,0)</f>
        <v>0</v>
      </c>
      <c r="G19" s="18" t="n">
        <f aca="false">IFERROR(VLOOKUP(B19,'6-week1'!B:D,2,0),0)</f>
        <v>250</v>
      </c>
      <c r="H19" s="18" t="n">
        <f aca="false">IFERROR(VLOOKUP(B19,'6-week1'!B:D,3,0),"-")</f>
        <v>26</v>
      </c>
      <c r="I19" s="18" t="n">
        <f aca="false">IF(G19&gt;179,5,IF(G19&gt;149,4,IF(G19&gt;119,3,IF(G19&gt;89,2,IF(G19&gt;59,1,IF(G19&lt;=59,0))))))</f>
        <v>5</v>
      </c>
      <c r="J19" s="18" t="n">
        <f aca="false">IF(H19&gt;39,1,IF(H19&gt;32,2,IF(H19&gt;26,3,IF(H19&gt;20,4,IF(H19&lt;=20,5)))))</f>
        <v>4</v>
      </c>
      <c r="K19" s="15" t="n">
        <f aca="false">AVERAGE(I19:J19)</f>
        <v>4.5</v>
      </c>
      <c r="L19" s="19" t="n">
        <f aca="false">IFERROR(VLOOKUP(B19,'6-week2'!B:D,2,0),0)</f>
        <v>219</v>
      </c>
      <c r="M19" s="19" t="n">
        <f aca="false">IFERROR(VLOOKUP(B19,'6-week2'!B:D,3,0),0)</f>
        <v>31</v>
      </c>
      <c r="N19" s="19" t="n">
        <f aca="false">IF(L19&gt;179,5,IF(L19&gt;149,4,IF(L19&gt;119,3,IF(L19&gt;89,2,IF(L19&gt;59,1,IF(L19&lt;=59,0))))))</f>
        <v>5</v>
      </c>
      <c r="O19" s="19" t="n">
        <f aca="false">IF(M19&gt;39,1,IF(M19&gt;32,2,IF(M19&gt;26,3,IF(M19&gt;20,4,IF(M19&lt;=20,5)))))</f>
        <v>3</v>
      </c>
      <c r="P19" s="19" t="n">
        <f aca="false">AVERAGE(N19,O19)</f>
        <v>4</v>
      </c>
      <c r="Q19" s="19" t="n">
        <f aca="false">IFERROR(VLOOKUP(B19,'6-week1'!B:F,5,0),0)</f>
        <v>0</v>
      </c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</row>
    <row r="20" customFormat="false" ht="18" hidden="false" customHeight="true" outlineLevel="0" collapsed="false">
      <c r="A20" s="18" t="s">
        <v>66</v>
      </c>
      <c r="B20" s="18" t="str">
        <f aca="false">TRIM(A20)</f>
        <v>زهرا عبدی</v>
      </c>
      <c r="C20" s="18" t="str">
        <f aca="false">VLOOKUP(B20,Company!B:E,3,0)</f>
        <v>ایران</v>
      </c>
      <c r="D20" s="18" t="str">
        <f aca="false">VLOOKUP(B20,Company!B:E,2,0)</f>
        <v>صبح</v>
      </c>
      <c r="E20" s="18" t="str">
        <f aca="false" t="array" ref="E20:E20">IFERROR(INDEX('Team Leads'!$B:$D, MATCH(C20,'Team Leads'!$A:$A,0), MATCH(D20,'Team Leads'!$B$1:$D$1,0)), "")</f>
        <v>مهدی فراهانی</v>
      </c>
      <c r="F20" s="18" t="n">
        <f aca="false">VLOOKUP(B20,'Operator Bugs'!A:P,16,0)</f>
        <v>0</v>
      </c>
      <c r="G20" s="18" t="n">
        <f aca="false">IFERROR(VLOOKUP(B20,'6-week1'!B:D,2,0),0)</f>
        <v>247</v>
      </c>
      <c r="H20" s="18" t="n">
        <f aca="false">IFERROR(VLOOKUP(B20,'6-week1'!B:D,3,0),"-")</f>
        <v>24</v>
      </c>
      <c r="I20" s="18" t="n">
        <f aca="false">IF(G20&gt;179,5,IF(G20&gt;149,4,IF(G20&gt;119,3,IF(G20&gt;89,2,IF(G20&gt;59,1,IF(G20&lt;=59,0))))))</f>
        <v>5</v>
      </c>
      <c r="J20" s="18" t="n">
        <f aca="false">IF(H20&gt;39,1,IF(H20&gt;32,2,IF(H20&gt;26,3,IF(H20&gt;20,4,IF(H20&lt;=20,5)))))</f>
        <v>4</v>
      </c>
      <c r="K20" s="15" t="n">
        <f aca="false">AVERAGE(I20:J20)</f>
        <v>4.5</v>
      </c>
      <c r="L20" s="19" t="n">
        <f aca="false">IFERROR(VLOOKUP(B20,'6-week2'!B:D,2,0),0)</f>
        <v>230</v>
      </c>
      <c r="M20" s="19" t="n">
        <f aca="false">IFERROR(VLOOKUP(B20,'6-week2'!B:D,3,0),0)</f>
        <v>23</v>
      </c>
      <c r="N20" s="19" t="n">
        <f aca="false">IF(L20&gt;179,5,IF(L20&gt;149,4,IF(L20&gt;119,3,IF(L20&gt;89,2,IF(L20&gt;59,1,IF(L20&lt;=59,0))))))</f>
        <v>5</v>
      </c>
      <c r="O20" s="19" t="n">
        <f aca="false">IF(M20&gt;39,1,IF(M20&gt;32,2,IF(M20&gt;26,3,IF(M20&gt;20,4,IF(M20&lt;=20,5)))))</f>
        <v>4</v>
      </c>
      <c r="P20" s="19" t="n">
        <f aca="false">AVERAGE(N20,O20)</f>
        <v>4.5</v>
      </c>
      <c r="Q20" s="19" t="n">
        <f aca="false">IFERROR(VLOOKUP(B20,'6-week1'!B:F,5,0),0)</f>
        <v>0</v>
      </c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</row>
    <row r="21" customFormat="false" ht="18" hidden="false" customHeight="true" outlineLevel="0" collapsed="false">
      <c r="A21" s="18" t="s">
        <v>67</v>
      </c>
      <c r="B21" s="18" t="str">
        <f aca="false">TRIM(A21)</f>
        <v>سولماز اسدپور</v>
      </c>
      <c r="C21" s="18" t="str">
        <f aca="false">VLOOKUP(B21,Company!B:E,3,0)</f>
        <v>سینا</v>
      </c>
      <c r="D21" s="18" t="str">
        <f aca="false">VLOOKUP(B21,Company!B:E,2,0)</f>
        <v>صبح</v>
      </c>
      <c r="E21" s="18" t="str">
        <f aca="false" t="array" ref="E21:E21">IFERROR(INDEX('Team Leads'!$B:$D, MATCH(C21,'Team Leads'!$A:$A,0), MATCH(D21,'Team Leads'!$B$1:$D$1,0)), "")</f>
        <v>فاطمه دهقانپور</v>
      </c>
      <c r="F21" s="18" t="n">
        <f aca="false">VLOOKUP(B21,'Operator Bugs'!A:P,16,0)</f>
        <v>0</v>
      </c>
      <c r="G21" s="18" t="n">
        <f aca="false">IFERROR(VLOOKUP(B21,'6-week1'!B:D,2,0),0)</f>
        <v>244</v>
      </c>
      <c r="H21" s="18" t="n">
        <f aca="false">IFERROR(VLOOKUP(B21,'6-week1'!B:D,3,0),"-")</f>
        <v>25</v>
      </c>
      <c r="I21" s="18" t="n">
        <f aca="false">IF(G21&gt;179,5,IF(G21&gt;149,4,IF(G21&gt;119,3,IF(G21&gt;89,2,IF(G21&gt;59,1,IF(G21&lt;=59,0))))))</f>
        <v>5</v>
      </c>
      <c r="J21" s="18" t="n">
        <f aca="false">IF(H21&gt;39,1,IF(H21&gt;32,2,IF(H21&gt;26,3,IF(H21&gt;20,4,IF(H21&lt;=20,5)))))</f>
        <v>4</v>
      </c>
      <c r="K21" s="15" t="n">
        <f aca="false">AVERAGE(I21:J21)</f>
        <v>4.5</v>
      </c>
      <c r="L21" s="19" t="n">
        <f aca="false">IFERROR(VLOOKUP(B21,'6-week2'!B:D,2,0),0)</f>
        <v>198</v>
      </c>
      <c r="M21" s="19" t="n">
        <f aca="false">IFERROR(VLOOKUP(B21,'6-week2'!B:D,3,0),0)</f>
        <v>24</v>
      </c>
      <c r="N21" s="19" t="n">
        <f aca="false">IF(L21&gt;179,5,IF(L21&gt;149,4,IF(L21&gt;119,3,IF(L21&gt;89,2,IF(L21&gt;59,1,IF(L21&lt;=59,0))))))</f>
        <v>5</v>
      </c>
      <c r="O21" s="19" t="n">
        <f aca="false">IF(M21&gt;39,1,IF(M21&gt;32,2,IF(M21&gt;26,3,IF(M21&gt;20,4,IF(M21&lt;=20,5)))))</f>
        <v>4</v>
      </c>
      <c r="P21" s="19" t="n">
        <f aca="false">AVERAGE(N21,O21)</f>
        <v>4.5</v>
      </c>
      <c r="Q21" s="19" t="n">
        <f aca="false">IFERROR(VLOOKUP(B21,'6-week1'!B:F,5,0),0)</f>
        <v>0</v>
      </c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</row>
    <row r="22" customFormat="false" ht="18" hidden="false" customHeight="true" outlineLevel="0" collapsed="false">
      <c r="A22" s="18" t="s">
        <v>68</v>
      </c>
      <c r="B22" s="18" t="str">
        <f aca="false">TRIM(A22)</f>
        <v>صادق عبدی</v>
      </c>
      <c r="C22" s="18" t="str">
        <f aca="false">VLOOKUP(B22,Company!B:E,3,0)</f>
        <v>تعاون</v>
      </c>
      <c r="D22" s="18" t="str">
        <f aca="false">VLOOKUP(B22,Company!B:E,2,0)</f>
        <v>عصر</v>
      </c>
      <c r="E22" s="18" t="str">
        <f aca="false" t="array" ref="E22:E22">IFERROR(INDEX('Team Leads'!$B:$D, MATCH(C22,'Team Leads'!$A:$A,0), MATCH(D22,'Team Leads'!$B$1:$D$1,0)), "")</f>
        <v>علیرضا زمانیان</v>
      </c>
      <c r="F22" s="18" t="n">
        <f aca="false">VLOOKUP(B22,'Operator Bugs'!A:P,16,0)</f>
        <v>0</v>
      </c>
      <c r="G22" s="18" t="n">
        <f aca="false">IFERROR(VLOOKUP(B22,'6-week1'!B:D,2,0),0)</f>
        <v>208</v>
      </c>
      <c r="H22" s="18" t="n">
        <f aca="false">IFERROR(VLOOKUP(B22,'6-week1'!B:D,3,0),"-")</f>
        <v>24</v>
      </c>
      <c r="I22" s="18" t="n">
        <f aca="false">IF(G22&gt;179,5,IF(G22&gt;149,4,IF(G22&gt;119,3,IF(G22&gt;89,2,IF(G22&gt;59,1,IF(G22&lt;=59,0))))))</f>
        <v>5</v>
      </c>
      <c r="J22" s="18" t="n">
        <f aca="false">IF(H22&gt;39,1,IF(H22&gt;32,2,IF(H22&gt;26,3,IF(H22&gt;20,4,IF(H22&lt;=20,5)))))</f>
        <v>4</v>
      </c>
      <c r="K22" s="15" t="n">
        <f aca="false">AVERAGE(I22:J22)</f>
        <v>4.5</v>
      </c>
      <c r="L22" s="19" t="n">
        <f aca="false">IFERROR(VLOOKUP(B22,'6-week2'!B:D,2,0),0)</f>
        <v>213</v>
      </c>
      <c r="M22" s="19" t="n">
        <f aca="false">IFERROR(VLOOKUP(B22,'6-week2'!B:D,3,0),0)</f>
        <v>23</v>
      </c>
      <c r="N22" s="19" t="n">
        <f aca="false">IF(L22&gt;179,5,IF(L22&gt;149,4,IF(L22&gt;119,3,IF(L22&gt;89,2,IF(L22&gt;59,1,IF(L22&lt;=59,0))))))</f>
        <v>5</v>
      </c>
      <c r="O22" s="19" t="n">
        <f aca="false">IF(M22&gt;39,1,IF(M22&gt;32,2,IF(M22&gt;26,3,IF(M22&gt;20,4,IF(M22&lt;=20,5)))))</f>
        <v>4</v>
      </c>
      <c r="P22" s="19" t="n">
        <f aca="false">AVERAGE(N22,O22)</f>
        <v>4.5</v>
      </c>
      <c r="Q22" s="19" t="n">
        <f aca="false">IFERROR(VLOOKUP(B22,'6-week1'!B:F,5,0),0)</f>
        <v>0</v>
      </c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</row>
    <row r="23" customFormat="false" ht="18" hidden="false" customHeight="true" outlineLevel="0" collapsed="false">
      <c r="A23" s="18" t="s">
        <v>69</v>
      </c>
      <c r="B23" s="18" t="str">
        <f aca="false">TRIM(A23)</f>
        <v>فاطمه عبدی</v>
      </c>
      <c r="C23" s="18" t="str">
        <f aca="false">VLOOKUP(B23,Company!B:E,3,0)</f>
        <v>ایران</v>
      </c>
      <c r="D23" s="18" t="str">
        <f aca="false">VLOOKUP(B23,Company!B:E,2,0)</f>
        <v>صبح</v>
      </c>
      <c r="E23" s="18" t="str">
        <f aca="false" t="array" ref="E23:E23">IFERROR(INDEX('Team Leads'!$B:$D, MATCH(C23,'Team Leads'!$A:$A,0), MATCH(D23,'Team Leads'!$B$1:$D$1,0)), "")</f>
        <v>مهدی فراهانی</v>
      </c>
      <c r="F23" s="18" t="n">
        <f aca="false">VLOOKUP(B23,'Operator Bugs'!A:P,16,0)</f>
        <v>0</v>
      </c>
      <c r="G23" s="18" t="n">
        <f aca="false">IFERROR(VLOOKUP(B23,'6-week1'!B:D,2,0),0)</f>
        <v>347</v>
      </c>
      <c r="H23" s="18" t="n">
        <f aca="false">IFERROR(VLOOKUP(B23,'6-week1'!B:D,3,0),"-")</f>
        <v>23</v>
      </c>
      <c r="I23" s="18" t="n">
        <f aca="false">IF(G23&gt;179,5,IF(G23&gt;149,4,IF(G23&gt;119,3,IF(G23&gt;89,2,IF(G23&gt;59,1,IF(G23&lt;=59,0))))))</f>
        <v>5</v>
      </c>
      <c r="J23" s="18" t="n">
        <f aca="false">IF(H23&gt;39,1,IF(H23&gt;32,2,IF(H23&gt;26,3,IF(H23&gt;20,4,IF(H23&lt;=20,5)))))</f>
        <v>4</v>
      </c>
      <c r="K23" s="15" t="n">
        <f aca="false">AVERAGE(I23:J23)</f>
        <v>4.5</v>
      </c>
      <c r="L23" s="19" t="n">
        <f aca="false">IFERROR(VLOOKUP(B23,'6-week2'!B:D,2,0),0)</f>
        <v>331</v>
      </c>
      <c r="M23" s="19" t="n">
        <f aca="false">IFERROR(VLOOKUP(B23,'6-week2'!B:D,3,0),0)</f>
        <v>26</v>
      </c>
      <c r="N23" s="19" t="n">
        <f aca="false">IF(L23&gt;179,5,IF(L23&gt;149,4,IF(L23&gt;119,3,IF(L23&gt;89,2,IF(L23&gt;59,1,IF(L23&lt;=59,0))))))</f>
        <v>5</v>
      </c>
      <c r="O23" s="19" t="n">
        <f aca="false">IF(M23&gt;39,1,IF(M23&gt;32,2,IF(M23&gt;26,3,IF(M23&gt;20,4,IF(M23&lt;=20,5)))))</f>
        <v>4</v>
      </c>
      <c r="P23" s="19" t="n">
        <f aca="false">AVERAGE(N23,O23)</f>
        <v>4.5</v>
      </c>
      <c r="Q23" s="19" t="n">
        <f aca="false">IFERROR(VLOOKUP(B23,'6-week1'!B:F,5,0),0)</f>
        <v>0</v>
      </c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</row>
    <row r="24" customFormat="false" ht="18" hidden="false" customHeight="true" outlineLevel="0" collapsed="false">
      <c r="A24" s="18" t="s">
        <v>70</v>
      </c>
      <c r="B24" s="18" t="str">
        <f aca="false">TRIM(A24)</f>
        <v>فاطمه هاشمی</v>
      </c>
      <c r="C24" s="18" t="str">
        <f aca="false">VLOOKUP(B24,Company!B:E,3,0)</f>
        <v>سینا</v>
      </c>
      <c r="D24" s="18" t="str">
        <f aca="false">VLOOKUP(B24,Company!B:E,2,0)</f>
        <v>صبح</v>
      </c>
      <c r="E24" s="18" t="str">
        <f aca="false" t="array" ref="E24:E24">IFERROR(INDEX('Team Leads'!$B:$D, MATCH(C24,'Team Leads'!$A:$A,0), MATCH(D24,'Team Leads'!$B$1:$D$1,0)), "")</f>
        <v>فاطمه دهقانپور</v>
      </c>
      <c r="F24" s="18" t="n">
        <f aca="false">VLOOKUP(B24,'Operator Bugs'!A:P,16,0)</f>
        <v>0</v>
      </c>
      <c r="G24" s="18" t="n">
        <f aca="false">IFERROR(VLOOKUP(B24,'6-week1'!B:D,2,0),0)</f>
        <v>213</v>
      </c>
      <c r="H24" s="18" t="n">
        <f aca="false">IFERROR(VLOOKUP(B24,'6-week1'!B:D,3,0),"-")</f>
        <v>21</v>
      </c>
      <c r="I24" s="18" t="n">
        <f aca="false">IF(G24&gt;179,5,IF(G24&gt;149,4,IF(G24&gt;119,3,IF(G24&gt;89,2,IF(G24&gt;59,1,IF(G24&lt;=59,0))))))</f>
        <v>5</v>
      </c>
      <c r="J24" s="18" t="n">
        <f aca="false">IF(H24&gt;39,1,IF(H24&gt;32,2,IF(H24&gt;26,3,IF(H24&gt;20,4,IF(H24&lt;=20,5)))))</f>
        <v>4</v>
      </c>
      <c r="K24" s="15" t="n">
        <f aca="false">AVERAGE(I24:J24)</f>
        <v>4.5</v>
      </c>
      <c r="L24" s="19" t="n">
        <f aca="false">IFERROR(VLOOKUP(B24,'6-week2'!B:D,2,0),0)</f>
        <v>235</v>
      </c>
      <c r="M24" s="19" t="n">
        <f aca="false">IFERROR(VLOOKUP(B24,'6-week2'!B:D,3,0),0)</f>
        <v>23</v>
      </c>
      <c r="N24" s="19" t="n">
        <f aca="false">IF(L24&gt;179,5,IF(L24&gt;149,4,IF(L24&gt;119,3,IF(L24&gt;89,2,IF(L24&gt;59,1,IF(L24&lt;=59,0))))))</f>
        <v>5</v>
      </c>
      <c r="O24" s="19" t="n">
        <f aca="false">IF(M24&gt;39,1,IF(M24&gt;32,2,IF(M24&gt;26,3,IF(M24&gt;20,4,IF(M24&lt;=20,5)))))</f>
        <v>4</v>
      </c>
      <c r="P24" s="19" t="n">
        <f aca="false">AVERAGE(N24,O24)</f>
        <v>4.5</v>
      </c>
      <c r="Q24" s="19" t="n">
        <f aca="false">IFERROR(VLOOKUP(B24,'6-week1'!B:F,5,0),0)</f>
        <v>0</v>
      </c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customFormat="false" ht="18" hidden="false" customHeight="true" outlineLevel="0" collapsed="false">
      <c r="A25" s="18" t="s">
        <v>71</v>
      </c>
      <c r="B25" s="18" t="str">
        <f aca="false">TRIM(A25)</f>
        <v>قاسم شکری</v>
      </c>
      <c r="C25" s="18" t="str">
        <f aca="false">VLOOKUP(B25,Company!B:E,3,0)</f>
        <v>رازی</v>
      </c>
      <c r="D25" s="18" t="str">
        <f aca="false">VLOOKUP(B25,Company!B:E,2,0)</f>
        <v>عصر</v>
      </c>
      <c r="E25" s="18" t="str">
        <f aca="false" t="array" ref="E25:E25">IFERROR(INDEX('Team Leads'!$B:$D, MATCH(C25,'Team Leads'!$A:$A,0), MATCH(D25,'Team Leads'!$B$1:$D$1,0)), "")</f>
        <v>امیررضا فلاح</v>
      </c>
      <c r="F25" s="18" t="n">
        <f aca="false">VLOOKUP(B25,'Operator Bugs'!A:P,16,0)</f>
        <v>0</v>
      </c>
      <c r="G25" s="18" t="n">
        <f aca="false">IFERROR(VLOOKUP(B25,'6-week1'!B:D,2,0),0)</f>
        <v>178</v>
      </c>
      <c r="H25" s="18" t="n">
        <f aca="false">IFERROR(VLOOKUP(B25,'6-week1'!B:D,3,0),"-")</f>
        <v>18</v>
      </c>
      <c r="I25" s="18" t="n">
        <f aca="false">IF(G25&gt;179,5,IF(G25&gt;149,4,IF(G25&gt;119,3,IF(G25&gt;89,2,IF(G25&gt;59,1,IF(G25&lt;=59,0))))))</f>
        <v>4</v>
      </c>
      <c r="J25" s="18" t="n">
        <f aca="false">IF(H25&gt;39,1,IF(H25&gt;32,2,IF(H25&gt;26,3,IF(H25&gt;20,4,IF(H25&lt;=20,5)))))</f>
        <v>5</v>
      </c>
      <c r="K25" s="15" t="n">
        <f aca="false">AVERAGE(I25:J25)</f>
        <v>4.5</v>
      </c>
      <c r="L25" s="19" t="n">
        <f aca="false">IFERROR(VLOOKUP(B25,'6-week2'!B:D,2,0),0)</f>
        <v>178</v>
      </c>
      <c r="M25" s="19" t="n">
        <f aca="false">IFERROR(VLOOKUP(B25,'6-week2'!B:D,3,0),0)</f>
        <v>18</v>
      </c>
      <c r="N25" s="19" t="n">
        <f aca="false">IF(L25&gt;179,5,IF(L25&gt;149,4,IF(L25&gt;119,3,IF(L25&gt;89,2,IF(L25&gt;59,1,IF(L25&lt;=59,0))))))</f>
        <v>4</v>
      </c>
      <c r="O25" s="19" t="n">
        <f aca="false">IF(M25&gt;39,1,IF(M25&gt;32,2,IF(M25&gt;26,3,IF(M25&gt;20,4,IF(M25&lt;=20,5)))))</f>
        <v>5</v>
      </c>
      <c r="P25" s="19" t="n">
        <f aca="false">AVERAGE(N25,O25)</f>
        <v>4.5</v>
      </c>
      <c r="Q25" s="19" t="n">
        <f aca="false">IFERROR(VLOOKUP(B25,'6-week1'!B:F,5,0),0)</f>
        <v>0</v>
      </c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</row>
    <row r="26" customFormat="false" ht="18" hidden="false" customHeight="true" outlineLevel="0" collapsed="false">
      <c r="A26" s="18" t="s">
        <v>72</v>
      </c>
      <c r="B26" s="18" t="str">
        <f aca="false">TRIM(A26)</f>
        <v>مرکز صدور رضوانی | رضا رضوانی</v>
      </c>
      <c r="C26" s="18" t="str">
        <f aca="false">VLOOKUP(B26,Company!B:E,3,0)</f>
        <v>سنتر</v>
      </c>
      <c r="D26" s="18" t="str">
        <f aca="false">VLOOKUP(B26,Company!B:E,2,0)</f>
        <v>صبح</v>
      </c>
      <c r="E26" s="18" t="str">
        <f aca="false" t="array" ref="E26:E26">IFERROR(INDEX('Team Leads'!$B:$D, MATCH(C26,'Team Leads'!$A:$A,0), MATCH(D26,'Team Leads'!$B$1:$D$1,0)), "")</f>
        <v>مریم ایزدی - شاهین شهریاری</v>
      </c>
      <c r="F26" s="18" t="n">
        <f aca="false">VLOOKUP(B26,'Operator Bugs'!A:P,16,0)</f>
        <v>0</v>
      </c>
      <c r="G26" s="18" t="n">
        <f aca="false">IFERROR(VLOOKUP(B26,'6-week1'!B:D,2,0),0)</f>
        <v>211</v>
      </c>
      <c r="H26" s="18" t="n">
        <f aca="false">IFERROR(VLOOKUP(B26,'6-week1'!B:D,3,0),"-")</f>
        <v>22</v>
      </c>
      <c r="I26" s="18" t="n">
        <f aca="false">IF(G26&gt;179,5,IF(G26&gt;149,4,IF(G26&gt;119,3,IF(G26&gt;89,2,IF(G26&gt;59,1,IF(G26&lt;=59,0))))))</f>
        <v>5</v>
      </c>
      <c r="J26" s="18" t="n">
        <f aca="false">IF(H26&gt;39,1,IF(H26&gt;32,2,IF(H26&gt;26,3,IF(H26&gt;20,4,IF(H26&lt;=20,5)))))</f>
        <v>4</v>
      </c>
      <c r="K26" s="15" t="n">
        <f aca="false">AVERAGE(I26:J26)</f>
        <v>4.5</v>
      </c>
      <c r="L26" s="19" t="n">
        <f aca="false">IFERROR(VLOOKUP(B26,'6-week2'!B:D,2,0),0)</f>
        <v>264</v>
      </c>
      <c r="M26" s="19" t="n">
        <f aca="false">IFERROR(VLOOKUP(B26,'6-week2'!B:D,3,0),0)</f>
        <v>17</v>
      </c>
      <c r="N26" s="19" t="n">
        <f aca="false">IF(L26&gt;179,5,IF(L26&gt;149,4,IF(L26&gt;119,3,IF(L26&gt;89,2,IF(L26&gt;59,1,IF(L26&lt;=59,0))))))</f>
        <v>5</v>
      </c>
      <c r="O26" s="19" t="n">
        <f aca="false">IF(M26&gt;39,1,IF(M26&gt;32,2,IF(M26&gt;26,3,IF(M26&gt;20,4,IF(M26&lt;=20,5)))))</f>
        <v>5</v>
      </c>
      <c r="P26" s="19" t="n">
        <f aca="false">AVERAGE(N26,O26)</f>
        <v>5</v>
      </c>
      <c r="Q26" s="19" t="n">
        <f aca="false">IFERROR(VLOOKUP(B26,'6-week1'!B:F,5,0),0)</f>
        <v>0</v>
      </c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</row>
    <row r="27" customFormat="false" ht="18" hidden="false" customHeight="true" outlineLevel="0" collapsed="false">
      <c r="A27" s="18" t="s">
        <v>73</v>
      </c>
      <c r="B27" s="18" t="str">
        <f aca="false">TRIM(A27)</f>
        <v>مرکز صدور رضوانی | طاهارضوانی</v>
      </c>
      <c r="C27" s="18" t="str">
        <f aca="false">VLOOKUP(B27,Company!B:E,3,0)</f>
        <v>سنتر</v>
      </c>
      <c r="D27" s="18" t="str">
        <f aca="false">VLOOKUP(B27,Company!B:E,2,0)</f>
        <v>صبح</v>
      </c>
      <c r="E27" s="18" t="str">
        <f aca="false" t="array" ref="E27:E27">IFERROR(INDEX('Team Leads'!$B:$D, MATCH(C27,'Team Leads'!$A:$A,0), MATCH(D27,'Team Leads'!$B$1:$D$1,0)), "")</f>
        <v>مریم ایزدی - شاهین شهریاری</v>
      </c>
      <c r="F27" s="18" t="n">
        <f aca="false">VLOOKUP(B27,'Operator Bugs'!A:P,16,0)</f>
        <v>0</v>
      </c>
      <c r="G27" s="18" t="n">
        <f aca="false">IFERROR(VLOOKUP(B27,'6-week1'!B:D,2,0),0)</f>
        <v>169</v>
      </c>
      <c r="H27" s="18" t="n">
        <f aca="false">IFERROR(VLOOKUP(B27,'6-week1'!B:D,3,0),"-")</f>
        <v>16</v>
      </c>
      <c r="I27" s="18" t="n">
        <f aca="false">IF(G27&gt;179,5,IF(G27&gt;149,4,IF(G27&gt;119,3,IF(G27&gt;89,2,IF(G27&gt;59,1,IF(G27&lt;=59,0))))))</f>
        <v>4</v>
      </c>
      <c r="J27" s="18" t="n">
        <f aca="false">IF(H27&gt;39,1,IF(H27&gt;32,2,IF(H27&gt;26,3,IF(H27&gt;20,4,IF(H27&lt;=20,5)))))</f>
        <v>5</v>
      </c>
      <c r="K27" s="15" t="n">
        <f aca="false">AVERAGE(I27:J27)</f>
        <v>4.5</v>
      </c>
      <c r="L27" s="19" t="n">
        <f aca="false">IFERROR(VLOOKUP(B27,'6-week2'!B:D,2,0),0)</f>
        <v>173</v>
      </c>
      <c r="M27" s="19" t="n">
        <f aca="false">IFERROR(VLOOKUP(B27,'6-week2'!B:D,3,0),0)</f>
        <v>16</v>
      </c>
      <c r="N27" s="19" t="n">
        <f aca="false">IF(L27&gt;179,5,IF(L27&gt;149,4,IF(L27&gt;119,3,IF(L27&gt;89,2,IF(L27&gt;59,1,IF(L27&lt;=59,0))))))</f>
        <v>4</v>
      </c>
      <c r="O27" s="19" t="n">
        <f aca="false">IF(M27&gt;39,1,IF(M27&gt;32,2,IF(M27&gt;26,3,IF(M27&gt;20,4,IF(M27&lt;=20,5)))))</f>
        <v>5</v>
      </c>
      <c r="P27" s="19" t="n">
        <f aca="false">AVERAGE(N27,O27)</f>
        <v>4.5</v>
      </c>
      <c r="Q27" s="19" t="n">
        <f aca="false">IFERROR(VLOOKUP(B27,'6-week1'!B:F,5,0),0)</f>
        <v>0</v>
      </c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</row>
    <row r="28" customFormat="false" ht="18" hidden="false" customHeight="true" outlineLevel="0" collapsed="false">
      <c r="A28" s="18" t="s">
        <v>74</v>
      </c>
      <c r="B28" s="18" t="str">
        <f aca="false">TRIM(A28)</f>
        <v>مهسا قادری</v>
      </c>
      <c r="C28" s="18" t="str">
        <f aca="false">VLOOKUP(B28,Company!B:E,3,0)</f>
        <v>ایران</v>
      </c>
      <c r="D28" s="18" t="str">
        <f aca="false">VLOOKUP(B28,Company!B:E,2,0)</f>
        <v>عصر</v>
      </c>
      <c r="E28" s="18" t="str">
        <f aca="false" t="array" ref="E28:E28">IFERROR(INDEX('Team Leads'!$B:$D, MATCH(C28,'Team Leads'!$A:$A,0), MATCH(D28,'Team Leads'!$B$1:$D$1,0)), "")</f>
        <v>علیرضا زمانیان</v>
      </c>
      <c r="F28" s="18" t="n">
        <f aca="false">VLOOKUP(B28,'Operator Bugs'!A:P,16,0)</f>
        <v>0</v>
      </c>
      <c r="G28" s="18" t="n">
        <f aca="false">IFERROR(VLOOKUP(B28,'6-week1'!B:D,2,0),0)</f>
        <v>205</v>
      </c>
      <c r="H28" s="18" t="n">
        <f aca="false">IFERROR(VLOOKUP(B28,'6-week1'!B:D,3,0),"-")</f>
        <v>22</v>
      </c>
      <c r="I28" s="18" t="n">
        <f aca="false">IF(G28&gt;179,5,IF(G28&gt;149,4,IF(G28&gt;119,3,IF(G28&gt;89,2,IF(G28&gt;59,1,IF(G28&lt;=59,0))))))</f>
        <v>5</v>
      </c>
      <c r="J28" s="18" t="n">
        <f aca="false">IF(H28&gt;39,1,IF(H28&gt;32,2,IF(H28&gt;26,3,IF(H28&gt;20,4,IF(H28&lt;=20,5)))))</f>
        <v>4</v>
      </c>
      <c r="K28" s="15" t="n">
        <f aca="false">AVERAGE(I28:J28)</f>
        <v>4.5</v>
      </c>
      <c r="L28" s="19" t="n">
        <f aca="false">IFERROR(VLOOKUP(B28,'6-week2'!B:D,2,0),0)</f>
        <v>202</v>
      </c>
      <c r="M28" s="19" t="n">
        <f aca="false">IFERROR(VLOOKUP(B28,'6-week2'!B:D,3,0),0)</f>
        <v>15</v>
      </c>
      <c r="N28" s="19" t="n">
        <f aca="false">IF(L28&gt;179,5,IF(L28&gt;149,4,IF(L28&gt;119,3,IF(L28&gt;89,2,IF(L28&gt;59,1,IF(L28&lt;=59,0))))))</f>
        <v>5</v>
      </c>
      <c r="O28" s="19" t="n">
        <f aca="false">IF(M28&gt;39,1,IF(M28&gt;32,2,IF(M28&gt;26,3,IF(M28&gt;20,4,IF(M28&lt;=20,5)))))</f>
        <v>5</v>
      </c>
      <c r="P28" s="19" t="n">
        <f aca="false">AVERAGE(N28,O28)</f>
        <v>5</v>
      </c>
      <c r="Q28" s="19" t="n">
        <f aca="false">IFERROR(VLOOKUP(B28,'6-week1'!B:F,5,0),0)</f>
        <v>0</v>
      </c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</row>
    <row r="29" customFormat="false" ht="18" hidden="false" customHeight="true" outlineLevel="0" collapsed="false">
      <c r="A29" s="18" t="s">
        <v>75</v>
      </c>
      <c r="B29" s="18" t="str">
        <f aca="false">TRIM(A29)</f>
        <v>نرگس نصیری</v>
      </c>
      <c r="C29" s="18" t="str">
        <f aca="false">VLOOKUP(B29,Company!B:E,3,0)</f>
        <v>ایران</v>
      </c>
      <c r="D29" s="18" t="str">
        <f aca="false">VLOOKUP(B29,Company!B:E,2,0)</f>
        <v>صبح</v>
      </c>
      <c r="E29" s="18" t="str">
        <f aca="false" t="array" ref="E29:E29">IFERROR(INDEX('Team Leads'!$B:$D, MATCH(C29,'Team Leads'!$A:$A,0), MATCH(D29,'Team Leads'!$B$1:$D$1,0)), "")</f>
        <v>مهدی فراهانی</v>
      </c>
      <c r="F29" s="18" t="n">
        <f aca="false">VLOOKUP(B29,'Operator Bugs'!A:P,16,0)</f>
        <v>0</v>
      </c>
      <c r="G29" s="18" t="n">
        <f aca="false">IFERROR(VLOOKUP(B29,'6-week1'!B:D,2,0),0)</f>
        <v>332</v>
      </c>
      <c r="H29" s="18" t="n">
        <f aca="false">IFERROR(VLOOKUP(B29,'6-week1'!B:D,3,0),"-")</f>
        <v>21</v>
      </c>
      <c r="I29" s="18" t="n">
        <f aca="false">IF(G29&gt;179,5,IF(G29&gt;149,4,IF(G29&gt;119,3,IF(G29&gt;89,2,IF(G29&gt;59,1,IF(G29&lt;=59,0))))))</f>
        <v>5</v>
      </c>
      <c r="J29" s="18" t="n">
        <f aca="false">IF(H29&gt;39,1,IF(H29&gt;32,2,IF(H29&gt;26,3,IF(H29&gt;20,4,IF(H29&lt;=20,5)))))</f>
        <v>4</v>
      </c>
      <c r="K29" s="15" t="n">
        <f aca="false">AVERAGE(I29:J29)</f>
        <v>4.5</v>
      </c>
      <c r="L29" s="19" t="n">
        <f aca="false">IFERROR(VLOOKUP(B29,'6-week2'!B:D,2,0),0)</f>
        <v>323</v>
      </c>
      <c r="M29" s="19" t="n">
        <f aca="false">IFERROR(VLOOKUP(B29,'6-week2'!B:D,3,0),0)</f>
        <v>18</v>
      </c>
      <c r="N29" s="19" t="n">
        <f aca="false">IF(L29&gt;179,5,IF(L29&gt;149,4,IF(L29&gt;119,3,IF(L29&gt;89,2,IF(L29&gt;59,1,IF(L29&lt;=59,0))))))</f>
        <v>5</v>
      </c>
      <c r="O29" s="19" t="n">
        <f aca="false">IF(M29&gt;39,1,IF(M29&gt;32,2,IF(M29&gt;26,3,IF(M29&gt;20,4,IF(M29&lt;=20,5)))))</f>
        <v>5</v>
      </c>
      <c r="P29" s="19" t="n">
        <f aca="false">AVERAGE(N29,O29)</f>
        <v>5</v>
      </c>
      <c r="Q29" s="19" t="n">
        <f aca="false">IFERROR(VLOOKUP(B29,'6-week1'!B:F,5,0),0)</f>
        <v>0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</row>
    <row r="30" customFormat="false" ht="18" hidden="false" customHeight="true" outlineLevel="0" collapsed="false">
      <c r="A30" s="18" t="s">
        <v>76</v>
      </c>
      <c r="B30" s="18" t="str">
        <f aca="false">TRIM(A30)</f>
        <v>آرزو عسگری</v>
      </c>
      <c r="C30" s="18" t="str">
        <f aca="false">VLOOKUP(B30,Company!B:E,3,0)</f>
        <v>سینا</v>
      </c>
      <c r="D30" s="18" t="str">
        <f aca="false">VLOOKUP(B30,Company!B:E,2,0)</f>
        <v>عصر</v>
      </c>
      <c r="E30" s="18" t="str">
        <f aca="false" t="array" ref="E30:E30">IFERROR(INDEX('Team Leads'!$B:$D, MATCH(C30,'Team Leads'!$A:$A,0), MATCH(D30,'Team Leads'!$B$1:$D$1,0)), "")</f>
        <v>مهدی ایازی</v>
      </c>
      <c r="F30" s="18" t="n">
        <f aca="false">VLOOKUP(B30,'Operator Bugs'!A:P,16,0)</f>
        <v>0</v>
      </c>
      <c r="G30" s="18" t="n">
        <f aca="false">IFERROR(VLOOKUP(B30,'6-week1'!B:D,2,0),0)</f>
        <v>216</v>
      </c>
      <c r="H30" s="18" t="n">
        <f aca="false">IFERROR(VLOOKUP(B30,'6-week1'!B:D,3,0),"-")</f>
        <v>28</v>
      </c>
      <c r="I30" s="18" t="n">
        <f aca="false">IF(G30&gt;179,5,IF(G30&gt;149,4,IF(G30&gt;119,3,IF(G30&gt;89,2,IF(G30&gt;59,1,IF(G30&lt;=59,0))))))</f>
        <v>5</v>
      </c>
      <c r="J30" s="18" t="n">
        <f aca="false">IF(H30&gt;39,1,IF(H30&gt;32,2,IF(H30&gt;26,3,IF(H30&gt;20,4,IF(H30&lt;=20,5)))))</f>
        <v>3</v>
      </c>
      <c r="K30" s="15" t="n">
        <f aca="false">AVERAGE(I30:J30)</f>
        <v>4</v>
      </c>
      <c r="L30" s="19" t="n">
        <f aca="false">IFERROR(VLOOKUP(B30,'6-week2'!B:D,2,0),0)</f>
        <v>272</v>
      </c>
      <c r="M30" s="19" t="n">
        <f aca="false">IFERROR(VLOOKUP(B30,'6-week2'!B:D,3,0),0)</f>
        <v>27</v>
      </c>
      <c r="N30" s="19" t="n">
        <f aca="false">IF(L30&gt;179,5,IF(L30&gt;149,4,IF(L30&gt;119,3,IF(L30&gt;89,2,IF(L30&gt;59,1,IF(L30&lt;=59,0))))))</f>
        <v>5</v>
      </c>
      <c r="O30" s="19" t="n">
        <f aca="false">IF(M30&gt;39,1,IF(M30&gt;32,2,IF(M30&gt;26,3,IF(M30&gt;20,4,IF(M30&lt;=20,5)))))</f>
        <v>3</v>
      </c>
      <c r="P30" s="19" t="n">
        <f aca="false">AVERAGE(N30,O30)</f>
        <v>4</v>
      </c>
      <c r="Q30" s="19" t="n">
        <f aca="false">IFERROR(VLOOKUP(B30,'6-week1'!B:F,5,0),0)</f>
        <v>0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</row>
    <row r="31" customFormat="false" ht="18" hidden="false" customHeight="true" outlineLevel="0" collapsed="false">
      <c r="A31" s="18" t="s">
        <v>77</v>
      </c>
      <c r="B31" s="18" t="str">
        <f aca="false">TRIM(A31)</f>
        <v>اعظم خردبیشه</v>
      </c>
      <c r="C31" s="18" t="str">
        <f aca="false">VLOOKUP(B31,Company!B:E,3,0)</f>
        <v>ایران</v>
      </c>
      <c r="D31" s="18" t="str">
        <f aca="false">VLOOKUP(B31,Company!B:E,2,0)</f>
        <v>صبح</v>
      </c>
      <c r="E31" s="18" t="str">
        <f aca="false" t="array" ref="E31:E31">IFERROR(INDEX('Team Leads'!$B:$D, MATCH(C31,'Team Leads'!$A:$A,0), MATCH(D31,'Team Leads'!$B$1:$D$1,0)), "")</f>
        <v>مهدی فراهانی</v>
      </c>
      <c r="F31" s="18" t="n">
        <f aca="false">VLOOKUP(B31,'Operator Bugs'!A:P,16,0)</f>
        <v>0</v>
      </c>
      <c r="G31" s="18" t="n">
        <f aca="false">IFERROR(VLOOKUP(B31,'6-week1'!B:D,2,0),0)</f>
        <v>100</v>
      </c>
      <c r="H31" s="18" t="n">
        <f aca="false">IFERROR(VLOOKUP(B31,'6-week1'!B:D,3,0),"-")</f>
        <v>14</v>
      </c>
      <c r="I31" s="18" t="n">
        <f aca="false">IF(G31&gt;179,5,IF(G31&gt;149,4,IF(G31&gt;119,3,IF(G31&gt;89,2,IF(G31&gt;59,1,IF(G31&lt;=59,0))))))</f>
        <v>2</v>
      </c>
      <c r="J31" s="18" t="n">
        <f aca="false">IF(H31&gt;39,1,IF(H31&gt;32,2,IF(H31&gt;26,3,IF(H31&gt;20,4,IF(H31&lt;=20,5)))))</f>
        <v>5</v>
      </c>
      <c r="K31" s="15" t="n">
        <f aca="false">AVERAGE(I31:J31)</f>
        <v>3.5</v>
      </c>
      <c r="L31" s="19" t="n">
        <f aca="false">IFERROR(VLOOKUP(B31,'6-week2'!B:D,2,0),0)</f>
        <v>215</v>
      </c>
      <c r="M31" s="19" t="n">
        <f aca="false">IFERROR(VLOOKUP(B31,'6-week2'!B:D,3,0),0)</f>
        <v>13</v>
      </c>
      <c r="N31" s="19" t="n">
        <f aca="false">IF(L31&gt;179,5,IF(L31&gt;149,4,IF(L31&gt;119,3,IF(L31&gt;89,2,IF(L31&gt;59,1,IF(L31&lt;=59,0))))))</f>
        <v>5</v>
      </c>
      <c r="O31" s="19" t="n">
        <f aca="false">IF(M31&gt;39,1,IF(M31&gt;32,2,IF(M31&gt;26,3,IF(M31&gt;20,4,IF(M31&lt;=20,5)))))</f>
        <v>5</v>
      </c>
      <c r="P31" s="19" t="n">
        <f aca="false">AVERAGE(N31,O31)</f>
        <v>5</v>
      </c>
      <c r="Q31" s="19" t="n">
        <f aca="false">IFERROR(VLOOKUP(B31,'6-week1'!B:F,5,0),0)</f>
        <v>0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</row>
    <row r="32" customFormat="false" ht="18" hidden="false" customHeight="true" outlineLevel="0" collapsed="false">
      <c r="A32" s="18" t="s">
        <v>78</v>
      </c>
      <c r="B32" s="18" t="str">
        <f aca="false">TRIM(A32)</f>
        <v>زهرا قربانی</v>
      </c>
      <c r="C32" s="18" t="str">
        <f aca="false">VLOOKUP(B32,Company!B:E,3,0)</f>
        <v>تعاون</v>
      </c>
      <c r="D32" s="18" t="str">
        <f aca="false">VLOOKUP(B32,Company!B:E,2,0)</f>
        <v>عصر</v>
      </c>
      <c r="E32" s="18" t="str">
        <f aca="false" t="array" ref="E32:E32">IFERROR(INDEX('Team Leads'!$B:$D, MATCH(C32,'Team Leads'!$A:$A,0), MATCH(D32,'Team Leads'!$B$1:$D$1,0)), "")</f>
        <v>علیرضا زمانیان</v>
      </c>
      <c r="F32" s="18" t="n">
        <f aca="false">VLOOKUP(B32,'Operator Bugs'!A:P,16,0)</f>
        <v>0</v>
      </c>
      <c r="G32" s="18" t="n">
        <f aca="false">IFERROR(VLOOKUP(B32,'6-week1'!B:D,2,0),0)</f>
        <v>164</v>
      </c>
      <c r="H32" s="18" t="n">
        <f aca="false">IFERROR(VLOOKUP(B32,'6-week1'!B:D,3,0),"-")</f>
        <v>24</v>
      </c>
      <c r="I32" s="18" t="n">
        <f aca="false">IF(G32&gt;179,5,IF(G32&gt;149,4,IF(G32&gt;119,3,IF(G32&gt;89,2,IF(G32&gt;59,1,IF(G32&lt;=59,0))))))</f>
        <v>4</v>
      </c>
      <c r="J32" s="18" t="n">
        <f aca="false">IF(H32&gt;39,1,IF(H32&gt;32,2,IF(H32&gt;26,3,IF(H32&gt;20,4,IF(H32&lt;=20,5)))))</f>
        <v>4</v>
      </c>
      <c r="K32" s="15" t="n">
        <f aca="false">AVERAGE(I32:J32)</f>
        <v>4</v>
      </c>
      <c r="L32" s="19" t="n">
        <f aca="false">IFERROR(VLOOKUP(B32,'6-week2'!B:D,2,0),0)</f>
        <v>132</v>
      </c>
      <c r="M32" s="19" t="n">
        <f aca="false">IFERROR(VLOOKUP(B32,'6-week2'!B:D,3,0),0)</f>
        <v>22</v>
      </c>
      <c r="N32" s="19" t="n">
        <f aca="false">IF(L32&gt;179,5,IF(L32&gt;149,4,IF(L32&gt;119,3,IF(L32&gt;89,2,IF(L32&gt;59,1,IF(L32&lt;=59,0))))))</f>
        <v>3</v>
      </c>
      <c r="O32" s="19" t="n">
        <f aca="false">IF(M32&gt;39,1,IF(M32&gt;32,2,IF(M32&gt;26,3,IF(M32&gt;20,4,IF(M32&lt;=20,5)))))</f>
        <v>4</v>
      </c>
      <c r="P32" s="19" t="n">
        <f aca="false">AVERAGE(N32,O32)</f>
        <v>3.5</v>
      </c>
      <c r="Q32" s="19" t="n">
        <f aca="false">IFERROR(VLOOKUP(B32,'6-week1'!B:F,5,0),0)</f>
        <v>0</v>
      </c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</row>
    <row r="33" customFormat="false" ht="18" hidden="false" customHeight="true" outlineLevel="0" collapsed="false">
      <c r="A33" s="18" t="s">
        <v>79</v>
      </c>
      <c r="B33" s="18" t="str">
        <f aca="false">TRIM(A33)</f>
        <v>زینب جعفری</v>
      </c>
      <c r="C33" s="18" t="str">
        <f aca="false">VLOOKUP(B33,Company!B:E,3,0)</f>
        <v>رازی</v>
      </c>
      <c r="D33" s="18" t="str">
        <f aca="false">VLOOKUP(B33,Company!B:E,2,0)</f>
        <v>صبح</v>
      </c>
      <c r="E33" s="18" t="str">
        <f aca="false" t="array" ref="E33:E33">IFERROR(INDEX('Team Leads'!$B:$D, MATCH(C33,'Team Leads'!$A:$A,0), MATCH(D33,'Team Leads'!$B$1:$D$1,0)), "")</f>
        <v>آتنا مالمیر</v>
      </c>
      <c r="F33" s="18" t="n">
        <f aca="false">VLOOKUP(B33,'Operator Bugs'!A:P,16,0)</f>
        <v>0</v>
      </c>
      <c r="G33" s="18" t="n">
        <f aca="false">IFERROR(VLOOKUP(B33,'6-week1'!B:D,2,0),0)</f>
        <v>193</v>
      </c>
      <c r="H33" s="18" t="n">
        <f aca="false">IFERROR(VLOOKUP(B33,'6-week1'!B:D,3,0),"-")</f>
        <v>30</v>
      </c>
      <c r="I33" s="18" t="n">
        <f aca="false">IF(G33&gt;179,5,IF(G33&gt;149,4,IF(G33&gt;119,3,IF(G33&gt;89,2,IF(G33&gt;59,1,IF(G33&lt;=59,0))))))</f>
        <v>5</v>
      </c>
      <c r="J33" s="18" t="n">
        <f aca="false">IF(H33&gt;39,1,IF(H33&gt;32,2,IF(H33&gt;26,3,IF(H33&gt;20,4,IF(H33&lt;=20,5)))))</f>
        <v>3</v>
      </c>
      <c r="K33" s="15" t="n">
        <f aca="false">AVERAGE(I33:J33)</f>
        <v>4</v>
      </c>
      <c r="L33" s="19" t="n">
        <f aca="false">IFERROR(VLOOKUP(B33,'6-week2'!B:D,2,0),0)</f>
        <v>198</v>
      </c>
      <c r="M33" s="19" t="n">
        <f aca="false">IFERROR(VLOOKUP(B33,'6-week2'!B:D,3,0),0)</f>
        <v>29</v>
      </c>
      <c r="N33" s="19" t="n">
        <f aca="false">IF(L33&gt;179,5,IF(L33&gt;149,4,IF(L33&gt;119,3,IF(L33&gt;89,2,IF(L33&gt;59,1,IF(L33&lt;=59,0))))))</f>
        <v>5</v>
      </c>
      <c r="O33" s="19" t="n">
        <f aca="false">IF(M33&gt;39,1,IF(M33&gt;32,2,IF(M33&gt;26,3,IF(M33&gt;20,4,IF(M33&lt;=20,5)))))</f>
        <v>3</v>
      </c>
      <c r="P33" s="19" t="n">
        <f aca="false">AVERAGE(N33,O33)</f>
        <v>4</v>
      </c>
      <c r="Q33" s="19" t="n">
        <f aca="false">IFERROR(VLOOKUP(B33,'6-week1'!B:F,5,0),0)</f>
        <v>0</v>
      </c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</row>
    <row r="34" customFormat="false" ht="18" hidden="false" customHeight="true" outlineLevel="0" collapsed="false">
      <c r="A34" s="18" t="s">
        <v>80</v>
      </c>
      <c r="B34" s="18" t="str">
        <f aca="false">TRIM(A34)</f>
        <v>سمانه فاطمی</v>
      </c>
      <c r="C34" s="18" t="str">
        <f aca="false">VLOOKUP(B34,Company!B:E,3,0)</f>
        <v>سینا</v>
      </c>
      <c r="D34" s="18" t="str">
        <f aca="false">VLOOKUP(B34,Company!B:E,2,0)</f>
        <v>عصر</v>
      </c>
      <c r="E34" s="18" t="str">
        <f aca="false" t="array" ref="E34:E34">IFERROR(INDEX('Team Leads'!$B:$D, MATCH(C34,'Team Leads'!$A:$A,0), MATCH(D34,'Team Leads'!$B$1:$D$1,0)), "")</f>
        <v>مهدی ایازی</v>
      </c>
      <c r="F34" s="18" t="n">
        <f aca="false">VLOOKUP(B34,'Operator Bugs'!A:P,16,0)</f>
        <v>0</v>
      </c>
      <c r="G34" s="18" t="n">
        <f aca="false">IFERROR(VLOOKUP(B34,'6-week1'!B:D,2,0),0)</f>
        <v>92</v>
      </c>
      <c r="H34" s="18" t="n">
        <f aca="false">IFERROR(VLOOKUP(B34,'6-week1'!B:D,3,0),"-")</f>
        <v>15</v>
      </c>
      <c r="I34" s="18" t="n">
        <f aca="false">IF(G34&gt;179,5,IF(G34&gt;149,4,IF(G34&gt;119,3,IF(G34&gt;89,2,IF(G34&gt;59,1,IF(G34&lt;=59,0))))))</f>
        <v>2</v>
      </c>
      <c r="J34" s="18" t="n">
        <f aca="false">IF(H34&gt;39,1,IF(H34&gt;32,2,IF(H34&gt;26,3,IF(H34&gt;20,4,IF(H34&lt;=20,5)))))</f>
        <v>5</v>
      </c>
      <c r="K34" s="15" t="n">
        <f aca="false">AVERAGE(I34:J34)</f>
        <v>3.5</v>
      </c>
      <c r="L34" s="19" t="n">
        <f aca="false">IFERROR(VLOOKUP(B34,'6-week2'!B:D,2,0),0)</f>
        <v>83</v>
      </c>
      <c r="M34" s="19" t="n">
        <f aca="false">IFERROR(VLOOKUP(B34,'6-week2'!B:D,3,0),0)</f>
        <v>20</v>
      </c>
      <c r="N34" s="19" t="n">
        <f aca="false">IF(L34&gt;179,5,IF(L34&gt;149,4,IF(L34&gt;119,3,IF(L34&gt;89,2,IF(L34&gt;59,1,IF(L34&lt;=59,0))))))</f>
        <v>1</v>
      </c>
      <c r="O34" s="19" t="n">
        <f aca="false">IF(M34&gt;39,1,IF(M34&gt;32,2,IF(M34&gt;26,3,IF(M34&gt;20,4,IF(M34&lt;=20,5)))))</f>
        <v>5</v>
      </c>
      <c r="P34" s="19" t="n">
        <f aca="false">AVERAGE(N34,O34)</f>
        <v>3</v>
      </c>
      <c r="Q34" s="19" t="n">
        <f aca="false">IFERROR(VLOOKUP(B34,'6-week1'!B:F,5,0),0)</f>
        <v>0</v>
      </c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</row>
    <row r="35" customFormat="false" ht="18" hidden="false" customHeight="true" outlineLevel="0" collapsed="false">
      <c r="A35" s="18" t="s">
        <v>81</v>
      </c>
      <c r="B35" s="18" t="str">
        <f aca="false">TRIM(A35)</f>
        <v>عالم جعفری</v>
      </c>
      <c r="C35" s="18" t="str">
        <f aca="false">VLOOKUP(B35,Company!B:E,3,0)</f>
        <v>سینا</v>
      </c>
      <c r="D35" s="18" t="str">
        <f aca="false">VLOOKUP(B35,Company!B:E,2,0)</f>
        <v>صبح</v>
      </c>
      <c r="E35" s="18" t="str">
        <f aca="false" t="array" ref="E35:E35">IFERROR(INDEX('Team Leads'!$B:$D, MATCH(C35,'Team Leads'!$A:$A,0), MATCH(D35,'Team Leads'!$B$1:$D$1,0)), "")</f>
        <v>فاطمه دهقانپور</v>
      </c>
      <c r="F35" s="18" t="n">
        <f aca="false">VLOOKUP(B35,'Operator Bugs'!A:P,16,0)</f>
        <v>0</v>
      </c>
      <c r="G35" s="18" t="n">
        <f aca="false">IFERROR(VLOOKUP(B35,'6-week1'!B:D,2,0),0)</f>
        <v>182</v>
      </c>
      <c r="H35" s="18" t="n">
        <f aca="false">IFERROR(VLOOKUP(B35,'6-week1'!B:D,3,0),"-")</f>
        <v>31</v>
      </c>
      <c r="I35" s="18" t="n">
        <f aca="false">IF(G35&gt;179,5,IF(G35&gt;149,4,IF(G35&gt;119,3,IF(G35&gt;89,2,IF(G35&gt;59,1,IF(G35&lt;=59,0))))))</f>
        <v>5</v>
      </c>
      <c r="J35" s="18" t="n">
        <f aca="false">IF(H35&gt;39,1,IF(H35&gt;32,2,IF(H35&gt;26,3,IF(H35&gt;20,4,IF(H35&lt;=20,5)))))</f>
        <v>3</v>
      </c>
      <c r="K35" s="15" t="n">
        <f aca="false">AVERAGE(I35:J35)</f>
        <v>4</v>
      </c>
      <c r="L35" s="19" t="n">
        <f aca="false">IFERROR(VLOOKUP(B35,'6-week2'!B:D,2,0),0)</f>
        <v>193</v>
      </c>
      <c r="M35" s="19" t="n">
        <f aca="false">IFERROR(VLOOKUP(B35,'6-week2'!B:D,3,0),0)</f>
        <v>27</v>
      </c>
      <c r="N35" s="19" t="n">
        <f aca="false">IF(L35&gt;179,5,IF(L35&gt;149,4,IF(L35&gt;119,3,IF(L35&gt;89,2,IF(L35&gt;59,1,IF(L35&lt;=59,0))))))</f>
        <v>5</v>
      </c>
      <c r="O35" s="19" t="n">
        <f aca="false">IF(M35&gt;39,1,IF(M35&gt;32,2,IF(M35&gt;26,3,IF(M35&gt;20,4,IF(M35&lt;=20,5)))))</f>
        <v>3</v>
      </c>
      <c r="P35" s="19" t="n">
        <f aca="false">AVERAGE(N35,O35)</f>
        <v>4</v>
      </c>
      <c r="Q35" s="19" t="n">
        <f aca="false">IFERROR(VLOOKUP(B35,'6-week1'!B:F,5,0),0)</f>
        <v>0</v>
      </c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</row>
    <row r="36" customFormat="false" ht="18" hidden="false" customHeight="true" outlineLevel="0" collapsed="false">
      <c r="A36" s="18" t="s">
        <v>82</v>
      </c>
      <c r="B36" s="18" t="str">
        <f aca="false">TRIM(A36)</f>
        <v>فاطمه الهیاری</v>
      </c>
      <c r="C36" s="18" t="str">
        <f aca="false">VLOOKUP(B36,Company!B:E,3,0)</f>
        <v>رازی</v>
      </c>
      <c r="D36" s="18" t="str">
        <f aca="false">VLOOKUP(B36,Company!B:E,2,0)</f>
        <v>عصر</v>
      </c>
      <c r="E36" s="18" t="str">
        <f aca="false" t="array" ref="E36:E36">IFERROR(INDEX('Team Leads'!$B:$D, MATCH(C36,'Team Leads'!$A:$A,0), MATCH(D36,'Team Leads'!$B$1:$D$1,0)), "")</f>
        <v>امیررضا فلاح</v>
      </c>
      <c r="F36" s="18" t="n">
        <f aca="false">VLOOKUP(B36,'Operator Bugs'!A:P,16,0)</f>
        <v>0</v>
      </c>
      <c r="G36" s="18" t="n">
        <f aca="false">IFERROR(VLOOKUP(B36,'6-week1'!B:D,2,0),0)</f>
        <v>173</v>
      </c>
      <c r="H36" s="18" t="n">
        <f aca="false">IFERROR(VLOOKUP(B36,'6-week1'!B:D,3,0),"-")</f>
        <v>25</v>
      </c>
      <c r="I36" s="18" t="n">
        <f aca="false">IF(G36&gt;179,5,IF(G36&gt;149,4,IF(G36&gt;119,3,IF(G36&gt;89,2,IF(G36&gt;59,1,IF(G36&lt;=59,0))))))</f>
        <v>4</v>
      </c>
      <c r="J36" s="18" t="n">
        <f aca="false">IF(H36&gt;39,1,IF(H36&gt;32,2,IF(H36&gt;26,3,IF(H36&gt;20,4,IF(H36&lt;=20,5)))))</f>
        <v>4</v>
      </c>
      <c r="K36" s="15" t="n">
        <f aca="false">AVERAGE(I36:J36)</f>
        <v>4</v>
      </c>
      <c r="L36" s="19" t="n">
        <f aca="false">IFERROR(VLOOKUP(B36,'6-week2'!B:D,2,0),0)</f>
        <v>161</v>
      </c>
      <c r="M36" s="19" t="n">
        <f aca="false">IFERROR(VLOOKUP(B36,'6-week2'!B:D,3,0),0)</f>
        <v>28</v>
      </c>
      <c r="N36" s="19" t="n">
        <f aca="false">IF(L36&gt;179,5,IF(L36&gt;149,4,IF(L36&gt;119,3,IF(L36&gt;89,2,IF(L36&gt;59,1,IF(L36&lt;=59,0))))))</f>
        <v>4</v>
      </c>
      <c r="O36" s="19" t="n">
        <f aca="false">IF(M36&gt;39,1,IF(M36&gt;32,2,IF(M36&gt;26,3,IF(M36&gt;20,4,IF(M36&lt;=20,5)))))</f>
        <v>3</v>
      </c>
      <c r="P36" s="19" t="n">
        <f aca="false">AVERAGE(N36,O36)</f>
        <v>3.5</v>
      </c>
      <c r="Q36" s="19" t="n">
        <f aca="false">IFERROR(VLOOKUP(B36,'6-week1'!B:F,5,0),0)</f>
        <v>0</v>
      </c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</row>
    <row r="37" customFormat="false" ht="18" hidden="false" customHeight="true" outlineLevel="0" collapsed="false">
      <c r="A37" s="18" t="s">
        <v>83</v>
      </c>
      <c r="B37" s="18" t="str">
        <f aca="false">TRIM(A37)</f>
        <v>فاطمه خوئینی</v>
      </c>
      <c r="C37" s="18" t="str">
        <f aca="false">VLOOKUP(B37,Company!B:E,3,0)</f>
        <v>تعاون</v>
      </c>
      <c r="D37" s="18" t="str">
        <f aca="false">VLOOKUP(B37,Company!B:E,2,0)</f>
        <v>صبح</v>
      </c>
      <c r="E37" s="18" t="str">
        <f aca="false" t="array" ref="E37:E37">IFERROR(INDEX('Team Leads'!$B:$D, MATCH(C37,'Team Leads'!$A:$A,0), MATCH(D37,'Team Leads'!$B$1:$D$1,0)), "")</f>
        <v>مهدی فراهانی</v>
      </c>
      <c r="F37" s="18" t="n">
        <f aca="false">VLOOKUP(B37,'Operator Bugs'!A:P,16,0)</f>
        <v>0</v>
      </c>
      <c r="G37" s="18" t="n">
        <f aca="false">IFERROR(VLOOKUP(B37,'6-week1'!B:D,2,0),0)</f>
        <v>281</v>
      </c>
      <c r="H37" s="18" t="n">
        <f aca="false">IFERROR(VLOOKUP(B37,'6-week1'!B:D,3,0),"-")</f>
        <v>30</v>
      </c>
      <c r="I37" s="18" t="n">
        <f aca="false">IF(G37&gt;179,5,IF(G37&gt;149,4,IF(G37&gt;119,3,IF(G37&gt;89,2,IF(G37&gt;59,1,IF(G37&lt;=59,0))))))</f>
        <v>5</v>
      </c>
      <c r="J37" s="18" t="n">
        <f aca="false">IF(H37&gt;39,1,IF(H37&gt;32,2,IF(H37&gt;26,3,IF(H37&gt;20,4,IF(H37&lt;=20,5)))))</f>
        <v>3</v>
      </c>
      <c r="K37" s="15" t="n">
        <f aca="false">AVERAGE(I37:J37)</f>
        <v>4</v>
      </c>
      <c r="L37" s="19" t="n">
        <f aca="false">IFERROR(VLOOKUP(B37,'6-week2'!B:D,2,0),0)</f>
        <v>256</v>
      </c>
      <c r="M37" s="19" t="n">
        <f aca="false">IFERROR(VLOOKUP(B37,'6-week2'!B:D,3,0),0)</f>
        <v>24</v>
      </c>
      <c r="N37" s="19" t="n">
        <f aca="false">IF(L37&gt;179,5,IF(L37&gt;149,4,IF(L37&gt;119,3,IF(L37&gt;89,2,IF(L37&gt;59,1,IF(L37&lt;=59,0))))))</f>
        <v>5</v>
      </c>
      <c r="O37" s="19" t="n">
        <f aca="false">IF(M37&gt;39,1,IF(M37&gt;32,2,IF(M37&gt;26,3,IF(M37&gt;20,4,IF(M37&lt;=20,5)))))</f>
        <v>4</v>
      </c>
      <c r="P37" s="19" t="n">
        <f aca="false">AVERAGE(N37,O37)</f>
        <v>4.5</v>
      </c>
      <c r="Q37" s="19" t="n">
        <f aca="false">IFERROR(VLOOKUP(B37,'6-week1'!B:F,5,0),0)</f>
        <v>0</v>
      </c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</row>
    <row r="38" customFormat="false" ht="18" hidden="false" customHeight="true" outlineLevel="0" collapsed="false">
      <c r="A38" s="18" t="s">
        <v>84</v>
      </c>
      <c r="B38" s="18" t="str">
        <f aca="false">TRIM(A38)</f>
        <v>فرشته باشتنی</v>
      </c>
      <c r="C38" s="18" t="str">
        <f aca="false">VLOOKUP(B38,Company!B:E,3,0)</f>
        <v>تعاون</v>
      </c>
      <c r="D38" s="18" t="str">
        <f aca="false">VLOOKUP(B38,Company!B:E,2,0)</f>
        <v>عصر</v>
      </c>
      <c r="E38" s="18" t="str">
        <f aca="false" t="array" ref="E38:E38">IFERROR(INDEX('Team Leads'!$B:$D, MATCH(C38,'Team Leads'!$A:$A,0), MATCH(D38,'Team Leads'!$B$1:$D$1,0)), "")</f>
        <v>علیرضا زمانیان</v>
      </c>
      <c r="F38" s="18" t="n">
        <f aca="false">VLOOKUP(B38,'Operator Bugs'!A:P,16,0)</f>
        <v>0</v>
      </c>
      <c r="G38" s="18" t="n">
        <f aca="false">IFERROR(VLOOKUP(B38,'6-week1'!B:D,2,0),0)</f>
        <v>138</v>
      </c>
      <c r="H38" s="18" t="n">
        <f aca="false">IFERROR(VLOOKUP(B38,'6-week1'!B:D,3,0),"-")</f>
        <v>20</v>
      </c>
      <c r="I38" s="18" t="n">
        <f aca="false">IF(G38&gt;179,5,IF(G38&gt;149,4,IF(G38&gt;119,3,IF(G38&gt;89,2,IF(G38&gt;59,1,IF(G38&lt;=59,0))))))</f>
        <v>3</v>
      </c>
      <c r="J38" s="18" t="n">
        <f aca="false">IF(H38&gt;39,1,IF(H38&gt;32,2,IF(H38&gt;26,3,IF(H38&gt;20,4,IF(H38&lt;=20,5)))))</f>
        <v>5</v>
      </c>
      <c r="K38" s="15" t="n">
        <f aca="false">AVERAGE(I38:J38)</f>
        <v>4</v>
      </c>
      <c r="L38" s="19" t="n">
        <f aca="false">IFERROR(VLOOKUP(B38,'6-week2'!B:D,2,0),0)</f>
        <v>114</v>
      </c>
      <c r="M38" s="19" t="n">
        <f aca="false">IFERROR(VLOOKUP(B38,'6-week2'!B:D,3,0),0)</f>
        <v>19</v>
      </c>
      <c r="N38" s="19" t="n">
        <f aca="false">IF(L38&gt;179,5,IF(L38&gt;149,4,IF(L38&gt;119,3,IF(L38&gt;89,2,IF(L38&gt;59,1,IF(L38&lt;=59,0))))))</f>
        <v>2</v>
      </c>
      <c r="O38" s="19" t="n">
        <f aca="false">IF(M38&gt;39,1,IF(M38&gt;32,2,IF(M38&gt;26,3,IF(M38&gt;20,4,IF(M38&lt;=20,5)))))</f>
        <v>5</v>
      </c>
      <c r="P38" s="19" t="n">
        <f aca="false">AVERAGE(N38,O38)</f>
        <v>3.5</v>
      </c>
      <c r="Q38" s="19" t="n">
        <f aca="false">IFERROR(VLOOKUP(B38,'6-week1'!B:F,5,0),0)</f>
        <v>0</v>
      </c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</row>
    <row r="39" customFormat="false" ht="18" hidden="false" customHeight="true" outlineLevel="0" collapsed="false">
      <c r="A39" s="18" t="s">
        <v>85</v>
      </c>
      <c r="B39" s="18" t="str">
        <f aca="false">TRIM(A39)</f>
        <v>لیلا داوطلب</v>
      </c>
      <c r="C39" s="18" t="str">
        <f aca="false">VLOOKUP(B39,Company!B:E,3,0)</f>
        <v>تعاون</v>
      </c>
      <c r="D39" s="18" t="str">
        <f aca="false">VLOOKUP(B39,Company!B:E,2,0)</f>
        <v>صبح</v>
      </c>
      <c r="E39" s="18" t="str">
        <f aca="false" t="array" ref="E39:E39">IFERROR(INDEX('Team Leads'!$B:$D, MATCH(C39,'Team Leads'!$A:$A,0), MATCH(D39,'Team Leads'!$B$1:$D$1,0)), "")</f>
        <v>مهدی فراهانی</v>
      </c>
      <c r="F39" s="18" t="n">
        <f aca="false">VLOOKUP(B39,'Operator Bugs'!A:P,16,0)</f>
        <v>0</v>
      </c>
      <c r="G39" s="18" t="n">
        <f aca="false">IFERROR(VLOOKUP(B39,'6-week1'!B:D,2,0),0)</f>
        <v>320</v>
      </c>
      <c r="H39" s="18" t="n">
        <f aca="false">IFERROR(VLOOKUP(B39,'6-week1'!B:D,3,0),"-")</f>
        <v>27</v>
      </c>
      <c r="I39" s="18" t="n">
        <f aca="false">IF(G39&gt;179,5,IF(G39&gt;149,4,IF(G39&gt;119,3,IF(G39&gt;89,2,IF(G39&gt;59,1,IF(G39&lt;=59,0))))))</f>
        <v>5</v>
      </c>
      <c r="J39" s="18" t="n">
        <f aca="false">IF(H39&gt;39,1,IF(H39&gt;32,2,IF(H39&gt;26,3,IF(H39&gt;20,4,IF(H39&lt;=20,5)))))</f>
        <v>3</v>
      </c>
      <c r="K39" s="15" t="n">
        <f aca="false">AVERAGE(I39:J39)</f>
        <v>4</v>
      </c>
      <c r="L39" s="19" t="n">
        <f aca="false">IFERROR(VLOOKUP(B39,'6-week2'!B:D,2,0),0)</f>
        <v>378</v>
      </c>
      <c r="M39" s="19" t="n">
        <f aca="false">IFERROR(VLOOKUP(B39,'6-week2'!B:D,3,0),0)</f>
        <v>22</v>
      </c>
      <c r="N39" s="19" t="n">
        <f aca="false">IF(L39&gt;179,5,IF(L39&gt;149,4,IF(L39&gt;119,3,IF(L39&gt;89,2,IF(L39&gt;59,1,IF(L39&lt;=59,0))))))</f>
        <v>5</v>
      </c>
      <c r="O39" s="19" t="n">
        <f aca="false">IF(M39&gt;39,1,IF(M39&gt;32,2,IF(M39&gt;26,3,IF(M39&gt;20,4,IF(M39&lt;=20,5)))))</f>
        <v>4</v>
      </c>
      <c r="P39" s="19" t="n">
        <f aca="false">AVERAGE(N39,O39)</f>
        <v>4.5</v>
      </c>
      <c r="Q39" s="19" t="n">
        <f aca="false">IFERROR(VLOOKUP(B39,'6-week1'!B:F,5,0),0)</f>
        <v>0</v>
      </c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</row>
    <row r="40" customFormat="false" ht="18" hidden="false" customHeight="true" outlineLevel="0" collapsed="false">
      <c r="A40" s="18" t="s">
        <v>86</v>
      </c>
      <c r="B40" s="18" t="str">
        <f aca="false">TRIM(A40)</f>
        <v>ماهدخت حسنی</v>
      </c>
      <c r="C40" s="18" t="str">
        <f aca="false">VLOOKUP(B40,Company!B:E,3,0)</f>
        <v>رازی</v>
      </c>
      <c r="D40" s="18" t="str">
        <f aca="false">VLOOKUP(B40,Company!B:E,2,0)</f>
        <v>صبح</v>
      </c>
      <c r="E40" s="18" t="str">
        <f aca="false" t="array" ref="E40:E40">IFERROR(INDEX('Team Leads'!$B:$D, MATCH(C40,'Team Leads'!$A:$A,0), MATCH(D40,'Team Leads'!$B$1:$D$1,0)), "")</f>
        <v>آتنا مالمیر</v>
      </c>
      <c r="F40" s="18" t="n">
        <f aca="false">VLOOKUP(B40,'Operator Bugs'!A:P,16,0)</f>
        <v>0</v>
      </c>
      <c r="G40" s="18" t="n">
        <f aca="false">IFERROR(VLOOKUP(B40,'6-week1'!B:D,2,0),0)</f>
        <v>160</v>
      </c>
      <c r="H40" s="18" t="n">
        <f aca="false">IFERROR(VLOOKUP(B40,'6-week1'!B:D,3,0),"-")</f>
        <v>24</v>
      </c>
      <c r="I40" s="18" t="n">
        <f aca="false">IF(G40&gt;179,5,IF(G40&gt;149,4,IF(G40&gt;119,3,IF(G40&gt;89,2,IF(G40&gt;59,1,IF(G40&lt;=59,0))))))</f>
        <v>4</v>
      </c>
      <c r="J40" s="18" t="n">
        <f aca="false">IF(H40&gt;39,1,IF(H40&gt;32,2,IF(H40&gt;26,3,IF(H40&gt;20,4,IF(H40&lt;=20,5)))))</f>
        <v>4</v>
      </c>
      <c r="K40" s="15" t="n">
        <f aca="false">AVERAGE(I40:J40)</f>
        <v>4</v>
      </c>
      <c r="L40" s="19" t="n">
        <f aca="false">IFERROR(VLOOKUP(B40,'6-week2'!B:D,2,0),0)</f>
        <v>183</v>
      </c>
      <c r="M40" s="19" t="n">
        <f aca="false">IFERROR(VLOOKUP(B40,'6-week2'!B:D,3,0),0)</f>
        <v>23</v>
      </c>
      <c r="N40" s="19" t="n">
        <f aca="false">IF(L40&gt;179,5,IF(L40&gt;149,4,IF(L40&gt;119,3,IF(L40&gt;89,2,IF(L40&gt;59,1,IF(L40&lt;=59,0))))))</f>
        <v>5</v>
      </c>
      <c r="O40" s="19" t="n">
        <f aca="false">IF(M40&gt;39,1,IF(M40&gt;32,2,IF(M40&gt;26,3,IF(M40&gt;20,4,IF(M40&lt;=20,5)))))</f>
        <v>4</v>
      </c>
      <c r="P40" s="19" t="n">
        <f aca="false">AVERAGE(N40,O40)</f>
        <v>4.5</v>
      </c>
      <c r="Q40" s="19" t="n">
        <f aca="false">IFERROR(VLOOKUP(B40,'6-week1'!B:F,5,0),0)</f>
        <v>0</v>
      </c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</row>
    <row r="41" customFormat="false" ht="18" hidden="false" customHeight="true" outlineLevel="0" collapsed="false">
      <c r="A41" s="18" t="s">
        <v>87</v>
      </c>
      <c r="B41" s="18" t="str">
        <f aca="false">TRIM(A41)</f>
        <v>مرکز صدور کاظمی | فاطمه عسگری</v>
      </c>
      <c r="C41" s="18" t="str">
        <f aca="false">VLOOKUP(B41,Company!B:E,3,0)</f>
        <v>سنتر</v>
      </c>
      <c r="D41" s="18" t="str">
        <f aca="false">VLOOKUP(B41,Company!B:E,2,0)</f>
        <v>صبح</v>
      </c>
      <c r="E41" s="18" t="str">
        <f aca="false" t="array" ref="E41:E41">IFERROR(INDEX('Team Leads'!$B:$D, MATCH(C41,'Team Leads'!$A:$A,0), MATCH(D41,'Team Leads'!$B$1:$D$1,0)), "")</f>
        <v>مریم ایزدی - شاهین شهریاری</v>
      </c>
      <c r="F41" s="18" t="n">
        <f aca="false">VLOOKUP(B41,'Operator Bugs'!A:P,16,0)</f>
        <v>0</v>
      </c>
      <c r="G41" s="18" t="n">
        <f aca="false">IFERROR(VLOOKUP(B41,'6-week1'!B:D,2,0),0)</f>
        <v>195</v>
      </c>
      <c r="H41" s="18" t="n">
        <f aca="false">IFERROR(VLOOKUP(B41,'6-week1'!B:D,3,0),"-")</f>
        <v>28</v>
      </c>
      <c r="I41" s="18" t="n">
        <f aca="false">IF(G41&gt;179,5,IF(G41&gt;149,4,IF(G41&gt;119,3,IF(G41&gt;89,2,IF(G41&gt;59,1,IF(G41&lt;=59,0))))))</f>
        <v>5</v>
      </c>
      <c r="J41" s="18" t="n">
        <f aca="false">IF(H41&gt;39,1,IF(H41&gt;32,2,IF(H41&gt;26,3,IF(H41&gt;20,4,IF(H41&lt;=20,5)))))</f>
        <v>3</v>
      </c>
      <c r="K41" s="15" t="n">
        <f aca="false">AVERAGE(I41:J41)</f>
        <v>4</v>
      </c>
      <c r="L41" s="19" t="n">
        <f aca="false">IFERROR(VLOOKUP(B41,'6-week2'!B:D,2,0),0)</f>
        <v>255</v>
      </c>
      <c r="M41" s="19" t="n">
        <f aca="false">IFERROR(VLOOKUP(B41,'6-week2'!B:D,3,0),0)</f>
        <v>17</v>
      </c>
      <c r="N41" s="19" t="n">
        <f aca="false">IF(L41&gt;179,5,IF(L41&gt;149,4,IF(L41&gt;119,3,IF(L41&gt;89,2,IF(L41&gt;59,1,IF(L41&lt;=59,0))))))</f>
        <v>5</v>
      </c>
      <c r="O41" s="19" t="n">
        <f aca="false">IF(M41&gt;39,1,IF(M41&gt;32,2,IF(M41&gt;26,3,IF(M41&gt;20,4,IF(M41&lt;=20,5)))))</f>
        <v>5</v>
      </c>
      <c r="P41" s="19" t="n">
        <f aca="false">AVERAGE(N41,O41)</f>
        <v>5</v>
      </c>
      <c r="Q41" s="19" t="n">
        <f aca="false">IFERROR(VLOOKUP(B41,'6-week1'!B:F,5,0),0)</f>
        <v>0</v>
      </c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</row>
    <row r="42" customFormat="false" ht="18" hidden="false" customHeight="true" outlineLevel="0" collapsed="false">
      <c r="A42" s="18" t="s">
        <v>88</v>
      </c>
      <c r="B42" s="18" t="str">
        <f aca="false">TRIM(A42)</f>
        <v>مرکز صدور هاشم زاده | شیما هاشم زاده</v>
      </c>
      <c r="C42" s="18" t="str">
        <f aca="false">VLOOKUP(B42,Company!B:E,3,0)</f>
        <v>سنتر</v>
      </c>
      <c r="D42" s="18" t="str">
        <f aca="false">VLOOKUP(B42,Company!B:E,2,0)</f>
        <v>صبح</v>
      </c>
      <c r="E42" s="18" t="str">
        <f aca="false" t="array" ref="E42:E42">IFERROR(INDEX('Team Leads'!$B:$D, MATCH(C42,'Team Leads'!$A:$A,0), MATCH(D42,'Team Leads'!$B$1:$D$1,0)), "")</f>
        <v>مریم ایزدی - شاهین شهریاری</v>
      </c>
      <c r="F42" s="18" t="n">
        <f aca="false">VLOOKUP(B42,'Operator Bugs'!A:P,16,0)</f>
        <v>0</v>
      </c>
      <c r="G42" s="18" t="n">
        <f aca="false">IFERROR(VLOOKUP(B42,'6-week1'!B:D,2,0),0)</f>
        <v>155</v>
      </c>
      <c r="H42" s="18" t="n">
        <f aca="false">IFERROR(VLOOKUP(B42,'6-week1'!B:D,3,0),"-")</f>
        <v>22</v>
      </c>
      <c r="I42" s="18" t="n">
        <f aca="false">IF(G42&gt;179,5,IF(G42&gt;149,4,IF(G42&gt;119,3,IF(G42&gt;89,2,IF(G42&gt;59,1,IF(G42&lt;=59,0))))))</f>
        <v>4</v>
      </c>
      <c r="J42" s="18" t="n">
        <f aca="false">IF(H42&gt;39,1,IF(H42&gt;32,2,IF(H42&gt;26,3,IF(H42&gt;20,4,IF(H42&lt;=20,5)))))</f>
        <v>4</v>
      </c>
      <c r="K42" s="15" t="n">
        <f aca="false">AVERAGE(I42:J42)</f>
        <v>4</v>
      </c>
      <c r="L42" s="19" t="n">
        <f aca="false">IFERROR(VLOOKUP(B42,'6-week2'!B:D,2,0),0)</f>
        <v>153</v>
      </c>
      <c r="M42" s="19" t="n">
        <f aca="false">IFERROR(VLOOKUP(B42,'6-week2'!B:D,3,0),0)</f>
        <v>18</v>
      </c>
      <c r="N42" s="19" t="n">
        <f aca="false">IF(L42&gt;179,5,IF(L42&gt;149,4,IF(L42&gt;119,3,IF(L42&gt;89,2,IF(L42&gt;59,1,IF(L42&lt;=59,0))))))</f>
        <v>4</v>
      </c>
      <c r="O42" s="19" t="n">
        <f aca="false">IF(M42&gt;39,1,IF(M42&gt;32,2,IF(M42&gt;26,3,IF(M42&gt;20,4,IF(M42&lt;=20,5)))))</f>
        <v>5</v>
      </c>
      <c r="P42" s="19" t="n">
        <f aca="false">AVERAGE(N42,O42)</f>
        <v>4.5</v>
      </c>
      <c r="Q42" s="19" t="n">
        <f aca="false">IFERROR(VLOOKUP(B42,'6-week1'!B:F,5,0),0)</f>
        <v>0</v>
      </c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</row>
    <row r="43" customFormat="false" ht="18" hidden="false" customHeight="true" outlineLevel="0" collapsed="false">
      <c r="A43" s="18" t="s">
        <v>89</v>
      </c>
      <c r="B43" s="18" t="str">
        <f aca="false">TRIM(A43)</f>
        <v>مریم هاشمی</v>
      </c>
      <c r="C43" s="18" t="str">
        <f aca="false">VLOOKUP(B43,Company!B:E,3,0)</f>
        <v>رازی</v>
      </c>
      <c r="D43" s="18" t="str">
        <f aca="false">VLOOKUP(B43,Company!B:E,2,0)</f>
        <v>عصر</v>
      </c>
      <c r="E43" s="18" t="str">
        <f aca="false" t="array" ref="E43:E43">IFERROR(INDEX('Team Leads'!$B:$D, MATCH(C43,'Team Leads'!$A:$A,0), MATCH(D43,'Team Leads'!$B$1:$D$1,0)), "")</f>
        <v>امیررضا فلاح</v>
      </c>
      <c r="F43" s="18" t="n">
        <f aca="false">VLOOKUP(B43,'Operator Bugs'!A:P,16,0)</f>
        <v>0</v>
      </c>
      <c r="G43" s="18" t="n">
        <f aca="false">IFERROR(VLOOKUP(B43,'6-week1'!B:D,2,0),0)</f>
        <v>155</v>
      </c>
      <c r="H43" s="18" t="n">
        <f aca="false">IFERROR(VLOOKUP(B43,'6-week1'!B:D,3,0),"-")</f>
        <v>21</v>
      </c>
      <c r="I43" s="18" t="n">
        <f aca="false">IF(G43&gt;179,5,IF(G43&gt;149,4,IF(G43&gt;119,3,IF(G43&gt;89,2,IF(G43&gt;59,1,IF(G43&lt;=59,0))))))</f>
        <v>4</v>
      </c>
      <c r="J43" s="18" t="n">
        <f aca="false">IF(H43&gt;39,1,IF(H43&gt;32,2,IF(H43&gt;26,3,IF(H43&gt;20,4,IF(H43&lt;=20,5)))))</f>
        <v>4</v>
      </c>
      <c r="K43" s="15" t="n">
        <f aca="false">AVERAGE(I43:J43)</f>
        <v>4</v>
      </c>
      <c r="L43" s="19" t="n">
        <f aca="false">IFERROR(VLOOKUP(B43,'6-week2'!B:D,2,0),0)</f>
        <v>165</v>
      </c>
      <c r="M43" s="19" t="n">
        <f aca="false">IFERROR(VLOOKUP(B43,'6-week2'!B:D,3,0),0)</f>
        <v>25</v>
      </c>
      <c r="N43" s="19" t="n">
        <f aca="false">IF(L43&gt;179,5,IF(L43&gt;149,4,IF(L43&gt;119,3,IF(L43&gt;89,2,IF(L43&gt;59,1,IF(L43&lt;=59,0))))))</f>
        <v>4</v>
      </c>
      <c r="O43" s="19" t="n">
        <f aca="false">IF(M43&gt;39,1,IF(M43&gt;32,2,IF(M43&gt;26,3,IF(M43&gt;20,4,IF(M43&lt;=20,5)))))</f>
        <v>4</v>
      </c>
      <c r="P43" s="19" t="n">
        <f aca="false">AVERAGE(N43,O43)</f>
        <v>4</v>
      </c>
      <c r="Q43" s="19" t="n">
        <f aca="false">IFERROR(VLOOKUP(B43,'6-week1'!B:F,5,0),0)</f>
        <v>0</v>
      </c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</row>
    <row r="44" customFormat="false" ht="18" hidden="false" customHeight="true" outlineLevel="0" collapsed="false">
      <c r="A44" s="18" t="s">
        <v>90</v>
      </c>
      <c r="B44" s="18" t="str">
        <f aca="false">TRIM(A44)</f>
        <v>میکائیل بابکی</v>
      </c>
      <c r="C44" s="18" t="str">
        <f aca="false">VLOOKUP(B44,Company!B:E,3,0)</f>
        <v>هوشمند فردا</v>
      </c>
      <c r="D44" s="18" t="str">
        <f aca="false">VLOOKUP(B44,Company!B:E,2,0)</f>
        <v>صبح</v>
      </c>
      <c r="E44" s="18" t="str">
        <f aca="false" t="array" ref="E44:E44">IFERROR(INDEX('Team Leads'!$B:$D, MATCH(C44,'Team Leads'!$A:$A,0), MATCH(D44,'Team Leads'!$B$1:$D$1,0)), "")</f>
        <v>فاطمه دهقانپور</v>
      </c>
      <c r="F44" s="18" t="n">
        <f aca="false">VLOOKUP(B44,'Operator Bugs'!A:P,16,0)</f>
        <v>0</v>
      </c>
      <c r="G44" s="18" t="n">
        <f aca="false">IFERROR(VLOOKUP(B44,'6-week1'!B:D,2,0),0)</f>
        <v>243</v>
      </c>
      <c r="H44" s="18" t="n">
        <f aca="false">IFERROR(VLOOKUP(B44,'6-week1'!B:D,3,0),"-")</f>
        <v>29</v>
      </c>
      <c r="I44" s="18" t="n">
        <f aca="false">IF(G44&gt;179,5,IF(G44&gt;149,4,IF(G44&gt;119,3,IF(G44&gt;89,2,IF(G44&gt;59,1,IF(G44&lt;=59,0))))))</f>
        <v>5</v>
      </c>
      <c r="J44" s="18" t="n">
        <f aca="false">IF(H44&gt;39,1,IF(H44&gt;32,2,IF(H44&gt;26,3,IF(H44&gt;20,4,IF(H44&lt;=20,5)))))</f>
        <v>3</v>
      </c>
      <c r="K44" s="15" t="n">
        <f aca="false">AVERAGE(I44:J44)</f>
        <v>4</v>
      </c>
      <c r="L44" s="19" t="n">
        <f aca="false">IFERROR(VLOOKUP(B44,'6-week2'!B:D,2,0),0)</f>
        <v>265</v>
      </c>
      <c r="M44" s="19" t="n">
        <f aca="false">IFERROR(VLOOKUP(B44,'6-week2'!B:D,3,0),0)</f>
        <v>33</v>
      </c>
      <c r="N44" s="19" t="n">
        <f aca="false">IF(L44&gt;179,5,IF(L44&gt;149,4,IF(L44&gt;119,3,IF(L44&gt;89,2,IF(L44&gt;59,1,IF(L44&lt;=59,0))))))</f>
        <v>5</v>
      </c>
      <c r="O44" s="19" t="n">
        <f aca="false">IF(M44&gt;39,1,IF(M44&gt;32,2,IF(M44&gt;26,3,IF(M44&gt;20,4,IF(M44&lt;=20,5)))))</f>
        <v>2</v>
      </c>
      <c r="P44" s="19" t="n">
        <f aca="false">AVERAGE(N44,O44)</f>
        <v>3.5</v>
      </c>
      <c r="Q44" s="19" t="n">
        <f aca="false">IFERROR(VLOOKUP(B44,'6-week1'!B:F,5,0),0)</f>
        <v>0</v>
      </c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</row>
    <row r="45" customFormat="false" ht="18" hidden="false" customHeight="true" outlineLevel="0" collapsed="false">
      <c r="A45" s="18" t="s">
        <v>91</v>
      </c>
      <c r="B45" s="18" t="str">
        <f aca="false">TRIM(A45)</f>
        <v>نسرین بابالو</v>
      </c>
      <c r="C45" s="18" t="str">
        <f aca="false">VLOOKUP(B45,Company!B:E,3,0)</f>
        <v>رازی</v>
      </c>
      <c r="D45" s="18" t="str">
        <f aca="false">VLOOKUP(B45,Company!B:E,2,0)</f>
        <v>صبح</v>
      </c>
      <c r="E45" s="18" t="str">
        <f aca="false" t="array" ref="E45:E45">IFERROR(INDEX('Team Leads'!$B:$D, MATCH(C45,'Team Leads'!$A:$A,0), MATCH(D45,'Team Leads'!$B$1:$D$1,0)), "")</f>
        <v>آتنا مالمیر</v>
      </c>
      <c r="F45" s="18" t="n">
        <f aca="false">VLOOKUP(B45,'Operator Bugs'!A:P,16,0)</f>
        <v>0</v>
      </c>
      <c r="G45" s="18" t="n">
        <f aca="false">IFERROR(VLOOKUP(B45,'6-week1'!B:D,2,0),0)</f>
        <v>191</v>
      </c>
      <c r="H45" s="18" t="n">
        <f aca="false">IFERROR(VLOOKUP(B45,'6-week1'!B:D,3,0),"-")</f>
        <v>27</v>
      </c>
      <c r="I45" s="18" t="n">
        <f aca="false">IF(G45&gt;179,5,IF(G45&gt;149,4,IF(G45&gt;119,3,IF(G45&gt;89,2,IF(G45&gt;59,1,IF(G45&lt;=59,0))))))</f>
        <v>5</v>
      </c>
      <c r="J45" s="18" t="n">
        <f aca="false">IF(H45&gt;39,1,IF(H45&gt;32,2,IF(H45&gt;26,3,IF(H45&gt;20,4,IF(H45&lt;=20,5)))))</f>
        <v>3</v>
      </c>
      <c r="K45" s="15" t="n">
        <f aca="false">AVERAGE(I45:J45)</f>
        <v>4</v>
      </c>
      <c r="L45" s="19" t="n">
        <f aca="false">IFERROR(VLOOKUP(B45,'6-week2'!B:D,2,0),0)</f>
        <v>216</v>
      </c>
      <c r="M45" s="19" t="n">
        <f aca="false">IFERROR(VLOOKUP(B45,'6-week2'!B:D,3,0),0)</f>
        <v>28</v>
      </c>
      <c r="N45" s="19" t="n">
        <f aca="false">IF(L45&gt;179,5,IF(L45&gt;149,4,IF(L45&gt;119,3,IF(L45&gt;89,2,IF(L45&gt;59,1,IF(L45&lt;=59,0))))))</f>
        <v>5</v>
      </c>
      <c r="O45" s="19" t="n">
        <f aca="false">IF(M45&gt;39,1,IF(M45&gt;32,2,IF(M45&gt;26,3,IF(M45&gt;20,4,IF(M45&lt;=20,5)))))</f>
        <v>3</v>
      </c>
      <c r="P45" s="19" t="n">
        <f aca="false">AVERAGE(N45,O45)</f>
        <v>4</v>
      </c>
      <c r="Q45" s="19" t="n">
        <f aca="false">IFERROR(VLOOKUP(B45,'6-week1'!B:F,5,0),0)</f>
        <v>0</v>
      </c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</row>
    <row r="46" customFormat="false" ht="18" hidden="false" customHeight="true" outlineLevel="0" collapsed="false">
      <c r="A46" s="18" t="s">
        <v>92</v>
      </c>
      <c r="B46" s="18" t="str">
        <f aca="false">TRIM(A46)</f>
        <v>آرزو حمیدی</v>
      </c>
      <c r="C46" s="18" t="str">
        <f aca="false">VLOOKUP(B46,Company!B:E,3,0)</f>
        <v>تعاون</v>
      </c>
      <c r="D46" s="18" t="str">
        <f aca="false">VLOOKUP(B46,Company!B:E,2,0)</f>
        <v>صبح</v>
      </c>
      <c r="E46" s="18" t="str">
        <f aca="false" t="array" ref="E46:E46">IFERROR(INDEX('Team Leads'!$B:$D, MATCH(C46,'Team Leads'!$A:$A,0), MATCH(D46,'Team Leads'!$B$1:$D$1,0)), "")</f>
        <v>مهدی فراهانی</v>
      </c>
      <c r="F46" s="18" t="n">
        <f aca="false">VLOOKUP(B46,'Operator Bugs'!A:P,16,0)</f>
        <v>0</v>
      </c>
      <c r="G46" s="18" t="n">
        <f aca="false">IFERROR(VLOOKUP(B46,'6-week1'!B:D,2,0),0)</f>
        <v>93</v>
      </c>
      <c r="H46" s="18" t="n">
        <f aca="false">IFERROR(VLOOKUP(B46,'6-week1'!B:D,3,0),"-")</f>
        <v>19</v>
      </c>
      <c r="I46" s="18" t="n">
        <f aca="false">IF(G46&gt;179,5,IF(G46&gt;149,4,IF(G46&gt;119,3,IF(G46&gt;89,2,IF(G46&gt;59,1,IF(G46&lt;=59,0))))))</f>
        <v>2</v>
      </c>
      <c r="J46" s="18" t="n">
        <f aca="false">IF(H46&gt;39,1,IF(H46&gt;32,2,IF(H46&gt;26,3,IF(H46&gt;20,4,IF(H46&lt;=20,5)))))</f>
        <v>5</v>
      </c>
      <c r="K46" s="15" t="n">
        <f aca="false">AVERAGE(I46:J46)</f>
        <v>3.5</v>
      </c>
      <c r="L46" s="19" t="n">
        <f aca="false">IFERROR(VLOOKUP(B46,'6-week2'!B:D,2,0),0)</f>
        <v>61</v>
      </c>
      <c r="M46" s="19" t="n">
        <f aca="false">IFERROR(VLOOKUP(B46,'6-week2'!B:D,3,0),0)</f>
        <v>21</v>
      </c>
      <c r="N46" s="19" t="n">
        <f aca="false">IF(L46&gt;179,5,IF(L46&gt;149,4,IF(L46&gt;119,3,IF(L46&gt;89,2,IF(L46&gt;59,1,IF(L46&lt;=59,0))))))</f>
        <v>1</v>
      </c>
      <c r="O46" s="19" t="n">
        <f aca="false">IF(M46&gt;39,1,IF(M46&gt;32,2,IF(M46&gt;26,3,IF(M46&gt;20,4,IF(M46&lt;=20,5)))))</f>
        <v>4</v>
      </c>
      <c r="P46" s="19" t="n">
        <f aca="false">AVERAGE(N46,O46)</f>
        <v>2.5</v>
      </c>
      <c r="Q46" s="19" t="n">
        <f aca="false">IFERROR(VLOOKUP(B46,'6-week1'!B:F,5,0),0)</f>
        <v>0</v>
      </c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</row>
    <row r="47" customFormat="false" ht="18" hidden="false" customHeight="true" outlineLevel="0" collapsed="false">
      <c r="A47" s="18" t="s">
        <v>93</v>
      </c>
      <c r="B47" s="18" t="str">
        <f aca="false">TRIM(A47)</f>
        <v>آرمان صاحبی</v>
      </c>
      <c r="C47" s="18" t="str">
        <f aca="false">VLOOKUP(B47,Company!B:E,3,0)</f>
        <v>سینا</v>
      </c>
      <c r="D47" s="18" t="str">
        <f aca="false">VLOOKUP(B47,Company!B:E,2,0)</f>
        <v>عصر</v>
      </c>
      <c r="E47" s="18" t="str">
        <f aca="false" t="array" ref="E47:E47">IFERROR(INDEX('Team Leads'!$B:$D, MATCH(C47,'Team Leads'!$A:$A,0), MATCH(D47,'Team Leads'!$B$1:$D$1,0)), "")</f>
        <v>مهدی ایازی</v>
      </c>
      <c r="F47" s="18" t="n">
        <f aca="false">VLOOKUP(B47,'Operator Bugs'!A:P,16,0)</f>
        <v>0</v>
      </c>
      <c r="G47" s="18" t="n">
        <f aca="false">IFERROR(VLOOKUP(B47,'6-week1'!B:D,2,0),0)</f>
        <v>171</v>
      </c>
      <c r="H47" s="18" t="n">
        <f aca="false">IFERROR(VLOOKUP(B47,'6-week1'!B:D,3,0),"-")</f>
        <v>29</v>
      </c>
      <c r="I47" s="18" t="n">
        <f aca="false">IF(G47&gt;179,5,IF(G47&gt;149,4,IF(G47&gt;119,3,IF(G47&gt;89,2,IF(G47&gt;59,1,IF(G47&lt;=59,0))))))</f>
        <v>4</v>
      </c>
      <c r="J47" s="18" t="n">
        <f aca="false">IF(H47&gt;39,1,IF(H47&gt;32,2,IF(H47&gt;26,3,IF(H47&gt;20,4,IF(H47&lt;=20,5)))))</f>
        <v>3</v>
      </c>
      <c r="K47" s="15" t="n">
        <f aca="false">AVERAGE(I47:J47)</f>
        <v>3.5</v>
      </c>
      <c r="L47" s="19" t="n">
        <f aca="false">IFERROR(VLOOKUP(B47,'6-week2'!B:D,2,0),0)</f>
        <v>281</v>
      </c>
      <c r="M47" s="19" t="n">
        <f aca="false">IFERROR(VLOOKUP(B47,'6-week2'!B:D,3,0),0)</f>
        <v>27</v>
      </c>
      <c r="N47" s="19" t="n">
        <f aca="false">IF(L47&gt;179,5,IF(L47&gt;149,4,IF(L47&gt;119,3,IF(L47&gt;89,2,IF(L47&gt;59,1,IF(L47&lt;=59,0))))))</f>
        <v>5</v>
      </c>
      <c r="O47" s="19" t="n">
        <f aca="false">IF(M47&gt;39,1,IF(M47&gt;32,2,IF(M47&gt;26,3,IF(M47&gt;20,4,IF(M47&lt;=20,5)))))</f>
        <v>3</v>
      </c>
      <c r="P47" s="19" t="n">
        <f aca="false">AVERAGE(N47,O47)</f>
        <v>4</v>
      </c>
      <c r="Q47" s="19" t="n">
        <f aca="false">IFERROR(VLOOKUP(B47,'6-week1'!B:F,5,0),0)</f>
        <v>0</v>
      </c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</row>
    <row r="48" customFormat="false" ht="18" hidden="false" customHeight="true" outlineLevel="0" collapsed="false">
      <c r="A48" s="18" t="s">
        <v>94</v>
      </c>
      <c r="B48" s="18" t="str">
        <f aca="false">TRIM(A48)</f>
        <v>الناز بهمنی</v>
      </c>
      <c r="C48" s="18" t="str">
        <f aca="false">VLOOKUP(B48,Company!B:E,3,0)</f>
        <v>رازی</v>
      </c>
      <c r="D48" s="18" t="str">
        <f aca="false">VLOOKUP(B48,Company!B:E,2,0)</f>
        <v>صبح</v>
      </c>
      <c r="E48" s="18" t="str">
        <f aca="false" t="array" ref="E48:E48">IFERROR(INDEX('Team Leads'!$B:$D, MATCH(C48,'Team Leads'!$A:$A,0), MATCH(D48,'Team Leads'!$B$1:$D$1,0)), "")</f>
        <v>آتنا مالمیر</v>
      </c>
      <c r="F48" s="18" t="n">
        <f aca="false">VLOOKUP(B48,'Operator Bugs'!A:P,16,0)</f>
        <v>0</v>
      </c>
      <c r="G48" s="18" t="n">
        <f aca="false">IFERROR(VLOOKUP(B48,'6-week1'!B:D,2,0),0)</f>
        <v>105</v>
      </c>
      <c r="H48" s="18" t="n">
        <f aca="false">IFERROR(VLOOKUP(B48,'6-week1'!B:D,3,0),"-")</f>
        <v>16</v>
      </c>
      <c r="I48" s="18" t="n">
        <f aca="false">IF(G48&gt;179,5,IF(G48&gt;149,4,IF(G48&gt;119,3,IF(G48&gt;89,2,IF(G48&gt;59,1,IF(G48&lt;=59,0))))))</f>
        <v>2</v>
      </c>
      <c r="J48" s="18" t="n">
        <f aca="false">IF(H48&gt;39,1,IF(H48&gt;32,2,IF(H48&gt;26,3,IF(H48&gt;20,4,IF(H48&lt;=20,5)))))</f>
        <v>5</v>
      </c>
      <c r="K48" s="15" t="n">
        <f aca="false">AVERAGE(I48:J48)</f>
        <v>3.5</v>
      </c>
      <c r="L48" s="19" t="n">
        <f aca="false">IFERROR(VLOOKUP(B48,'6-week2'!B:D,2,0),0)</f>
        <v>228</v>
      </c>
      <c r="M48" s="19" t="n">
        <f aca="false">IFERROR(VLOOKUP(B48,'6-week2'!B:D,3,0),0)</f>
        <v>18</v>
      </c>
      <c r="N48" s="19" t="n">
        <f aca="false">IF(L48&gt;179,5,IF(L48&gt;149,4,IF(L48&gt;119,3,IF(L48&gt;89,2,IF(L48&gt;59,1,IF(L48&lt;=59,0))))))</f>
        <v>5</v>
      </c>
      <c r="O48" s="19" t="n">
        <f aca="false">IF(M48&gt;39,1,IF(M48&gt;32,2,IF(M48&gt;26,3,IF(M48&gt;20,4,IF(M48&lt;=20,5)))))</f>
        <v>5</v>
      </c>
      <c r="P48" s="19" t="n">
        <f aca="false">AVERAGE(N48,O48)</f>
        <v>5</v>
      </c>
      <c r="Q48" s="19" t="n">
        <f aca="false">IFERROR(VLOOKUP(B48,'6-week1'!B:F,5,0),0)</f>
        <v>0</v>
      </c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</row>
    <row r="49" customFormat="false" ht="18" hidden="false" customHeight="true" outlineLevel="0" collapsed="false">
      <c r="A49" s="18" t="s">
        <v>95</v>
      </c>
      <c r="B49" s="18" t="str">
        <f aca="false">TRIM(A49)</f>
        <v>امیر حسین رستمی</v>
      </c>
      <c r="C49" s="18" t="str">
        <f aca="false">VLOOKUP(B49,Company!B:E,3,0)</f>
        <v>رازی</v>
      </c>
      <c r="D49" s="18" t="str">
        <f aca="false">VLOOKUP(B49,Company!B:E,2,0)</f>
        <v>صبح</v>
      </c>
      <c r="E49" s="18" t="str">
        <f aca="false" t="array" ref="E49:E49">IFERROR(INDEX('Team Leads'!$B:$D, MATCH(C49,'Team Leads'!$A:$A,0), MATCH(D49,'Team Leads'!$B$1:$D$1,0)), "")</f>
        <v>آتنا مالمیر</v>
      </c>
      <c r="F49" s="18" t="n">
        <f aca="false">VLOOKUP(B49,'Operator Bugs'!A:P,16,0)</f>
        <v>0</v>
      </c>
      <c r="G49" s="18" t="n">
        <f aca="false">IFERROR(VLOOKUP(B49,'6-week1'!B:D,2,0),0)</f>
        <v>92</v>
      </c>
      <c r="H49" s="18" t="n">
        <f aca="false">IFERROR(VLOOKUP(B49,'6-week1'!B:D,3,0),"-")</f>
        <v>18</v>
      </c>
      <c r="I49" s="18" t="n">
        <f aca="false">IF(G49&gt;179,5,IF(G49&gt;149,4,IF(G49&gt;119,3,IF(G49&gt;89,2,IF(G49&gt;59,1,IF(G49&lt;=59,0))))))</f>
        <v>2</v>
      </c>
      <c r="J49" s="18" t="n">
        <f aca="false">IF(H49&gt;39,1,IF(H49&gt;32,2,IF(H49&gt;26,3,IF(H49&gt;20,4,IF(H49&lt;=20,5)))))</f>
        <v>5</v>
      </c>
      <c r="K49" s="15" t="n">
        <f aca="false">AVERAGE(I49:J49)</f>
        <v>3.5</v>
      </c>
      <c r="L49" s="19" t="n">
        <f aca="false">IFERROR(VLOOKUP(B49,'6-week2'!B:D,2,0),0)</f>
        <v>156</v>
      </c>
      <c r="M49" s="19" t="n">
        <f aca="false">IFERROR(VLOOKUP(B49,'6-week2'!B:D,3,0),0)</f>
        <v>20</v>
      </c>
      <c r="N49" s="19" t="n">
        <f aca="false">IF(L49&gt;179,5,IF(L49&gt;149,4,IF(L49&gt;119,3,IF(L49&gt;89,2,IF(L49&gt;59,1,IF(L49&lt;=59,0))))))</f>
        <v>4</v>
      </c>
      <c r="O49" s="19" t="n">
        <f aca="false">IF(M49&gt;39,1,IF(M49&gt;32,2,IF(M49&gt;26,3,IF(M49&gt;20,4,IF(M49&lt;=20,5)))))</f>
        <v>5</v>
      </c>
      <c r="P49" s="19" t="n">
        <f aca="false">AVERAGE(N49,O49)</f>
        <v>4.5</v>
      </c>
      <c r="Q49" s="19" t="n">
        <f aca="false">IFERROR(VLOOKUP(B49,'6-week1'!B:F,5,0),0)</f>
        <v>0</v>
      </c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</row>
    <row r="50" customFormat="false" ht="18" hidden="false" customHeight="true" outlineLevel="0" collapsed="false">
      <c r="A50" s="18" t="s">
        <v>96</v>
      </c>
      <c r="B50" s="18" t="str">
        <f aca="false">TRIM(A50)</f>
        <v>پارسا نصراللهی</v>
      </c>
      <c r="C50" s="18" t="str">
        <f aca="false">VLOOKUP(B50,Company!B:E,3,0)</f>
        <v>سینا</v>
      </c>
      <c r="D50" s="18" t="str">
        <f aca="false">VLOOKUP(B50,Company!B:E,2,0)</f>
        <v>عصر</v>
      </c>
      <c r="E50" s="18" t="str">
        <f aca="false" t="array" ref="E50:E50">IFERROR(INDEX('Team Leads'!$B:$D, MATCH(C50,'Team Leads'!$A:$A,0), MATCH(D50,'Team Leads'!$B$1:$D$1,0)), "")</f>
        <v>مهدی ایازی</v>
      </c>
      <c r="F50" s="18" t="n">
        <f aca="false">VLOOKUP(B50,'Operator Bugs'!A:P,16,0)</f>
        <v>0</v>
      </c>
      <c r="G50" s="18" t="n">
        <f aca="false">IFERROR(VLOOKUP(B50,'6-week1'!B:D,2,0),0)</f>
        <v>107</v>
      </c>
      <c r="H50" s="18" t="n">
        <f aca="false">IFERROR(VLOOKUP(B50,'6-week1'!B:D,3,0),"-")</f>
        <v>20</v>
      </c>
      <c r="I50" s="18" t="n">
        <f aca="false">IF(G50&gt;179,5,IF(G50&gt;149,4,IF(G50&gt;119,3,IF(G50&gt;89,2,IF(G50&gt;59,1,IF(G50&lt;=59,0))))))</f>
        <v>2</v>
      </c>
      <c r="J50" s="18" t="n">
        <f aca="false">IF(H50&gt;39,1,IF(H50&gt;32,2,IF(H50&gt;26,3,IF(H50&gt;20,4,IF(H50&lt;=20,5)))))</f>
        <v>5</v>
      </c>
      <c r="K50" s="15" t="n">
        <f aca="false">AVERAGE(I50:J50)</f>
        <v>3.5</v>
      </c>
      <c r="L50" s="19" t="n">
        <f aca="false">IFERROR(VLOOKUP(B50,'6-week2'!B:D,2,0),0)</f>
        <v>206</v>
      </c>
      <c r="M50" s="19" t="n">
        <f aca="false">IFERROR(VLOOKUP(B50,'6-week2'!B:D,3,0),0)</f>
        <v>20</v>
      </c>
      <c r="N50" s="19" t="n">
        <f aca="false">IF(L50&gt;179,5,IF(L50&gt;149,4,IF(L50&gt;119,3,IF(L50&gt;89,2,IF(L50&gt;59,1,IF(L50&lt;=59,0))))))</f>
        <v>5</v>
      </c>
      <c r="O50" s="19" t="n">
        <f aca="false">IF(M50&gt;39,1,IF(M50&gt;32,2,IF(M50&gt;26,3,IF(M50&gt;20,4,IF(M50&lt;=20,5)))))</f>
        <v>5</v>
      </c>
      <c r="P50" s="19" t="n">
        <f aca="false">AVERAGE(N50,O50)</f>
        <v>5</v>
      </c>
      <c r="Q50" s="19" t="n">
        <f aca="false">IFERROR(VLOOKUP(B50,'6-week1'!B:F,5,0),0)</f>
        <v>0</v>
      </c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</row>
    <row r="51" customFormat="false" ht="18" hidden="false" customHeight="true" outlineLevel="0" collapsed="false">
      <c r="A51" s="18" t="s">
        <v>97</v>
      </c>
      <c r="B51" s="18" t="str">
        <f aca="false">TRIM(A51)</f>
        <v>پریسا تولائی</v>
      </c>
      <c r="C51" s="18" t="str">
        <f aca="false">VLOOKUP(B51,Company!B:E,3,0)</f>
        <v>سینا</v>
      </c>
      <c r="D51" s="18" t="str">
        <f aca="false">VLOOKUP(B51,Company!B:E,2,0)</f>
        <v>صبح</v>
      </c>
      <c r="E51" s="18" t="str">
        <f aca="false" t="array" ref="E51:E51">IFERROR(INDEX('Team Leads'!$B:$D, MATCH(C51,'Team Leads'!$A:$A,0), MATCH(D51,'Team Leads'!$B$1:$D$1,0)), "")</f>
        <v>فاطمه دهقانپور</v>
      </c>
      <c r="F51" s="18" t="n">
        <f aca="false">VLOOKUP(B51,'Operator Bugs'!A:P,16,0)</f>
        <v>0</v>
      </c>
      <c r="G51" s="18" t="n">
        <f aca="false">IFERROR(VLOOKUP(B51,'6-week1'!B:D,2,0),0)</f>
        <v>261</v>
      </c>
      <c r="H51" s="18" t="n">
        <f aca="false">IFERROR(VLOOKUP(B51,'6-week1'!B:D,3,0),"-")</f>
        <v>37</v>
      </c>
      <c r="I51" s="18" t="n">
        <f aca="false">IF(G51&gt;179,5,IF(G51&gt;149,4,IF(G51&gt;119,3,IF(G51&gt;89,2,IF(G51&gt;59,1,IF(G51&lt;=59,0))))))</f>
        <v>5</v>
      </c>
      <c r="J51" s="18" t="n">
        <f aca="false">IF(H51&gt;39,1,IF(H51&gt;32,2,IF(H51&gt;26,3,IF(H51&gt;20,4,IF(H51&lt;=20,5)))))</f>
        <v>2</v>
      </c>
      <c r="K51" s="15" t="n">
        <f aca="false">AVERAGE(I51:J51)</f>
        <v>3.5</v>
      </c>
      <c r="L51" s="19" t="n">
        <f aca="false">IFERROR(VLOOKUP(B51,'6-week2'!B:D,2,0),0)</f>
        <v>275</v>
      </c>
      <c r="M51" s="19" t="n">
        <f aca="false">IFERROR(VLOOKUP(B51,'6-week2'!B:D,3,0),0)</f>
        <v>33</v>
      </c>
      <c r="N51" s="19" t="n">
        <f aca="false">IF(L51&gt;179,5,IF(L51&gt;149,4,IF(L51&gt;119,3,IF(L51&gt;89,2,IF(L51&gt;59,1,IF(L51&lt;=59,0))))))</f>
        <v>5</v>
      </c>
      <c r="O51" s="19" t="n">
        <f aca="false">IF(M51&gt;39,1,IF(M51&gt;32,2,IF(M51&gt;26,3,IF(M51&gt;20,4,IF(M51&lt;=20,5)))))</f>
        <v>2</v>
      </c>
      <c r="P51" s="19" t="n">
        <f aca="false">AVERAGE(N51,O51)</f>
        <v>3.5</v>
      </c>
      <c r="Q51" s="19" t="n">
        <f aca="false">IFERROR(VLOOKUP(B51,'6-week1'!B:F,5,0),0)</f>
        <v>0</v>
      </c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</row>
    <row r="52" customFormat="false" ht="18" hidden="false" customHeight="true" outlineLevel="0" collapsed="false">
      <c r="A52" s="18" t="s">
        <v>98</v>
      </c>
      <c r="B52" s="18" t="str">
        <f aca="false">TRIM(A52)</f>
        <v>پویا شهبازی</v>
      </c>
      <c r="C52" s="18" t="str">
        <f aca="false">VLOOKUP(B52,Company!B:E,3,0)</f>
        <v>تعاون</v>
      </c>
      <c r="D52" s="18" t="str">
        <f aca="false">VLOOKUP(B52,Company!B:E,2,0)</f>
        <v>صبح</v>
      </c>
      <c r="E52" s="18" t="str">
        <f aca="false" t="array" ref="E52:E52">IFERROR(INDEX('Team Leads'!$B:$D, MATCH(C52,'Team Leads'!$A:$A,0), MATCH(D52,'Team Leads'!$B$1:$D$1,0)), "")</f>
        <v>مهدی فراهانی</v>
      </c>
      <c r="F52" s="18" t="n">
        <f aca="false">VLOOKUP(B52,'Operator Bugs'!A:P,16,0)</f>
        <v>0</v>
      </c>
      <c r="G52" s="18" t="n">
        <f aca="false">IFERROR(VLOOKUP(B52,'6-week1'!B:D,2,0),0)</f>
        <v>109</v>
      </c>
      <c r="H52" s="18" t="n">
        <f aca="false">IFERROR(VLOOKUP(B52,'6-week1'!B:D,3,0),"-")</f>
        <v>19</v>
      </c>
      <c r="I52" s="18" t="n">
        <f aca="false">IF(G52&gt;179,5,IF(G52&gt;149,4,IF(G52&gt;119,3,IF(G52&gt;89,2,IF(G52&gt;59,1,IF(G52&lt;=59,0))))))</f>
        <v>2</v>
      </c>
      <c r="J52" s="18" t="n">
        <f aca="false">IF(H52&gt;39,1,IF(H52&gt;32,2,IF(H52&gt;26,3,IF(H52&gt;20,4,IF(H52&lt;=20,5)))))</f>
        <v>5</v>
      </c>
      <c r="K52" s="15" t="n">
        <f aca="false">AVERAGE(I52:J52)</f>
        <v>3.5</v>
      </c>
      <c r="L52" s="19" t="n">
        <f aca="false">IFERROR(VLOOKUP(B52,'6-week2'!B:D,2,0),0)</f>
        <v>84</v>
      </c>
      <c r="M52" s="19" t="n">
        <f aca="false">IFERROR(VLOOKUP(B52,'6-week2'!B:D,3,0),0)</f>
        <v>22</v>
      </c>
      <c r="N52" s="19" t="n">
        <f aca="false">IF(L52&gt;179,5,IF(L52&gt;149,4,IF(L52&gt;119,3,IF(L52&gt;89,2,IF(L52&gt;59,1,IF(L52&lt;=59,0))))))</f>
        <v>1</v>
      </c>
      <c r="O52" s="19" t="n">
        <f aca="false">IF(M52&gt;39,1,IF(M52&gt;32,2,IF(M52&gt;26,3,IF(M52&gt;20,4,IF(M52&lt;=20,5)))))</f>
        <v>4</v>
      </c>
      <c r="P52" s="19" t="n">
        <f aca="false">AVERAGE(N52,O52)</f>
        <v>2.5</v>
      </c>
      <c r="Q52" s="19" t="n">
        <f aca="false">IFERROR(VLOOKUP(B52,'6-week1'!B:F,5,0),0)</f>
        <v>0</v>
      </c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</row>
    <row r="53" customFormat="false" ht="18" hidden="false" customHeight="true" outlineLevel="0" collapsed="false">
      <c r="A53" s="18" t="s">
        <v>99</v>
      </c>
      <c r="B53" s="18" t="str">
        <f aca="false">TRIM(A53)</f>
        <v>حسین پیرمرادی</v>
      </c>
      <c r="C53" s="18" t="str">
        <f aca="false">VLOOKUP(B53,Company!B:E,3,0)</f>
        <v>تعاون</v>
      </c>
      <c r="D53" s="18" t="str">
        <f aca="false">VLOOKUP(B53,Company!B:E,2,0)</f>
        <v>عصر</v>
      </c>
      <c r="E53" s="18" t="str">
        <f aca="false" t="array" ref="E53:E53">IFERROR(INDEX('Team Leads'!$B:$D, MATCH(C53,'Team Leads'!$A:$A,0), MATCH(D53,'Team Leads'!$B$1:$D$1,0)), "")</f>
        <v>علیرضا زمانیان</v>
      </c>
      <c r="F53" s="18" t="n">
        <f aca="false">VLOOKUP(B53,'Operator Bugs'!A:P,16,0)</f>
        <v>0</v>
      </c>
      <c r="G53" s="18" t="n">
        <f aca="false">IFERROR(VLOOKUP(B53,'6-week1'!B:D,2,0),0)</f>
        <v>174</v>
      </c>
      <c r="H53" s="18" t="n">
        <f aca="false">IFERROR(VLOOKUP(B53,'6-week1'!B:D,3,0),"-")</f>
        <v>29</v>
      </c>
      <c r="I53" s="18" t="n">
        <f aca="false">IF(G53&gt;179,5,IF(G53&gt;149,4,IF(G53&gt;119,3,IF(G53&gt;89,2,IF(G53&gt;59,1,IF(G53&lt;=59,0))))))</f>
        <v>4</v>
      </c>
      <c r="J53" s="18" t="n">
        <f aca="false">IF(H53&gt;39,1,IF(H53&gt;32,2,IF(H53&gt;26,3,IF(H53&gt;20,4,IF(H53&lt;=20,5)))))</f>
        <v>3</v>
      </c>
      <c r="K53" s="15" t="n">
        <f aca="false">AVERAGE(I53:J53)</f>
        <v>3.5</v>
      </c>
      <c r="L53" s="19" t="n">
        <f aca="false">IFERROR(VLOOKUP(B53,'6-week2'!B:D,2,0),0)</f>
        <v>196</v>
      </c>
      <c r="M53" s="19" t="n">
        <f aca="false">IFERROR(VLOOKUP(B53,'6-week2'!B:D,3,0),0)</f>
        <v>38</v>
      </c>
      <c r="N53" s="19" t="n">
        <f aca="false">IF(L53&gt;179,5,IF(L53&gt;149,4,IF(L53&gt;119,3,IF(L53&gt;89,2,IF(L53&gt;59,1,IF(L53&lt;=59,0))))))</f>
        <v>5</v>
      </c>
      <c r="O53" s="19" t="n">
        <f aca="false">IF(M53&gt;39,1,IF(M53&gt;32,2,IF(M53&gt;26,3,IF(M53&gt;20,4,IF(M53&lt;=20,5)))))</f>
        <v>2</v>
      </c>
      <c r="P53" s="19" t="n">
        <f aca="false">AVERAGE(N53,O53)</f>
        <v>3.5</v>
      </c>
      <c r="Q53" s="19" t="n">
        <f aca="false">IFERROR(VLOOKUP(B53,'6-week1'!B:F,5,0),0)</f>
        <v>0</v>
      </c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</row>
    <row r="54" customFormat="false" ht="18" hidden="false" customHeight="true" outlineLevel="0" collapsed="false">
      <c r="A54" s="18" t="s">
        <v>100</v>
      </c>
      <c r="B54" s="18" t="str">
        <f aca="false">TRIM(A54)</f>
        <v>حسین حقیقت</v>
      </c>
      <c r="C54" s="18" t="str">
        <f aca="false">VLOOKUP(B54,Company!B:E,3,0)</f>
        <v>هوشمند فردا</v>
      </c>
      <c r="D54" s="18" t="str">
        <f aca="false">VLOOKUP(B54,Company!B:E,2,0)</f>
        <v>عصر</v>
      </c>
      <c r="E54" s="18" t="str">
        <f aca="false" t="array" ref="E54:E54">IFERROR(INDEX('Team Leads'!$B:$D, MATCH(C54,'Team Leads'!$A:$A,0), MATCH(D54,'Team Leads'!$B$1:$D$1,0)), "")</f>
        <v>مهدی ایازی</v>
      </c>
      <c r="F54" s="18" t="n">
        <f aca="false">VLOOKUP(B54,'Operator Bugs'!A:P,16,0)</f>
        <v>0</v>
      </c>
      <c r="G54" s="18" t="n">
        <f aca="false">IFERROR(VLOOKUP(B54,'6-week1'!B:D,2,0),0)</f>
        <v>125</v>
      </c>
      <c r="H54" s="18" t="n">
        <f aca="false">IFERROR(VLOOKUP(B54,'6-week1'!B:D,3,0),"-")</f>
        <v>24</v>
      </c>
      <c r="I54" s="18" t="n">
        <f aca="false">IF(G54&gt;179,5,IF(G54&gt;149,4,IF(G54&gt;119,3,IF(G54&gt;89,2,IF(G54&gt;59,1,IF(G54&lt;=59,0))))))</f>
        <v>3</v>
      </c>
      <c r="J54" s="18" t="n">
        <f aca="false">IF(H54&gt;39,1,IF(H54&gt;32,2,IF(H54&gt;26,3,IF(H54&gt;20,4,IF(H54&lt;=20,5)))))</f>
        <v>4</v>
      </c>
      <c r="K54" s="15" t="n">
        <f aca="false">AVERAGE(I54:J54)</f>
        <v>3.5</v>
      </c>
      <c r="L54" s="19" t="n">
        <f aca="false">IFERROR(VLOOKUP(B54,'6-week2'!B:D,2,0),0)</f>
        <v>292</v>
      </c>
      <c r="M54" s="19" t="n">
        <f aca="false">IFERROR(VLOOKUP(B54,'6-week2'!B:D,3,0),0)</f>
        <v>28</v>
      </c>
      <c r="N54" s="19" t="n">
        <f aca="false">IF(L54&gt;179,5,IF(L54&gt;149,4,IF(L54&gt;119,3,IF(L54&gt;89,2,IF(L54&gt;59,1,IF(L54&lt;=59,0))))))</f>
        <v>5</v>
      </c>
      <c r="O54" s="19" t="n">
        <f aca="false">IF(M54&gt;39,1,IF(M54&gt;32,2,IF(M54&gt;26,3,IF(M54&gt;20,4,IF(M54&lt;=20,5)))))</f>
        <v>3</v>
      </c>
      <c r="P54" s="19" t="n">
        <f aca="false">AVERAGE(N54,O54)</f>
        <v>4</v>
      </c>
      <c r="Q54" s="19" t="n">
        <f aca="false">IFERROR(VLOOKUP(B54,'6-week1'!B:F,5,0),0)</f>
        <v>0</v>
      </c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</row>
    <row r="55" customFormat="false" ht="18" hidden="false" customHeight="true" outlineLevel="0" collapsed="false">
      <c r="A55" s="18" t="s">
        <v>101</v>
      </c>
      <c r="B55" s="18" t="str">
        <f aca="false">TRIM(A55)</f>
        <v>حمیدرضا احمدی</v>
      </c>
      <c r="C55" s="18" t="str">
        <f aca="false">VLOOKUP(B55,Company!B:E,3,0)</f>
        <v>سینا</v>
      </c>
      <c r="D55" s="18" t="str">
        <f aca="false">VLOOKUP(B55,Company!B:E,2,0)</f>
        <v>صبح</v>
      </c>
      <c r="E55" s="18" t="str">
        <f aca="false" t="array" ref="E55:E55">IFERROR(INDEX('Team Leads'!$B:$D, MATCH(C55,'Team Leads'!$A:$A,0), MATCH(D55,'Team Leads'!$B$1:$D$1,0)), "")</f>
        <v>فاطمه دهقانپور</v>
      </c>
      <c r="F55" s="18" t="n">
        <f aca="false">VLOOKUP(B55,'Operator Bugs'!A:P,16,0)</f>
        <v>0</v>
      </c>
      <c r="G55" s="18" t="n">
        <f aca="false">IFERROR(VLOOKUP(B55,'6-week1'!B:D,2,0),0)</f>
        <v>125</v>
      </c>
      <c r="H55" s="18" t="n">
        <f aca="false">IFERROR(VLOOKUP(B55,'6-week1'!B:D,3,0),"-")</f>
        <v>21</v>
      </c>
      <c r="I55" s="18" t="n">
        <f aca="false">IF(G55&gt;179,5,IF(G55&gt;149,4,IF(G55&gt;119,3,IF(G55&gt;89,2,IF(G55&gt;59,1,IF(G55&lt;=59,0))))))</f>
        <v>3</v>
      </c>
      <c r="J55" s="18" t="n">
        <f aca="false">IF(H55&gt;39,1,IF(H55&gt;32,2,IF(H55&gt;26,3,IF(H55&gt;20,4,IF(H55&lt;=20,5)))))</f>
        <v>4</v>
      </c>
      <c r="K55" s="15" t="n">
        <f aca="false">AVERAGE(I55:J55)</f>
        <v>3.5</v>
      </c>
      <c r="L55" s="19" t="n">
        <f aca="false">IFERROR(VLOOKUP(B55,'6-week2'!B:D,2,0),0)</f>
        <v>198</v>
      </c>
      <c r="M55" s="19" t="n">
        <f aca="false">IFERROR(VLOOKUP(B55,'6-week2'!B:D,3,0),0)</f>
        <v>35</v>
      </c>
      <c r="N55" s="19" t="n">
        <f aca="false">IF(L55&gt;179,5,IF(L55&gt;149,4,IF(L55&gt;119,3,IF(L55&gt;89,2,IF(L55&gt;59,1,IF(L55&lt;=59,0))))))</f>
        <v>5</v>
      </c>
      <c r="O55" s="19" t="n">
        <f aca="false">IF(M55&gt;39,1,IF(M55&gt;32,2,IF(M55&gt;26,3,IF(M55&gt;20,4,IF(M55&lt;=20,5)))))</f>
        <v>2</v>
      </c>
      <c r="P55" s="19" t="n">
        <f aca="false">AVERAGE(N55,O55)</f>
        <v>3.5</v>
      </c>
      <c r="Q55" s="19" t="n">
        <f aca="false">IFERROR(VLOOKUP(B55,'6-week1'!B:F,5,0),0)</f>
        <v>0</v>
      </c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</row>
    <row r="56" customFormat="false" ht="18" hidden="false" customHeight="true" outlineLevel="0" collapsed="false">
      <c r="A56" s="18" t="s">
        <v>102</v>
      </c>
      <c r="B56" s="18" t="str">
        <f aca="false">TRIM(A56)</f>
        <v>زهرا طاهری</v>
      </c>
      <c r="C56" s="18" t="str">
        <f aca="false">VLOOKUP(B56,Company!B:E,3,0)</f>
        <v>رازی</v>
      </c>
      <c r="D56" s="18" t="str">
        <f aca="false">VLOOKUP(B56,Company!B:E,2,0)</f>
        <v>صبح</v>
      </c>
      <c r="E56" s="18" t="str">
        <f aca="false" t="array" ref="E56:E56">IFERROR(INDEX('Team Leads'!$B:$D, MATCH(C56,'Team Leads'!$A:$A,0), MATCH(D56,'Team Leads'!$B$1:$D$1,0)), "")</f>
        <v>آتنا مالمیر</v>
      </c>
      <c r="F56" s="18" t="n">
        <f aca="false">VLOOKUP(B56,'Operator Bugs'!A:P,16,0)</f>
        <v>0</v>
      </c>
      <c r="G56" s="18" t="n">
        <f aca="false">IFERROR(VLOOKUP(B56,'6-week1'!B:D,2,0),0)</f>
        <v>248</v>
      </c>
      <c r="H56" s="18" t="n">
        <f aca="false">IFERROR(VLOOKUP(B56,'6-week1'!B:D,3,0),"-")</f>
        <v>38</v>
      </c>
      <c r="I56" s="18" t="n">
        <f aca="false">IF(G56&gt;179,5,IF(G56&gt;149,4,IF(G56&gt;119,3,IF(G56&gt;89,2,IF(G56&gt;59,1,IF(G56&lt;=59,0))))))</f>
        <v>5</v>
      </c>
      <c r="J56" s="18" t="n">
        <f aca="false">IF(H56&gt;39,1,IF(H56&gt;32,2,IF(H56&gt;26,3,IF(H56&gt;20,4,IF(H56&lt;=20,5)))))</f>
        <v>2</v>
      </c>
      <c r="K56" s="15" t="n">
        <f aca="false">AVERAGE(I56:J56)</f>
        <v>3.5</v>
      </c>
      <c r="L56" s="19" t="n">
        <f aca="false">IFERROR(VLOOKUP(B56,'6-week2'!B:D,2,0),0)</f>
        <v>306</v>
      </c>
      <c r="M56" s="19" t="n">
        <f aca="false">IFERROR(VLOOKUP(B56,'6-week2'!B:D,3,0),0)</f>
        <v>33</v>
      </c>
      <c r="N56" s="19" t="n">
        <f aca="false">IF(L56&gt;179,5,IF(L56&gt;149,4,IF(L56&gt;119,3,IF(L56&gt;89,2,IF(L56&gt;59,1,IF(L56&lt;=59,0))))))</f>
        <v>5</v>
      </c>
      <c r="O56" s="19" t="n">
        <f aca="false">IF(M56&gt;39,1,IF(M56&gt;32,2,IF(M56&gt;26,3,IF(M56&gt;20,4,IF(M56&lt;=20,5)))))</f>
        <v>2</v>
      </c>
      <c r="P56" s="19" t="n">
        <f aca="false">AVERAGE(N56,O56)</f>
        <v>3.5</v>
      </c>
      <c r="Q56" s="19" t="n">
        <f aca="false">IFERROR(VLOOKUP(B56,'6-week1'!B:F,5,0),0)</f>
        <v>0</v>
      </c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</row>
    <row r="57" customFormat="false" ht="18" hidden="false" customHeight="true" outlineLevel="0" collapsed="false">
      <c r="A57" s="18" t="s">
        <v>103</v>
      </c>
      <c r="B57" s="18" t="str">
        <f aca="false">TRIM(A57)</f>
        <v>سایه ملکی</v>
      </c>
      <c r="C57" s="18" t="str">
        <f aca="false">VLOOKUP(B57,Company!B:E,3,0)</f>
        <v>تعاون</v>
      </c>
      <c r="D57" s="18" t="str">
        <f aca="false">VLOOKUP(B57,Company!B:E,2,0)</f>
        <v>صبح</v>
      </c>
      <c r="E57" s="18" t="str">
        <f aca="false" t="array" ref="E57:E57">IFERROR(INDEX('Team Leads'!$B:$D, MATCH(C57,'Team Leads'!$A:$A,0), MATCH(D57,'Team Leads'!$B$1:$D$1,0)), "")</f>
        <v>مهدی فراهانی</v>
      </c>
      <c r="F57" s="18" t="n">
        <f aca="false">VLOOKUP(B57,'Operator Bugs'!A:P,16,0)</f>
        <v>0</v>
      </c>
      <c r="G57" s="18" t="n">
        <f aca="false">IFERROR(VLOOKUP(B57,'6-week1'!B:D,2,0),0)</f>
        <v>122</v>
      </c>
      <c r="H57" s="18" t="n">
        <f aca="false">IFERROR(VLOOKUP(B57,'6-week1'!B:D,3,0),"-")</f>
        <v>22</v>
      </c>
      <c r="I57" s="18" t="n">
        <f aca="false">IF(G57&gt;179,5,IF(G57&gt;149,4,IF(G57&gt;119,3,IF(G57&gt;89,2,IF(G57&gt;59,1,IF(G57&lt;=59,0))))))</f>
        <v>3</v>
      </c>
      <c r="J57" s="18" t="n">
        <f aca="false">IF(H57&gt;39,1,IF(H57&gt;32,2,IF(H57&gt;26,3,IF(H57&gt;20,4,IF(H57&lt;=20,5)))))</f>
        <v>4</v>
      </c>
      <c r="K57" s="15" t="n">
        <f aca="false">AVERAGE(I57:J57)</f>
        <v>3.5</v>
      </c>
      <c r="L57" s="19" t="n">
        <f aca="false">IFERROR(VLOOKUP(B57,'6-week2'!B:D,2,0),0)</f>
        <v>138</v>
      </c>
      <c r="M57" s="19" t="n">
        <f aca="false">IFERROR(VLOOKUP(B57,'6-week2'!B:D,3,0),0)</f>
        <v>23</v>
      </c>
      <c r="N57" s="19" t="n">
        <f aca="false">IF(L57&gt;179,5,IF(L57&gt;149,4,IF(L57&gt;119,3,IF(L57&gt;89,2,IF(L57&gt;59,1,IF(L57&lt;=59,0))))))</f>
        <v>3</v>
      </c>
      <c r="O57" s="19" t="n">
        <f aca="false">IF(M57&gt;39,1,IF(M57&gt;32,2,IF(M57&gt;26,3,IF(M57&gt;20,4,IF(M57&lt;=20,5)))))</f>
        <v>4</v>
      </c>
      <c r="P57" s="19" t="n">
        <f aca="false">AVERAGE(N57,O57)</f>
        <v>3.5</v>
      </c>
      <c r="Q57" s="19" t="n">
        <f aca="false">IFERROR(VLOOKUP(B57,'6-week1'!B:F,5,0),0)</f>
        <v>0</v>
      </c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</row>
    <row r="58" customFormat="false" ht="18" hidden="false" customHeight="true" outlineLevel="0" collapsed="false">
      <c r="A58" s="18" t="s">
        <v>104</v>
      </c>
      <c r="B58" s="18" t="str">
        <f aca="false">TRIM(A58)</f>
        <v>سمیرا فتاحی</v>
      </c>
      <c r="C58" s="18" t="str">
        <f aca="false">VLOOKUP(B58,Company!B:E,3,0)</f>
        <v>ایران</v>
      </c>
      <c r="D58" s="18" t="str">
        <f aca="false">VLOOKUP(B58,Company!B:E,2,0)</f>
        <v>صبح</v>
      </c>
      <c r="E58" s="18" t="str">
        <f aca="false" t="array" ref="E58:E58">IFERROR(INDEX('Team Leads'!$B:$D, MATCH(C58,'Team Leads'!$A:$A,0), MATCH(D58,'Team Leads'!$B$1:$D$1,0)), "")</f>
        <v>مهدی فراهانی</v>
      </c>
      <c r="F58" s="18" t="n">
        <f aca="false">VLOOKUP(B58,'Operator Bugs'!A:P,16,0)</f>
        <v>0</v>
      </c>
      <c r="G58" s="18" t="n">
        <f aca="false">IFERROR(VLOOKUP(B58,'6-week1'!B:D,2,0),0)</f>
        <v>141</v>
      </c>
      <c r="H58" s="18" t="n">
        <f aca="false">IFERROR(VLOOKUP(B58,'6-week1'!B:D,3,0),"-")</f>
        <v>22</v>
      </c>
      <c r="I58" s="18" t="n">
        <f aca="false">IF(G58&gt;179,5,IF(G58&gt;149,4,IF(G58&gt;119,3,IF(G58&gt;89,2,IF(G58&gt;59,1,IF(G58&lt;=59,0))))))</f>
        <v>3</v>
      </c>
      <c r="J58" s="18" t="n">
        <f aca="false">IF(H58&gt;39,1,IF(H58&gt;32,2,IF(H58&gt;26,3,IF(H58&gt;20,4,IF(H58&lt;=20,5)))))</f>
        <v>4</v>
      </c>
      <c r="K58" s="15" t="n">
        <f aca="false">AVERAGE(I58:J58)</f>
        <v>3.5</v>
      </c>
      <c r="L58" s="19" t="n">
        <f aca="false">IFERROR(VLOOKUP(B58,'6-week2'!B:D,2,0),0)</f>
        <v>153</v>
      </c>
      <c r="M58" s="19" t="n">
        <f aca="false">IFERROR(VLOOKUP(B58,'6-week2'!B:D,3,0),0)</f>
        <v>23</v>
      </c>
      <c r="N58" s="19" t="n">
        <f aca="false">IF(L58&gt;179,5,IF(L58&gt;149,4,IF(L58&gt;119,3,IF(L58&gt;89,2,IF(L58&gt;59,1,IF(L58&lt;=59,0))))))</f>
        <v>4</v>
      </c>
      <c r="O58" s="19" t="n">
        <f aca="false">IF(M58&gt;39,1,IF(M58&gt;32,2,IF(M58&gt;26,3,IF(M58&gt;20,4,IF(M58&lt;=20,5)))))</f>
        <v>4</v>
      </c>
      <c r="P58" s="19" t="n">
        <f aca="false">AVERAGE(N58,O58)</f>
        <v>4</v>
      </c>
      <c r="Q58" s="19" t="n">
        <f aca="false">IFERROR(VLOOKUP(B58,'6-week1'!B:F,5,0),0)</f>
        <v>0</v>
      </c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</row>
    <row r="59" customFormat="false" ht="18" hidden="false" customHeight="true" outlineLevel="0" collapsed="false">
      <c r="A59" s="18" t="s">
        <v>105</v>
      </c>
      <c r="B59" s="18" t="str">
        <f aca="false">TRIM(A59)</f>
        <v>صبا صباغ</v>
      </c>
      <c r="C59" s="18" t="str">
        <f aca="false">VLOOKUP(B59,Company!B:E,3,0)</f>
        <v>سینا</v>
      </c>
      <c r="D59" s="18" t="str">
        <f aca="false">VLOOKUP(B59,Company!B:E,2,0)</f>
        <v>عصر</v>
      </c>
      <c r="E59" s="18" t="str">
        <f aca="false" t="array" ref="E59:E59">IFERROR(INDEX('Team Leads'!$B:$D, MATCH(C59,'Team Leads'!$A:$A,0), MATCH(D59,'Team Leads'!$B$1:$D$1,0)), "")</f>
        <v>مهدی ایازی</v>
      </c>
      <c r="F59" s="18" t="n">
        <f aca="false">VLOOKUP(B59,'Operator Bugs'!A:P,16,0)</f>
        <v>0</v>
      </c>
      <c r="G59" s="18" t="n">
        <f aca="false">IFERROR(VLOOKUP(B59,'6-week1'!B:D,2,0),0)</f>
        <v>108</v>
      </c>
      <c r="H59" s="18" t="n">
        <f aca="false">IFERROR(VLOOKUP(B59,'6-week1'!B:D,3,0),"-")</f>
        <v>19</v>
      </c>
      <c r="I59" s="18" t="n">
        <f aca="false">IF(G59&gt;179,5,IF(G59&gt;149,4,IF(G59&gt;119,3,IF(G59&gt;89,2,IF(G59&gt;59,1,IF(G59&lt;=59,0))))))</f>
        <v>2</v>
      </c>
      <c r="J59" s="18" t="n">
        <f aca="false">IF(H59&gt;39,1,IF(H59&gt;32,2,IF(H59&gt;26,3,IF(H59&gt;20,4,IF(H59&lt;=20,5)))))</f>
        <v>5</v>
      </c>
      <c r="K59" s="15" t="n">
        <f aca="false">AVERAGE(I59:J59)</f>
        <v>3.5</v>
      </c>
      <c r="L59" s="19" t="n">
        <f aca="false">IFERROR(VLOOKUP(B59,'6-week2'!B:D,2,0),0)</f>
        <v>111</v>
      </c>
      <c r="M59" s="19" t="n">
        <f aca="false">IFERROR(VLOOKUP(B59,'6-week2'!B:D,3,0),0)</f>
        <v>31</v>
      </c>
      <c r="N59" s="19" t="n">
        <f aca="false">IF(L59&gt;179,5,IF(L59&gt;149,4,IF(L59&gt;119,3,IF(L59&gt;89,2,IF(L59&gt;59,1,IF(L59&lt;=59,0))))))</f>
        <v>2</v>
      </c>
      <c r="O59" s="19" t="n">
        <f aca="false">IF(M59&gt;39,1,IF(M59&gt;32,2,IF(M59&gt;26,3,IF(M59&gt;20,4,IF(M59&lt;=20,5)))))</f>
        <v>3</v>
      </c>
      <c r="P59" s="19" t="n">
        <f aca="false">AVERAGE(N59,O59)</f>
        <v>2.5</v>
      </c>
      <c r="Q59" s="19" t="n">
        <f aca="false">IFERROR(VLOOKUP(B59,'6-week1'!B:F,5,0),0)</f>
        <v>0</v>
      </c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</row>
    <row r="60" customFormat="false" ht="18" hidden="false" customHeight="true" outlineLevel="0" collapsed="false">
      <c r="A60" s="18" t="s">
        <v>106</v>
      </c>
      <c r="B60" s="18" t="str">
        <f aca="false">TRIM(A60)</f>
        <v>علی جمالی</v>
      </c>
      <c r="C60" s="18" t="str">
        <f aca="false">VLOOKUP(B60,Company!B:E,3,0)</f>
        <v>سینا</v>
      </c>
      <c r="D60" s="18" t="str">
        <f aca="false">VLOOKUP(B60,Company!B:E,2,0)</f>
        <v>عصر</v>
      </c>
      <c r="E60" s="18" t="str">
        <f aca="false" t="array" ref="E60:E60">IFERROR(INDEX('Team Leads'!$B:$D, MATCH(C60,'Team Leads'!$A:$A,0), MATCH(D60,'Team Leads'!$B$1:$D$1,0)), "")</f>
        <v>مهدی ایازی</v>
      </c>
      <c r="F60" s="18" t="n">
        <f aca="false">VLOOKUP(B60,'Operator Bugs'!A:P,16,0)</f>
        <v>0</v>
      </c>
      <c r="G60" s="18" t="n">
        <f aca="false">IFERROR(VLOOKUP(B60,'6-week1'!B:D,2,0),0)</f>
        <v>164</v>
      </c>
      <c r="H60" s="18" t="n">
        <f aca="false">IFERROR(VLOOKUP(B60,'6-week1'!B:D,3,0),"-")</f>
        <v>27</v>
      </c>
      <c r="I60" s="18" t="n">
        <f aca="false">IF(G60&gt;179,5,IF(G60&gt;149,4,IF(G60&gt;119,3,IF(G60&gt;89,2,IF(G60&gt;59,1,IF(G60&lt;=59,0))))))</f>
        <v>4</v>
      </c>
      <c r="J60" s="18" t="n">
        <f aca="false">IF(H60&gt;39,1,IF(H60&gt;32,2,IF(H60&gt;26,3,IF(H60&gt;20,4,IF(H60&lt;=20,5)))))</f>
        <v>3</v>
      </c>
      <c r="K60" s="15" t="n">
        <f aca="false">AVERAGE(I60:J60)</f>
        <v>3.5</v>
      </c>
      <c r="L60" s="19" t="n">
        <f aca="false">IFERROR(VLOOKUP(B60,'6-week2'!B:D,2,0),0)</f>
        <v>239</v>
      </c>
      <c r="M60" s="19" t="n">
        <f aca="false">IFERROR(VLOOKUP(B60,'6-week2'!B:D,3,0),0)</f>
        <v>27</v>
      </c>
      <c r="N60" s="19" t="n">
        <f aca="false">IF(L60&gt;179,5,IF(L60&gt;149,4,IF(L60&gt;119,3,IF(L60&gt;89,2,IF(L60&gt;59,1,IF(L60&lt;=59,0))))))</f>
        <v>5</v>
      </c>
      <c r="O60" s="19" t="n">
        <f aca="false">IF(M60&gt;39,1,IF(M60&gt;32,2,IF(M60&gt;26,3,IF(M60&gt;20,4,IF(M60&lt;=20,5)))))</f>
        <v>3</v>
      </c>
      <c r="P60" s="19" t="n">
        <f aca="false">AVERAGE(N60,O60)</f>
        <v>4</v>
      </c>
      <c r="Q60" s="19" t="n">
        <f aca="false">IFERROR(VLOOKUP(B60,'6-week1'!B:F,5,0),0)</f>
        <v>0</v>
      </c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</row>
    <row r="61" customFormat="false" ht="18" hidden="false" customHeight="true" outlineLevel="0" collapsed="false">
      <c r="A61" s="18" t="s">
        <v>107</v>
      </c>
      <c r="B61" s="18" t="str">
        <f aca="false">TRIM(A61)</f>
        <v>فاطمه اقلیمی</v>
      </c>
      <c r="C61" s="18" t="str">
        <f aca="false">VLOOKUP(B61,Company!B:E,3,0)</f>
        <v>تعاون</v>
      </c>
      <c r="D61" s="18" t="str">
        <f aca="false">VLOOKUP(B61,Company!B:E,2,0)</f>
        <v>صبح</v>
      </c>
      <c r="E61" s="18" t="str">
        <f aca="false" t="array" ref="E61:E61">IFERROR(INDEX('Team Leads'!$B:$D, MATCH(C61,'Team Leads'!$A:$A,0), MATCH(D61,'Team Leads'!$B$1:$D$1,0)), "")</f>
        <v>مهدی فراهانی</v>
      </c>
      <c r="F61" s="18" t="n">
        <f aca="false">VLOOKUP(B61,'Operator Bugs'!A:P,16,0)</f>
        <v>0</v>
      </c>
      <c r="G61" s="18" t="n">
        <f aca="false">IFERROR(VLOOKUP(B61,'6-week1'!B:D,2,0),0)</f>
        <v>143</v>
      </c>
      <c r="H61" s="18" t="n">
        <f aca="false">IFERROR(VLOOKUP(B61,'6-week1'!B:D,3,0),"-")</f>
        <v>26</v>
      </c>
      <c r="I61" s="18" t="n">
        <f aca="false">IF(G61&gt;179,5,IF(G61&gt;149,4,IF(G61&gt;119,3,IF(G61&gt;89,2,IF(G61&gt;59,1,IF(G61&lt;=59,0))))))</f>
        <v>3</v>
      </c>
      <c r="J61" s="18" t="n">
        <f aca="false">IF(H61&gt;39,1,IF(H61&gt;32,2,IF(H61&gt;26,3,IF(H61&gt;20,4,IF(H61&lt;=20,5)))))</f>
        <v>4</v>
      </c>
      <c r="K61" s="15" t="n">
        <f aca="false">AVERAGE(I61:J61)</f>
        <v>3.5</v>
      </c>
      <c r="L61" s="19" t="n">
        <f aca="false">IFERROR(VLOOKUP(B61,'6-week2'!B:D,2,0),0)</f>
        <v>197</v>
      </c>
      <c r="M61" s="19" t="n">
        <f aca="false">IFERROR(VLOOKUP(B61,'6-week2'!B:D,3,0),0)</f>
        <v>22</v>
      </c>
      <c r="N61" s="19" t="n">
        <f aca="false">IF(L61&gt;179,5,IF(L61&gt;149,4,IF(L61&gt;119,3,IF(L61&gt;89,2,IF(L61&gt;59,1,IF(L61&lt;=59,0))))))</f>
        <v>5</v>
      </c>
      <c r="O61" s="19" t="n">
        <f aca="false">IF(M61&gt;39,1,IF(M61&gt;32,2,IF(M61&gt;26,3,IF(M61&gt;20,4,IF(M61&lt;=20,5)))))</f>
        <v>4</v>
      </c>
      <c r="P61" s="19" t="n">
        <f aca="false">AVERAGE(N61,O61)</f>
        <v>4.5</v>
      </c>
      <c r="Q61" s="19" t="n">
        <f aca="false">IFERROR(VLOOKUP(B61,'6-week1'!B:F,5,0),0)</f>
        <v>0</v>
      </c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</row>
    <row r="62" customFormat="false" ht="18" hidden="false" customHeight="true" outlineLevel="0" collapsed="false">
      <c r="A62" s="18" t="s">
        <v>108</v>
      </c>
      <c r="B62" s="18" t="str">
        <f aca="false">TRIM(A62)</f>
        <v>کوثر بلالی</v>
      </c>
      <c r="C62" s="18" t="str">
        <f aca="false">VLOOKUP(B62,Company!B:E,3,0)</f>
        <v>سینا</v>
      </c>
      <c r="D62" s="18" t="str">
        <f aca="false">VLOOKUP(B62,Company!B:E,2,0)</f>
        <v>صبح</v>
      </c>
      <c r="E62" s="18" t="str">
        <f aca="false" t="array" ref="E62:E62">IFERROR(INDEX('Team Leads'!$B:$D, MATCH(C62,'Team Leads'!$A:$A,0), MATCH(D62,'Team Leads'!$B$1:$D$1,0)), "")</f>
        <v>فاطمه دهقانپور</v>
      </c>
      <c r="F62" s="18" t="n">
        <f aca="false">VLOOKUP(B62,'Operator Bugs'!A:P,16,0)</f>
        <v>0</v>
      </c>
      <c r="G62" s="18" t="n">
        <f aca="false">IFERROR(VLOOKUP(B62,'6-week1'!B:D,2,0),0)</f>
        <v>212</v>
      </c>
      <c r="H62" s="18" t="n">
        <f aca="false">IFERROR(VLOOKUP(B62,'6-week1'!B:D,3,0),"-")</f>
        <v>38</v>
      </c>
      <c r="I62" s="18" t="n">
        <f aca="false">IF(G62&gt;179,5,IF(G62&gt;149,4,IF(G62&gt;119,3,IF(G62&gt;89,2,IF(G62&gt;59,1,IF(G62&lt;=59,0))))))</f>
        <v>5</v>
      </c>
      <c r="J62" s="18" t="n">
        <f aca="false">IF(H62&gt;39,1,IF(H62&gt;32,2,IF(H62&gt;26,3,IF(H62&gt;20,4,IF(H62&lt;=20,5)))))</f>
        <v>2</v>
      </c>
      <c r="K62" s="15" t="n">
        <f aca="false">AVERAGE(I62:J62)</f>
        <v>3.5</v>
      </c>
      <c r="L62" s="19" t="n">
        <f aca="false">IFERROR(VLOOKUP(B62,'6-week2'!B:D,2,0),0)</f>
        <v>195</v>
      </c>
      <c r="M62" s="19" t="n">
        <f aca="false">IFERROR(VLOOKUP(B62,'6-week2'!B:D,3,0),0)</f>
        <v>39</v>
      </c>
      <c r="N62" s="19" t="n">
        <f aca="false">IF(L62&gt;179,5,IF(L62&gt;149,4,IF(L62&gt;119,3,IF(L62&gt;89,2,IF(L62&gt;59,1,IF(L62&lt;=59,0))))))</f>
        <v>5</v>
      </c>
      <c r="O62" s="19" t="n">
        <f aca="false">IF(M62&gt;39,1,IF(M62&gt;32,2,IF(M62&gt;26,3,IF(M62&gt;20,4,IF(M62&lt;=20,5)))))</f>
        <v>2</v>
      </c>
      <c r="P62" s="19" t="n">
        <f aca="false">AVERAGE(N62,O62)</f>
        <v>3.5</v>
      </c>
      <c r="Q62" s="19" t="n">
        <f aca="false">IFERROR(VLOOKUP(B62,'6-week1'!B:F,5,0),0)</f>
        <v>0</v>
      </c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</row>
    <row r="63" customFormat="false" ht="18" hidden="false" customHeight="true" outlineLevel="0" collapsed="false">
      <c r="A63" s="18" t="s">
        <v>109</v>
      </c>
      <c r="B63" s="18" t="str">
        <f aca="false">TRIM(A63)</f>
        <v>ماهان عبدی</v>
      </c>
      <c r="C63" s="18" t="str">
        <f aca="false">VLOOKUP(B63,Company!B:E,3,0)</f>
        <v>رازی</v>
      </c>
      <c r="D63" s="18" t="str">
        <f aca="false">VLOOKUP(B63,Company!B:E,2,0)</f>
        <v>عصر</v>
      </c>
      <c r="E63" s="18" t="str">
        <f aca="false" t="array" ref="E63:E63">IFERROR(INDEX('Team Leads'!$B:$D, MATCH(C63,'Team Leads'!$A:$A,0), MATCH(D63,'Team Leads'!$B$1:$D$1,0)), "")</f>
        <v>امیررضا فلاح</v>
      </c>
      <c r="F63" s="18" t="n">
        <f aca="false">VLOOKUP(B63,'Operator Bugs'!A:P,16,0)</f>
        <v>0</v>
      </c>
      <c r="G63" s="18" t="n">
        <f aca="false">IFERROR(VLOOKUP(B63,'6-week1'!B:D,2,0),0)</f>
        <v>235</v>
      </c>
      <c r="H63" s="18" t="n">
        <f aca="false">IFERROR(VLOOKUP(B63,'6-week1'!B:D,3,0),"-")</f>
        <v>33</v>
      </c>
      <c r="I63" s="18" t="n">
        <f aca="false">IF(G63&gt;179,5,IF(G63&gt;149,4,IF(G63&gt;119,3,IF(G63&gt;89,2,IF(G63&gt;59,1,IF(G63&lt;=59,0))))))</f>
        <v>5</v>
      </c>
      <c r="J63" s="18" t="n">
        <f aca="false">IF(H63&gt;39,1,IF(H63&gt;32,2,IF(H63&gt;26,3,IF(H63&gt;20,4,IF(H63&lt;=20,5)))))</f>
        <v>2</v>
      </c>
      <c r="K63" s="15" t="n">
        <f aca="false">AVERAGE(I63:J63)</f>
        <v>3.5</v>
      </c>
      <c r="L63" s="19" t="n">
        <f aca="false">IFERROR(VLOOKUP(B63,'6-week2'!B:D,2,0),0)</f>
        <v>199</v>
      </c>
      <c r="M63" s="19" t="n">
        <f aca="false">IFERROR(VLOOKUP(B63,'6-week2'!B:D,3,0),0)</f>
        <v>28</v>
      </c>
      <c r="N63" s="19" t="n">
        <f aca="false">IF(L63&gt;179,5,IF(L63&gt;149,4,IF(L63&gt;119,3,IF(L63&gt;89,2,IF(L63&gt;59,1,IF(L63&lt;=59,0))))))</f>
        <v>5</v>
      </c>
      <c r="O63" s="19" t="n">
        <f aca="false">IF(M63&gt;39,1,IF(M63&gt;32,2,IF(M63&gt;26,3,IF(M63&gt;20,4,IF(M63&lt;=20,5)))))</f>
        <v>3</v>
      </c>
      <c r="P63" s="19" t="n">
        <f aca="false">AVERAGE(N63,O63)</f>
        <v>4</v>
      </c>
      <c r="Q63" s="19" t="n">
        <f aca="false">IFERROR(VLOOKUP(B63,'6-week1'!B:F,5,0),0)</f>
        <v>0</v>
      </c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</row>
    <row r="64" customFormat="false" ht="18" hidden="false" customHeight="true" outlineLevel="0" collapsed="false">
      <c r="A64" s="18" t="s">
        <v>110</v>
      </c>
      <c r="B64" s="18" t="str">
        <f aca="false">TRIM(A64)</f>
        <v>مبینا شکری</v>
      </c>
      <c r="C64" s="18" t="str">
        <f aca="false">VLOOKUP(B64,Company!B:E,3,0)</f>
        <v>تعاون</v>
      </c>
      <c r="D64" s="18" t="str">
        <f aca="false">VLOOKUP(B64,Company!B:E,2,0)</f>
        <v>عصر</v>
      </c>
      <c r="E64" s="18" t="str">
        <f aca="false" t="array" ref="E64:E64">IFERROR(INDEX('Team Leads'!$B:$D, MATCH(C64,'Team Leads'!$A:$A,0), MATCH(D64,'Team Leads'!$B$1:$D$1,0)), "")</f>
        <v>علیرضا زمانیان</v>
      </c>
      <c r="F64" s="18" t="n">
        <f aca="false">VLOOKUP(B64,'Operator Bugs'!A:P,16,0)</f>
        <v>0</v>
      </c>
      <c r="G64" s="18" t="n">
        <f aca="false">IFERROR(VLOOKUP(B64,'6-week1'!B:D,2,0),0)</f>
        <v>155</v>
      </c>
      <c r="H64" s="18" t="n">
        <f aca="false">IFERROR(VLOOKUP(B64,'6-week1'!B:D,3,0),"-")</f>
        <v>30</v>
      </c>
      <c r="I64" s="18" t="n">
        <f aca="false">IF(G64&gt;179,5,IF(G64&gt;149,4,IF(G64&gt;119,3,IF(G64&gt;89,2,IF(G64&gt;59,1,IF(G64&lt;=59,0))))))</f>
        <v>4</v>
      </c>
      <c r="J64" s="18" t="n">
        <f aca="false">IF(H64&gt;39,1,IF(H64&gt;32,2,IF(H64&gt;26,3,IF(H64&gt;20,4,IF(H64&lt;=20,5)))))</f>
        <v>3</v>
      </c>
      <c r="K64" s="15" t="n">
        <f aca="false">AVERAGE(I64:J64)</f>
        <v>3.5</v>
      </c>
      <c r="L64" s="19" t="n">
        <f aca="false">IFERROR(VLOOKUP(B64,'6-week2'!B:D,2,0),0)</f>
        <v>126</v>
      </c>
      <c r="M64" s="19" t="n">
        <f aca="false">IFERROR(VLOOKUP(B64,'6-week2'!B:D,3,0),0)</f>
        <v>27</v>
      </c>
      <c r="N64" s="19" t="n">
        <f aca="false">IF(L64&gt;179,5,IF(L64&gt;149,4,IF(L64&gt;119,3,IF(L64&gt;89,2,IF(L64&gt;59,1,IF(L64&lt;=59,0))))))</f>
        <v>3</v>
      </c>
      <c r="O64" s="19" t="n">
        <f aca="false">IF(M64&gt;39,1,IF(M64&gt;32,2,IF(M64&gt;26,3,IF(M64&gt;20,4,IF(M64&lt;=20,5)))))</f>
        <v>3</v>
      </c>
      <c r="P64" s="19" t="n">
        <f aca="false">AVERAGE(N64,O64)</f>
        <v>3</v>
      </c>
      <c r="Q64" s="19" t="n">
        <f aca="false">IFERROR(VLOOKUP(B64,'6-week1'!B:F,5,0),0)</f>
        <v>0</v>
      </c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</row>
    <row r="65" customFormat="false" ht="18" hidden="false" customHeight="true" outlineLevel="0" collapsed="false">
      <c r="A65" s="18" t="s">
        <v>111</v>
      </c>
      <c r="B65" s="18" t="str">
        <f aca="false">TRIM(A65)</f>
        <v>محمد افتخاری</v>
      </c>
      <c r="C65" s="18" t="str">
        <f aca="false">VLOOKUP(B65,Company!B:E,3,0)</f>
        <v>ایران</v>
      </c>
      <c r="D65" s="18" t="str">
        <f aca="false">VLOOKUP(B65,Company!B:E,2,0)</f>
        <v>عصر</v>
      </c>
      <c r="E65" s="18" t="str">
        <f aca="false" t="array" ref="E65:E65">IFERROR(INDEX('Team Leads'!$B:$D, MATCH(C65,'Team Leads'!$A:$A,0), MATCH(D65,'Team Leads'!$B$1:$D$1,0)), "")</f>
        <v>علیرضا زمانیان</v>
      </c>
      <c r="F65" s="18" t="n">
        <f aca="false">VLOOKUP(B65,'Operator Bugs'!A:P,16,0)</f>
        <v>0</v>
      </c>
      <c r="G65" s="18" t="n">
        <f aca="false">IFERROR(VLOOKUP(B65,'6-week1'!B:D,2,0),0)</f>
        <v>138</v>
      </c>
      <c r="H65" s="18" t="n">
        <f aca="false">IFERROR(VLOOKUP(B65,'6-week1'!B:D,3,0),"-")</f>
        <v>23</v>
      </c>
      <c r="I65" s="18" t="n">
        <f aca="false">IF(G65&gt;179,5,IF(G65&gt;149,4,IF(G65&gt;119,3,IF(G65&gt;89,2,IF(G65&gt;59,1,IF(G65&lt;=59,0))))))</f>
        <v>3</v>
      </c>
      <c r="J65" s="18" t="n">
        <f aca="false">IF(H65&gt;39,1,IF(H65&gt;32,2,IF(H65&gt;26,3,IF(H65&gt;20,4,IF(H65&lt;=20,5)))))</f>
        <v>4</v>
      </c>
      <c r="K65" s="15" t="n">
        <f aca="false">AVERAGE(I65:J65)</f>
        <v>3.5</v>
      </c>
      <c r="L65" s="19" t="n">
        <f aca="false">IFERROR(VLOOKUP(B65,'6-week2'!B:D,2,0),0)</f>
        <v>190</v>
      </c>
      <c r="M65" s="19" t="n">
        <f aca="false">IFERROR(VLOOKUP(B65,'6-week2'!B:D,3,0),0)</f>
        <v>34</v>
      </c>
      <c r="N65" s="19" t="n">
        <f aca="false">IF(L65&gt;179,5,IF(L65&gt;149,4,IF(L65&gt;119,3,IF(L65&gt;89,2,IF(L65&gt;59,1,IF(L65&lt;=59,0))))))</f>
        <v>5</v>
      </c>
      <c r="O65" s="19" t="n">
        <f aca="false">IF(M65&gt;39,1,IF(M65&gt;32,2,IF(M65&gt;26,3,IF(M65&gt;20,4,IF(M65&lt;=20,5)))))</f>
        <v>2</v>
      </c>
      <c r="P65" s="19" t="n">
        <f aca="false">AVERAGE(N65,O65)</f>
        <v>3.5</v>
      </c>
      <c r="Q65" s="19" t="n">
        <f aca="false">IFERROR(VLOOKUP(B65,'6-week1'!B:F,5,0),0)</f>
        <v>0</v>
      </c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</row>
    <row r="66" customFormat="false" ht="18" hidden="false" customHeight="true" outlineLevel="0" collapsed="false">
      <c r="A66" s="18" t="s">
        <v>112</v>
      </c>
      <c r="B66" s="18" t="str">
        <f aca="false">TRIM(A66)</f>
        <v>محمدمهدی پارسا</v>
      </c>
      <c r="C66" s="18" t="str">
        <f aca="false">VLOOKUP(B66,Company!B:E,3,0)</f>
        <v>سینا</v>
      </c>
      <c r="D66" s="18" t="str">
        <f aca="false">VLOOKUP(B66,Company!B:E,2,0)</f>
        <v>صبح</v>
      </c>
      <c r="E66" s="18" t="str">
        <f aca="false" t="array" ref="E66:E66">IFERROR(INDEX('Team Leads'!$B:$D, MATCH(C66,'Team Leads'!$A:$A,0), MATCH(D66,'Team Leads'!$B$1:$D$1,0)), "")</f>
        <v>فاطمه دهقانپور</v>
      </c>
      <c r="F66" s="18" t="n">
        <f aca="false">VLOOKUP(B66,'Operator Bugs'!A:P,16,0)</f>
        <v>0</v>
      </c>
      <c r="G66" s="18" t="n">
        <f aca="false">IFERROR(VLOOKUP(B66,'6-week1'!B:D,2,0),0)</f>
        <v>151</v>
      </c>
      <c r="H66" s="18" t="n">
        <f aca="false">IFERROR(VLOOKUP(B66,'6-week1'!B:D,3,0),"-")</f>
        <v>27</v>
      </c>
      <c r="I66" s="18" t="n">
        <f aca="false">IF(G66&gt;179,5,IF(G66&gt;149,4,IF(G66&gt;119,3,IF(G66&gt;89,2,IF(G66&gt;59,1,IF(G66&lt;=59,0))))))</f>
        <v>4</v>
      </c>
      <c r="J66" s="18" t="n">
        <f aca="false">IF(H66&gt;39,1,IF(H66&gt;32,2,IF(H66&gt;26,3,IF(H66&gt;20,4,IF(H66&lt;=20,5)))))</f>
        <v>3</v>
      </c>
      <c r="K66" s="15" t="n">
        <f aca="false">AVERAGE(I66:J66)</f>
        <v>3.5</v>
      </c>
      <c r="L66" s="19" t="n">
        <f aca="false">IFERROR(VLOOKUP(B66,'6-week2'!B:D,2,0),0)</f>
        <v>174</v>
      </c>
      <c r="M66" s="19" t="n">
        <f aca="false">IFERROR(VLOOKUP(B66,'6-week2'!B:D,3,0),0)</f>
        <v>26</v>
      </c>
      <c r="N66" s="19" t="n">
        <f aca="false">IF(L66&gt;179,5,IF(L66&gt;149,4,IF(L66&gt;119,3,IF(L66&gt;89,2,IF(L66&gt;59,1,IF(L66&lt;=59,0))))))</f>
        <v>4</v>
      </c>
      <c r="O66" s="19" t="n">
        <f aca="false">IF(M66&gt;39,1,IF(M66&gt;32,2,IF(M66&gt;26,3,IF(M66&gt;20,4,IF(M66&lt;=20,5)))))</f>
        <v>4</v>
      </c>
      <c r="P66" s="19" t="n">
        <f aca="false">AVERAGE(N66,O66)</f>
        <v>4</v>
      </c>
      <c r="Q66" s="19" t="n">
        <f aca="false">IFERROR(VLOOKUP(B66,'6-week1'!B:F,5,0),0)</f>
        <v>0</v>
      </c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</row>
    <row r="67" customFormat="false" ht="18" hidden="false" customHeight="true" outlineLevel="0" collapsed="false">
      <c r="A67" s="18" t="s">
        <v>113</v>
      </c>
      <c r="B67" s="18" t="str">
        <f aca="false">TRIM(A67)</f>
        <v>مرتضی احمدی</v>
      </c>
      <c r="C67" s="18" t="str">
        <f aca="false">VLOOKUP(B67,Company!B:E,3,0)</f>
        <v>رازی</v>
      </c>
      <c r="D67" s="18" t="str">
        <f aca="false">VLOOKUP(B67,Company!B:E,2,0)</f>
        <v>عصر</v>
      </c>
      <c r="E67" s="18" t="str">
        <f aca="false" t="array" ref="E67:E67">IFERROR(INDEX('Team Leads'!$B:$D, MATCH(C67,'Team Leads'!$A:$A,0), MATCH(D67,'Team Leads'!$B$1:$D$1,0)), "")</f>
        <v>امیررضا فلاح</v>
      </c>
      <c r="F67" s="18" t="n">
        <f aca="false">VLOOKUP(B67,'Operator Bugs'!A:P,16,0)</f>
        <v>0</v>
      </c>
      <c r="G67" s="18" t="n">
        <f aca="false">IFERROR(VLOOKUP(B67,'6-week1'!B:D,2,0),0)</f>
        <v>103</v>
      </c>
      <c r="H67" s="18" t="n">
        <f aca="false">IFERROR(VLOOKUP(B67,'6-week1'!B:D,3,0),"-")</f>
        <v>17</v>
      </c>
      <c r="I67" s="18" t="n">
        <f aca="false">IF(G67&gt;179,5,IF(G67&gt;149,4,IF(G67&gt;119,3,IF(G67&gt;89,2,IF(G67&gt;59,1,IF(G67&lt;=59,0))))))</f>
        <v>2</v>
      </c>
      <c r="J67" s="18" t="n">
        <f aca="false">IF(H67&gt;39,1,IF(H67&gt;32,2,IF(H67&gt;26,3,IF(H67&gt;20,4,IF(H67&lt;=20,5)))))</f>
        <v>5</v>
      </c>
      <c r="K67" s="15" t="n">
        <f aca="false">AVERAGE(I67:J67)</f>
        <v>3.5</v>
      </c>
      <c r="L67" s="19" t="n">
        <f aca="false">IFERROR(VLOOKUP(B67,'6-week2'!B:D,2,0),0)</f>
        <v>107</v>
      </c>
      <c r="M67" s="19" t="n">
        <f aca="false">IFERROR(VLOOKUP(B67,'6-week2'!B:D,3,0),0)</f>
        <v>23</v>
      </c>
      <c r="N67" s="19" t="n">
        <f aca="false">IF(L67&gt;179,5,IF(L67&gt;149,4,IF(L67&gt;119,3,IF(L67&gt;89,2,IF(L67&gt;59,1,IF(L67&lt;=59,0))))))</f>
        <v>2</v>
      </c>
      <c r="O67" s="19" t="n">
        <f aca="false">IF(M67&gt;39,1,IF(M67&gt;32,2,IF(M67&gt;26,3,IF(M67&gt;20,4,IF(M67&lt;=20,5)))))</f>
        <v>4</v>
      </c>
      <c r="P67" s="19" t="n">
        <f aca="false">AVERAGE(N67,O67)</f>
        <v>3</v>
      </c>
      <c r="Q67" s="19" t="n">
        <f aca="false">IFERROR(VLOOKUP(B67,'6-week1'!B:F,5,0),0)</f>
        <v>0</v>
      </c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</row>
    <row r="68" customFormat="false" ht="18" hidden="false" customHeight="true" outlineLevel="0" collapsed="false">
      <c r="A68" s="18" t="s">
        <v>114</v>
      </c>
      <c r="B68" s="18" t="str">
        <f aca="false">TRIM(A68)</f>
        <v>مرکز صدور خلیلی | حمید خلیلی</v>
      </c>
      <c r="C68" s="18" t="str">
        <f aca="false">VLOOKUP(B68,Company!B:E,3,0)</f>
        <v>سنتر</v>
      </c>
      <c r="D68" s="18" t="str">
        <f aca="false">VLOOKUP(B68,Company!B:E,2,0)</f>
        <v>صبح</v>
      </c>
      <c r="E68" s="18" t="str">
        <f aca="false" t="array" ref="E68:E68">IFERROR(INDEX('Team Leads'!$B:$D, MATCH(C68,'Team Leads'!$A:$A,0), MATCH(D68,'Team Leads'!$B$1:$D$1,0)), "")</f>
        <v>مریم ایزدی - شاهین شهریاری</v>
      </c>
      <c r="F68" s="18" t="n">
        <f aca="false">VLOOKUP(B68,'Operator Bugs'!A:P,16,0)</f>
        <v>0</v>
      </c>
      <c r="G68" s="18" t="n">
        <f aca="false">IFERROR(VLOOKUP(B68,'6-week1'!B:D,2,0),0)</f>
        <v>149</v>
      </c>
      <c r="H68" s="18" t="n">
        <f aca="false">IFERROR(VLOOKUP(B68,'6-week1'!B:D,3,0),"-")</f>
        <v>26</v>
      </c>
      <c r="I68" s="18" t="n">
        <f aca="false">IF(G68&gt;179,5,IF(G68&gt;149,4,IF(G68&gt;119,3,IF(G68&gt;89,2,IF(G68&gt;59,1,IF(G68&lt;=59,0))))))</f>
        <v>3</v>
      </c>
      <c r="J68" s="18" t="n">
        <f aca="false">IF(H68&gt;39,1,IF(H68&gt;32,2,IF(H68&gt;26,3,IF(H68&gt;20,4,IF(H68&lt;=20,5)))))</f>
        <v>4</v>
      </c>
      <c r="K68" s="15" t="n">
        <f aca="false">AVERAGE(I68:J68)</f>
        <v>3.5</v>
      </c>
      <c r="L68" s="19" t="n">
        <f aca="false">IFERROR(VLOOKUP(B68,'6-week2'!B:D,2,0),0)</f>
        <v>97</v>
      </c>
      <c r="M68" s="19" t="n">
        <f aca="false">IFERROR(VLOOKUP(B68,'6-week2'!B:D,3,0),0)</f>
        <v>24</v>
      </c>
      <c r="N68" s="19" t="n">
        <f aca="false">IF(L68&gt;179,5,IF(L68&gt;149,4,IF(L68&gt;119,3,IF(L68&gt;89,2,IF(L68&gt;59,1,IF(L68&lt;=59,0))))))</f>
        <v>2</v>
      </c>
      <c r="O68" s="19" t="n">
        <f aca="false">IF(M68&gt;39,1,IF(M68&gt;32,2,IF(M68&gt;26,3,IF(M68&gt;20,4,IF(M68&lt;=20,5)))))</f>
        <v>4</v>
      </c>
      <c r="P68" s="19" t="n">
        <f aca="false">AVERAGE(N68,O68)</f>
        <v>3</v>
      </c>
      <c r="Q68" s="19" t="n">
        <f aca="false">IFERROR(VLOOKUP(B68,'6-week1'!B:F,5,0),0)</f>
        <v>0</v>
      </c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</row>
    <row r="69" customFormat="false" ht="18" hidden="false" customHeight="true" outlineLevel="0" collapsed="false">
      <c r="A69" s="18" t="s">
        <v>115</v>
      </c>
      <c r="B69" s="18" t="str">
        <f aca="false">TRIM(A69)</f>
        <v>مرکز صدور شاه محمدی | شیوا شجاعی</v>
      </c>
      <c r="C69" s="18" t="str">
        <f aca="false">VLOOKUP(B69,Company!B:E,3,0)</f>
        <v>سنتر</v>
      </c>
      <c r="D69" s="18" t="str">
        <f aca="false">VLOOKUP(B69,Company!B:E,2,0)</f>
        <v>صبح</v>
      </c>
      <c r="E69" s="18" t="str">
        <f aca="false" t="array" ref="E69:E69">IFERROR(INDEX('Team Leads'!$B:$D, MATCH(C69,'Team Leads'!$A:$A,0), MATCH(D69,'Team Leads'!$B$1:$D$1,0)), "")</f>
        <v>مریم ایزدی - شاهین شهریاری</v>
      </c>
      <c r="F69" s="18" t="n">
        <f aca="false">VLOOKUP(B69,'Operator Bugs'!A:P,16,0)</f>
        <v>0</v>
      </c>
      <c r="G69" s="18" t="n">
        <f aca="false">IFERROR(VLOOKUP(B69,'6-week1'!B:D,2,0),0)</f>
        <v>123</v>
      </c>
      <c r="H69" s="18" t="n">
        <f aca="false">IFERROR(VLOOKUP(B69,'6-week1'!B:D,3,0),"-")</f>
        <v>24</v>
      </c>
      <c r="I69" s="18" t="n">
        <f aca="false">IF(G69&gt;179,5,IF(G69&gt;149,4,IF(G69&gt;119,3,IF(G69&gt;89,2,IF(G69&gt;59,1,IF(G69&lt;=59,0))))))</f>
        <v>3</v>
      </c>
      <c r="J69" s="18" t="n">
        <f aca="false">IF(H69&gt;39,1,IF(H69&gt;32,2,IF(H69&gt;26,3,IF(H69&gt;20,4,IF(H69&lt;=20,5)))))</f>
        <v>4</v>
      </c>
      <c r="K69" s="15" t="n">
        <f aca="false">AVERAGE(I69:J69)</f>
        <v>3.5</v>
      </c>
      <c r="L69" s="19" t="n">
        <f aca="false">IFERROR(VLOOKUP(B69,'6-week2'!B:D,2,0),0)</f>
        <v>93</v>
      </c>
      <c r="M69" s="19" t="n">
        <f aca="false">IFERROR(VLOOKUP(B69,'6-week2'!B:D,3,0),0)</f>
        <v>24</v>
      </c>
      <c r="N69" s="19" t="n">
        <f aca="false">IF(L69&gt;179,5,IF(L69&gt;149,4,IF(L69&gt;119,3,IF(L69&gt;89,2,IF(L69&gt;59,1,IF(L69&lt;=59,0))))))</f>
        <v>2</v>
      </c>
      <c r="O69" s="19" t="n">
        <f aca="false">IF(M69&gt;39,1,IF(M69&gt;32,2,IF(M69&gt;26,3,IF(M69&gt;20,4,IF(M69&lt;=20,5)))))</f>
        <v>4</v>
      </c>
      <c r="P69" s="19" t="n">
        <f aca="false">AVERAGE(N69,O69)</f>
        <v>3</v>
      </c>
      <c r="Q69" s="19" t="n">
        <f aca="false">IFERROR(VLOOKUP(B69,'6-week1'!B:F,5,0),0)</f>
        <v>0</v>
      </c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</row>
    <row r="70" customFormat="false" ht="18" hidden="false" customHeight="true" outlineLevel="0" collapsed="false">
      <c r="A70" s="18" t="s">
        <v>116</v>
      </c>
      <c r="B70" s="18" t="str">
        <f aca="false">TRIM(A70)</f>
        <v>مرکز صدور کاظمی | ملیکاحسینی</v>
      </c>
      <c r="C70" s="18" t="str">
        <f aca="false">VLOOKUP(B70,Company!B:E,3,0)</f>
        <v>سنتر</v>
      </c>
      <c r="D70" s="18" t="str">
        <f aca="false">VLOOKUP(B70,Company!B:E,2,0)</f>
        <v>صبح</v>
      </c>
      <c r="E70" s="18" t="str">
        <f aca="false" t="array" ref="E70:E70">IFERROR(INDEX('Team Leads'!$B:$D, MATCH(C70,'Team Leads'!$A:$A,0), MATCH(D70,'Team Leads'!$B$1:$D$1,0)), "")</f>
        <v>مریم ایزدی - شاهین شهریاری</v>
      </c>
      <c r="F70" s="18" t="n">
        <f aca="false">VLOOKUP(B70,'Operator Bugs'!A:P,16,0)</f>
        <v>0</v>
      </c>
      <c r="G70" s="18" t="n">
        <f aca="false">IFERROR(VLOOKUP(B70,'6-week1'!B:D,2,0),0)</f>
        <v>174</v>
      </c>
      <c r="H70" s="18" t="n">
        <f aca="false">IFERROR(VLOOKUP(B70,'6-week1'!B:D,3,0),"-")</f>
        <v>31</v>
      </c>
      <c r="I70" s="18" t="n">
        <f aca="false">IF(G70&gt;179,5,IF(G70&gt;149,4,IF(G70&gt;119,3,IF(G70&gt;89,2,IF(G70&gt;59,1,IF(G70&lt;=59,0))))))</f>
        <v>4</v>
      </c>
      <c r="J70" s="18" t="n">
        <f aca="false">IF(H70&gt;39,1,IF(H70&gt;32,2,IF(H70&gt;26,3,IF(H70&gt;20,4,IF(H70&lt;=20,5)))))</f>
        <v>3</v>
      </c>
      <c r="K70" s="15" t="n">
        <f aca="false">AVERAGE(I70:J70)</f>
        <v>3.5</v>
      </c>
      <c r="L70" s="19" t="n">
        <f aca="false">IFERROR(VLOOKUP(B70,'6-week2'!B:D,2,0),0)</f>
        <v>199</v>
      </c>
      <c r="M70" s="19" t="n">
        <f aca="false">IFERROR(VLOOKUP(B70,'6-week2'!B:D,3,0),0)</f>
        <v>11</v>
      </c>
      <c r="N70" s="19" t="n">
        <f aca="false">IF(L70&gt;179,5,IF(L70&gt;149,4,IF(L70&gt;119,3,IF(L70&gt;89,2,IF(L70&gt;59,1,IF(L70&lt;=59,0))))))</f>
        <v>5</v>
      </c>
      <c r="O70" s="19" t="n">
        <f aca="false">IF(M70&gt;39,1,IF(M70&gt;32,2,IF(M70&gt;26,3,IF(M70&gt;20,4,IF(M70&lt;=20,5)))))</f>
        <v>5</v>
      </c>
      <c r="P70" s="19" t="n">
        <f aca="false">AVERAGE(N70,O70)</f>
        <v>5</v>
      </c>
      <c r="Q70" s="19" t="n">
        <f aca="false">IFERROR(VLOOKUP(B70,'6-week1'!B:F,5,0),0)</f>
        <v>0</v>
      </c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</row>
    <row r="71" customFormat="false" ht="18" hidden="false" customHeight="true" outlineLevel="0" collapsed="false">
      <c r="A71" s="18" t="s">
        <v>117</v>
      </c>
      <c r="B71" s="18" t="str">
        <f aca="false">TRIM(A71)</f>
        <v>مرکز صدور هاشم زاده | محمد هاشم زاده</v>
      </c>
      <c r="C71" s="18" t="str">
        <f aca="false">VLOOKUP(B71,Company!B:E,3,0)</f>
        <v>سنتر</v>
      </c>
      <c r="D71" s="18" t="str">
        <f aca="false">VLOOKUP(B71,Company!B:E,2,0)</f>
        <v>صبح</v>
      </c>
      <c r="E71" s="18" t="str">
        <f aca="false" t="array" ref="E71:E71">IFERROR(INDEX('Team Leads'!$B:$D, MATCH(C71,'Team Leads'!$A:$A,0), MATCH(D71,'Team Leads'!$B$1:$D$1,0)), "")</f>
        <v>مریم ایزدی - شاهین شهریاری</v>
      </c>
      <c r="F71" s="18" t="n">
        <f aca="false">VLOOKUP(B71,'Operator Bugs'!A:P,16,0)</f>
        <v>0</v>
      </c>
      <c r="G71" s="18" t="n">
        <f aca="false">IFERROR(VLOOKUP(B71,'6-week1'!B:D,2,0),0)</f>
        <v>79</v>
      </c>
      <c r="H71" s="18" t="n">
        <f aca="false">IFERROR(VLOOKUP(B71,'6-week1'!B:D,3,0),"-")</f>
        <v>13</v>
      </c>
      <c r="I71" s="18" t="n">
        <f aca="false">IF(G71&gt;179,5,IF(G71&gt;149,4,IF(G71&gt;119,3,IF(G71&gt;89,2,IF(G71&gt;59,1,IF(G71&lt;=59,0))))))</f>
        <v>1</v>
      </c>
      <c r="J71" s="18" t="n">
        <f aca="false">IF(H71&gt;39,1,IF(H71&gt;32,2,IF(H71&gt;26,3,IF(H71&gt;20,4,IF(H71&lt;=20,5)))))</f>
        <v>5</v>
      </c>
      <c r="K71" s="15" t="n">
        <f aca="false">AVERAGE(I71:J71)</f>
        <v>3</v>
      </c>
      <c r="L71" s="19" t="n">
        <f aca="false">IFERROR(VLOOKUP(B71,'6-week2'!B:D,2,0),0)</f>
        <v>72</v>
      </c>
      <c r="M71" s="19" t="n">
        <f aca="false">IFERROR(VLOOKUP(B71,'6-week2'!B:D,3,0),0)</f>
        <v>12</v>
      </c>
      <c r="N71" s="19" t="n">
        <f aca="false">IF(L71&gt;179,5,IF(L71&gt;149,4,IF(L71&gt;119,3,IF(L71&gt;89,2,IF(L71&gt;59,1,IF(L71&lt;=59,0))))))</f>
        <v>1</v>
      </c>
      <c r="O71" s="19" t="n">
        <f aca="false">IF(M71&gt;39,1,IF(M71&gt;32,2,IF(M71&gt;26,3,IF(M71&gt;20,4,IF(M71&lt;=20,5)))))</f>
        <v>5</v>
      </c>
      <c r="P71" s="19" t="n">
        <f aca="false">AVERAGE(N71,O71)</f>
        <v>3</v>
      </c>
      <c r="Q71" s="19" t="n">
        <f aca="false">IFERROR(VLOOKUP(B71,'6-week1'!B:F,5,0),0)</f>
        <v>0</v>
      </c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</row>
    <row r="72" customFormat="false" ht="18" hidden="false" customHeight="true" outlineLevel="0" collapsed="false">
      <c r="A72" s="18" t="s">
        <v>118</v>
      </c>
      <c r="B72" s="18" t="str">
        <f aca="false">TRIM(A72)</f>
        <v>مصطفی نوری</v>
      </c>
      <c r="C72" s="18" t="str">
        <f aca="false">VLOOKUP(B72,Company!B:E,3,0)</f>
        <v>تعاون</v>
      </c>
      <c r="D72" s="18" t="str">
        <f aca="false">VLOOKUP(B72,Company!B:E,2,0)</f>
        <v>عصر</v>
      </c>
      <c r="E72" s="18" t="str">
        <f aca="false" t="array" ref="E72:E72">IFERROR(INDEX('Team Leads'!$B:$D, MATCH(C72,'Team Leads'!$A:$A,0), MATCH(D72,'Team Leads'!$B$1:$D$1,0)), "")</f>
        <v>علیرضا زمانیان</v>
      </c>
      <c r="F72" s="18" t="n">
        <f aca="false">VLOOKUP(B72,'Operator Bugs'!A:P,16,0)</f>
        <v>0</v>
      </c>
      <c r="G72" s="18" t="n">
        <f aca="false">IFERROR(VLOOKUP(B72,'6-week1'!B:D,2,0),0)</f>
        <v>149</v>
      </c>
      <c r="H72" s="18" t="n">
        <f aca="false">IFERROR(VLOOKUP(B72,'6-week1'!B:D,3,0),"-")</f>
        <v>23</v>
      </c>
      <c r="I72" s="18" t="n">
        <f aca="false">IF(G72&gt;179,5,IF(G72&gt;149,4,IF(G72&gt;119,3,IF(G72&gt;89,2,IF(G72&gt;59,1,IF(G72&lt;=59,0))))))</f>
        <v>3</v>
      </c>
      <c r="J72" s="18" t="n">
        <f aca="false">IF(H72&gt;39,1,IF(H72&gt;32,2,IF(H72&gt;26,3,IF(H72&gt;20,4,IF(H72&lt;=20,5)))))</f>
        <v>4</v>
      </c>
      <c r="K72" s="15" t="n">
        <f aca="false">AVERAGE(I72:J72)</f>
        <v>3.5</v>
      </c>
      <c r="L72" s="19" t="n">
        <f aca="false">IFERROR(VLOOKUP(B72,'6-week2'!B:D,2,0),0)</f>
        <v>180</v>
      </c>
      <c r="M72" s="19" t="n">
        <f aca="false">IFERROR(VLOOKUP(B72,'6-week2'!B:D,3,0),0)</f>
        <v>19</v>
      </c>
      <c r="N72" s="19" t="n">
        <f aca="false">IF(L72&gt;179,5,IF(L72&gt;149,4,IF(L72&gt;119,3,IF(L72&gt;89,2,IF(L72&gt;59,1,IF(L72&lt;=59,0))))))</f>
        <v>5</v>
      </c>
      <c r="O72" s="19" t="n">
        <f aca="false">IF(M72&gt;39,1,IF(M72&gt;32,2,IF(M72&gt;26,3,IF(M72&gt;20,4,IF(M72&lt;=20,5)))))</f>
        <v>5</v>
      </c>
      <c r="P72" s="19" t="n">
        <f aca="false">AVERAGE(N72,O72)</f>
        <v>5</v>
      </c>
      <c r="Q72" s="19" t="n">
        <f aca="false">IFERROR(VLOOKUP(B72,'6-week1'!B:F,5,0),0)</f>
        <v>0</v>
      </c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</row>
    <row r="73" customFormat="false" ht="18" hidden="false" customHeight="true" outlineLevel="0" collapsed="false">
      <c r="A73" s="18" t="s">
        <v>119</v>
      </c>
      <c r="B73" s="18" t="str">
        <f aca="false">TRIM(A73)</f>
        <v>معصومه صمدی</v>
      </c>
      <c r="C73" s="18" t="str">
        <f aca="false">VLOOKUP(B73,Company!B:E,3,0)</f>
        <v>تعاون</v>
      </c>
      <c r="D73" s="18" t="str">
        <f aca="false">VLOOKUP(B73,Company!B:E,2,0)</f>
        <v>عصر</v>
      </c>
      <c r="E73" s="18" t="str">
        <f aca="false" t="array" ref="E73:E73">IFERROR(INDEX('Team Leads'!$B:$D, MATCH(C73,'Team Leads'!$A:$A,0), MATCH(D73,'Team Leads'!$B$1:$D$1,0)), "")</f>
        <v>علیرضا زمانیان</v>
      </c>
      <c r="F73" s="18" t="n">
        <f aca="false">VLOOKUP(B73,'Operator Bugs'!A:P,16,0)</f>
        <v>0</v>
      </c>
      <c r="G73" s="18" t="n">
        <f aca="false">IFERROR(VLOOKUP(B73,'6-week1'!B:D,2,0),0)</f>
        <v>147</v>
      </c>
      <c r="H73" s="18" t="n">
        <f aca="false">IFERROR(VLOOKUP(B73,'6-week1'!B:D,3,0),"-")</f>
        <v>25</v>
      </c>
      <c r="I73" s="18" t="n">
        <f aca="false">IF(G73&gt;179,5,IF(G73&gt;149,4,IF(G73&gt;119,3,IF(G73&gt;89,2,IF(G73&gt;59,1,IF(G73&lt;=59,0))))))</f>
        <v>3</v>
      </c>
      <c r="J73" s="18" t="n">
        <f aca="false">IF(H73&gt;39,1,IF(H73&gt;32,2,IF(H73&gt;26,3,IF(H73&gt;20,4,IF(H73&lt;=20,5)))))</f>
        <v>4</v>
      </c>
      <c r="K73" s="15" t="n">
        <f aca="false">AVERAGE(I73:J73)</f>
        <v>3.5</v>
      </c>
      <c r="L73" s="19" t="n">
        <f aca="false">IFERROR(VLOOKUP(B73,'6-week2'!B:D,2,0),0)</f>
        <v>121</v>
      </c>
      <c r="M73" s="19" t="n">
        <f aca="false">IFERROR(VLOOKUP(B73,'6-week2'!B:D,3,0),0)</f>
        <v>27</v>
      </c>
      <c r="N73" s="19" t="n">
        <f aca="false">IF(L73&gt;179,5,IF(L73&gt;149,4,IF(L73&gt;119,3,IF(L73&gt;89,2,IF(L73&gt;59,1,IF(L73&lt;=59,0))))))</f>
        <v>3</v>
      </c>
      <c r="O73" s="19" t="n">
        <f aca="false">IF(M73&gt;39,1,IF(M73&gt;32,2,IF(M73&gt;26,3,IF(M73&gt;20,4,IF(M73&lt;=20,5)))))</f>
        <v>3</v>
      </c>
      <c r="P73" s="19" t="n">
        <f aca="false">AVERAGE(N73,O73)</f>
        <v>3</v>
      </c>
      <c r="Q73" s="19" t="n">
        <f aca="false">IFERROR(VLOOKUP(B73,'6-week1'!B:F,5,0),0)</f>
        <v>0</v>
      </c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</row>
    <row r="74" customFormat="false" ht="18" hidden="false" customHeight="true" outlineLevel="0" collapsed="false">
      <c r="A74" s="18" t="s">
        <v>120</v>
      </c>
      <c r="B74" s="18" t="str">
        <f aca="false">TRIM(A74)</f>
        <v>ملیکا جان محمدی</v>
      </c>
      <c r="C74" s="18" t="str">
        <f aca="false">VLOOKUP(B74,Company!B:E,3,0)</f>
        <v>سینا</v>
      </c>
      <c r="D74" s="18" t="str">
        <f aca="false">VLOOKUP(B74,Company!B:E,2,0)</f>
        <v>عصر</v>
      </c>
      <c r="E74" s="18" t="str">
        <f aca="false" t="array" ref="E74:E74">IFERROR(INDEX('Team Leads'!$B:$D, MATCH(C74,'Team Leads'!$A:$A,0), MATCH(D74,'Team Leads'!$B$1:$D$1,0)), "")</f>
        <v>مهدی ایازی</v>
      </c>
      <c r="F74" s="18" t="n">
        <f aca="false">VLOOKUP(B74,'Operator Bugs'!A:P,16,0)</f>
        <v>0</v>
      </c>
      <c r="G74" s="18" t="n">
        <f aca="false">IFERROR(VLOOKUP(B74,'6-week1'!B:D,2,0),0)</f>
        <v>226</v>
      </c>
      <c r="H74" s="18" t="n">
        <f aca="false">IFERROR(VLOOKUP(B74,'6-week1'!B:D,3,0),"-")</f>
        <v>35</v>
      </c>
      <c r="I74" s="18" t="n">
        <f aca="false">IF(G74&gt;179,5,IF(G74&gt;149,4,IF(G74&gt;119,3,IF(G74&gt;89,2,IF(G74&gt;59,1,IF(G74&lt;=59,0))))))</f>
        <v>5</v>
      </c>
      <c r="J74" s="18" t="n">
        <f aca="false">IF(H74&gt;39,1,IF(H74&gt;32,2,IF(H74&gt;26,3,IF(H74&gt;20,4,IF(H74&lt;=20,5)))))</f>
        <v>2</v>
      </c>
      <c r="K74" s="15" t="n">
        <f aca="false">AVERAGE(I74:J74)</f>
        <v>3.5</v>
      </c>
      <c r="L74" s="19" t="n">
        <f aca="false">IFERROR(VLOOKUP(B74,'6-week2'!B:D,2,0),0)</f>
        <v>255</v>
      </c>
      <c r="M74" s="19" t="n">
        <f aca="false">IFERROR(VLOOKUP(B74,'6-week2'!B:D,3,0),0)</f>
        <v>24</v>
      </c>
      <c r="N74" s="19" t="n">
        <f aca="false">IF(L74&gt;179,5,IF(L74&gt;149,4,IF(L74&gt;119,3,IF(L74&gt;89,2,IF(L74&gt;59,1,IF(L74&lt;=59,0))))))</f>
        <v>5</v>
      </c>
      <c r="O74" s="19" t="n">
        <f aca="false">IF(M74&gt;39,1,IF(M74&gt;32,2,IF(M74&gt;26,3,IF(M74&gt;20,4,IF(M74&lt;=20,5)))))</f>
        <v>4</v>
      </c>
      <c r="P74" s="19" t="n">
        <f aca="false">AVERAGE(N74,O74)</f>
        <v>4.5</v>
      </c>
      <c r="Q74" s="19" t="n">
        <f aca="false">IFERROR(VLOOKUP(B74,'6-week1'!B:F,5,0),0)</f>
        <v>0</v>
      </c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</row>
    <row r="75" customFormat="false" ht="18" hidden="false" customHeight="true" outlineLevel="0" collapsed="false">
      <c r="A75" s="18" t="s">
        <v>121</v>
      </c>
      <c r="B75" s="18" t="str">
        <f aca="false">TRIM(A75)</f>
        <v>مهسا سحری</v>
      </c>
      <c r="C75" s="18" t="str">
        <f aca="false">VLOOKUP(B75,Company!B:E,3,0)</f>
        <v>سینا</v>
      </c>
      <c r="D75" s="18" t="str">
        <f aca="false">VLOOKUP(B75,Company!B:E,2,0)</f>
        <v>صبح</v>
      </c>
      <c r="E75" s="18" t="str">
        <f aca="false" t="array" ref="E75:E75">IFERROR(INDEX('Team Leads'!$B:$D, MATCH(C75,'Team Leads'!$A:$A,0), MATCH(D75,'Team Leads'!$B$1:$D$1,0)), "")</f>
        <v>فاطمه دهقانپور</v>
      </c>
      <c r="F75" s="18" t="n">
        <f aca="false">VLOOKUP(B75,'Operator Bugs'!A:P,16,0)</f>
        <v>0</v>
      </c>
      <c r="G75" s="18" t="n">
        <f aca="false">IFERROR(VLOOKUP(B75,'6-week1'!B:D,2,0),0)</f>
        <v>134</v>
      </c>
      <c r="H75" s="18" t="n">
        <f aca="false">IFERROR(VLOOKUP(B75,'6-week1'!B:D,3,0),"-")</f>
        <v>26</v>
      </c>
      <c r="I75" s="18" t="n">
        <f aca="false">IF(G75&gt;179,5,IF(G75&gt;149,4,IF(G75&gt;119,3,IF(G75&gt;89,2,IF(G75&gt;59,1,IF(G75&lt;=59,0))))))</f>
        <v>3</v>
      </c>
      <c r="J75" s="18" t="n">
        <f aca="false">IF(H75&gt;39,1,IF(H75&gt;32,2,IF(H75&gt;26,3,IF(H75&gt;20,4,IF(H75&lt;=20,5)))))</f>
        <v>4</v>
      </c>
      <c r="K75" s="15" t="n">
        <f aca="false">AVERAGE(I75:J75)</f>
        <v>3.5</v>
      </c>
      <c r="L75" s="19" t="n">
        <f aca="false">IFERROR(VLOOKUP(B75,'6-week2'!B:D,2,0),0)</f>
        <v>149</v>
      </c>
      <c r="M75" s="19" t="n">
        <f aca="false">IFERROR(VLOOKUP(B75,'6-week2'!B:D,3,0),0)</f>
        <v>33</v>
      </c>
      <c r="N75" s="19" t="n">
        <f aca="false">IF(L75&gt;179,5,IF(L75&gt;149,4,IF(L75&gt;119,3,IF(L75&gt;89,2,IF(L75&gt;59,1,IF(L75&lt;=59,0))))))</f>
        <v>3</v>
      </c>
      <c r="O75" s="19" t="n">
        <f aca="false">IF(M75&gt;39,1,IF(M75&gt;32,2,IF(M75&gt;26,3,IF(M75&gt;20,4,IF(M75&lt;=20,5)))))</f>
        <v>2</v>
      </c>
      <c r="P75" s="19" t="n">
        <f aca="false">AVERAGE(N75,O75)</f>
        <v>2.5</v>
      </c>
      <c r="Q75" s="19" t="n">
        <f aca="false">IFERROR(VLOOKUP(B75,'6-week1'!B:F,5,0),0)</f>
        <v>0</v>
      </c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</row>
    <row r="76" customFormat="false" ht="18" hidden="false" customHeight="true" outlineLevel="0" collapsed="false">
      <c r="A76" s="18" t="s">
        <v>122</v>
      </c>
      <c r="B76" s="18" t="str">
        <f aca="false">TRIM(A76)</f>
        <v>هانیه همتی</v>
      </c>
      <c r="C76" s="18" t="str">
        <f aca="false">VLOOKUP(B76,Company!B:E,3,0)</f>
        <v>تعاون</v>
      </c>
      <c r="D76" s="18" t="str">
        <f aca="false">VLOOKUP(B76,Company!B:E,2,0)</f>
        <v>صبح</v>
      </c>
      <c r="E76" s="18" t="str">
        <f aca="false" t="array" ref="E76:E76">IFERROR(INDEX('Team Leads'!$B:$D, MATCH(C76,'Team Leads'!$A:$A,0), MATCH(D76,'Team Leads'!$B$1:$D$1,0)), "")</f>
        <v>مهدی فراهانی</v>
      </c>
      <c r="F76" s="18" t="n">
        <f aca="false">VLOOKUP(B76,'Operator Bugs'!A:P,16,0)</f>
        <v>0</v>
      </c>
      <c r="G76" s="18" t="n">
        <f aca="false">IFERROR(VLOOKUP(B76,'6-week1'!B:D,2,0),0)</f>
        <v>138</v>
      </c>
      <c r="H76" s="18" t="n">
        <f aca="false">IFERROR(VLOOKUP(B76,'6-week1'!B:D,3,0),"-")</f>
        <v>23</v>
      </c>
      <c r="I76" s="18" t="n">
        <f aca="false">IF(G76&gt;179,5,IF(G76&gt;149,4,IF(G76&gt;119,3,IF(G76&gt;89,2,IF(G76&gt;59,1,IF(G76&lt;=59,0))))))</f>
        <v>3</v>
      </c>
      <c r="J76" s="18" t="n">
        <f aca="false">IF(H76&gt;39,1,IF(H76&gt;32,2,IF(H76&gt;26,3,IF(H76&gt;20,4,IF(H76&lt;=20,5)))))</f>
        <v>4</v>
      </c>
      <c r="K76" s="15" t="n">
        <f aca="false">AVERAGE(I76:J76)</f>
        <v>3.5</v>
      </c>
      <c r="L76" s="19" t="n">
        <f aca="false">IFERROR(VLOOKUP(B76,'6-week2'!B:D,2,0),0)</f>
        <v>119</v>
      </c>
      <c r="M76" s="19" t="n">
        <f aca="false">IFERROR(VLOOKUP(B76,'6-week2'!B:D,3,0),0)</f>
        <v>32</v>
      </c>
      <c r="N76" s="19" t="n">
        <f aca="false">IF(L76&gt;179,5,IF(L76&gt;149,4,IF(L76&gt;119,3,IF(L76&gt;89,2,IF(L76&gt;59,1,IF(L76&lt;=59,0))))))</f>
        <v>2</v>
      </c>
      <c r="O76" s="19" t="n">
        <f aca="false">IF(M76&gt;39,1,IF(M76&gt;32,2,IF(M76&gt;26,3,IF(M76&gt;20,4,IF(M76&lt;=20,5)))))</f>
        <v>3</v>
      </c>
      <c r="P76" s="19" t="n">
        <f aca="false">AVERAGE(N76,O76)</f>
        <v>2.5</v>
      </c>
      <c r="Q76" s="19" t="n">
        <f aca="false">IFERROR(VLOOKUP(B76,'6-week1'!B:F,5,0),0)</f>
        <v>0</v>
      </c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</row>
    <row r="77" customFormat="false" ht="18" hidden="false" customHeight="true" outlineLevel="0" collapsed="false">
      <c r="A77" s="15"/>
      <c r="B77" s="15" t="s">
        <v>115</v>
      </c>
      <c r="C77" s="18" t="str">
        <f aca="false">VLOOKUP(B77,Company!B:E,3,0)</f>
        <v>سنتر</v>
      </c>
      <c r="D77" s="18" t="str">
        <f aca="false">VLOOKUP(B77,Company!B:E,2,0)</f>
        <v>صبح</v>
      </c>
      <c r="E77" s="18" t="str">
        <f aca="false" t="array" ref="E77:E77">IFERROR(INDEX('Team Leads'!$B:$D, MATCH(C77,'Team Leads'!$A:$A,0), MATCH(D77,'Team Leads'!$B$1:$D$1,0)), "")</f>
        <v>مریم ایزدی - شاهین شهریاری</v>
      </c>
      <c r="F77" s="18" t="n">
        <f aca="false">VLOOKUP(B77,'Operator Bugs'!A:P,16,0)</f>
        <v>0</v>
      </c>
      <c r="G77" s="18" t="n">
        <f aca="false">IFERROR(VLOOKUP(B77,'6-week1'!B:D,2,0),0)</f>
        <v>123</v>
      </c>
      <c r="H77" s="18" t="n">
        <f aca="false">IFERROR(VLOOKUP(B77,'6-week1'!B:D,3,0),"-")</f>
        <v>24</v>
      </c>
      <c r="I77" s="18" t="n">
        <f aca="false">IF(G77&gt;179,5,IF(G77&gt;149,4,IF(G77&gt;119,3,IF(G77&gt;89,2,IF(G77&gt;59,1,IF(G77&lt;=59,0))))))</f>
        <v>3</v>
      </c>
      <c r="J77" s="18" t="n">
        <f aca="false">IF(H77&gt;39,1,IF(H77&gt;32,2,IF(H77&gt;26,3,IF(H77&gt;20,4,IF(H77&lt;=20,5)))))</f>
        <v>4</v>
      </c>
      <c r="K77" s="15" t="n">
        <f aca="false">AVERAGE(I77:J77)</f>
        <v>3.5</v>
      </c>
      <c r="L77" s="19" t="n">
        <f aca="false">IFERROR(VLOOKUP(B77,'6-week2'!B:D,2,0),0)</f>
        <v>93</v>
      </c>
      <c r="M77" s="19" t="n">
        <f aca="false">IFERROR(VLOOKUP(B77,'6-week2'!B:D,3,0),0)</f>
        <v>24</v>
      </c>
      <c r="N77" s="19" t="n">
        <f aca="false">IF(L77&gt;179,5,IF(L77&gt;149,4,IF(L77&gt;119,3,IF(L77&gt;89,2,IF(L77&gt;59,1,IF(L77&lt;=59,0))))))</f>
        <v>2</v>
      </c>
      <c r="O77" s="19" t="n">
        <f aca="false">IF(M77&gt;39,1,IF(M77&gt;32,2,IF(M77&gt;26,3,IF(M77&gt;20,4,IF(M77&lt;=20,5)))))</f>
        <v>4</v>
      </c>
      <c r="P77" s="19" t="n">
        <f aca="false">AVERAGE(N77,O77)</f>
        <v>3</v>
      </c>
      <c r="Q77" s="19" t="n">
        <f aca="false">IFERROR(VLOOKUP(B77,'6-week1'!B:F,5,0),0)</f>
        <v>0</v>
      </c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</row>
    <row r="78" customFormat="false" ht="18" hidden="false" customHeight="true" outlineLevel="0" collapsed="false">
      <c r="A78" s="18" t="s">
        <v>123</v>
      </c>
      <c r="B78" s="18" t="str">
        <f aca="false">TRIM(A78)</f>
        <v>آتنا محبی</v>
      </c>
      <c r="C78" s="18" t="str">
        <f aca="false">VLOOKUP(B78,Company!B:E,3,0)</f>
        <v>ایران</v>
      </c>
      <c r="D78" s="18" t="str">
        <f aca="false">VLOOKUP(B78,Company!B:E,2,0)</f>
        <v>عصر</v>
      </c>
      <c r="E78" s="18" t="str">
        <f aca="false" t="array" ref="E78:E78">IFERROR(INDEX('Team Leads'!$B:$D, MATCH(C78,'Team Leads'!$A:$A,0), MATCH(D78,'Team Leads'!$B$1:$D$1,0)), "")</f>
        <v>علیرضا زمانیان</v>
      </c>
      <c r="F78" s="18" t="n">
        <f aca="false">VLOOKUP(B78,'Operator Bugs'!A:P,16,0)</f>
        <v>0</v>
      </c>
      <c r="G78" s="18" t="n">
        <f aca="false">IFERROR(VLOOKUP(B78,'6-week1'!B:D,2,0),0)</f>
        <v>147</v>
      </c>
      <c r="H78" s="18" t="n">
        <f aca="false">IFERROR(VLOOKUP(B78,'6-week1'!B:D,3,0),"-")</f>
        <v>32</v>
      </c>
      <c r="I78" s="18" t="n">
        <f aca="false">IF(G78&gt;179,5,IF(G78&gt;149,4,IF(G78&gt;119,3,IF(G78&gt;89,2,IF(G78&gt;59,1,IF(G78&lt;=59,0))))))</f>
        <v>3</v>
      </c>
      <c r="J78" s="18" t="n">
        <f aca="false">IF(H78&gt;39,1,IF(H78&gt;32,2,IF(H78&gt;26,3,IF(H78&gt;20,4,IF(H78&lt;=20,5)))))</f>
        <v>3</v>
      </c>
      <c r="K78" s="15" t="n">
        <f aca="false">AVERAGE(I78:J78)</f>
        <v>3</v>
      </c>
      <c r="L78" s="19" t="n">
        <f aca="false">IFERROR(VLOOKUP(B78,'6-week2'!B:D,2,0),0)</f>
        <v>175</v>
      </c>
      <c r="M78" s="19" t="n">
        <f aca="false">IFERROR(VLOOKUP(B78,'6-week2'!B:D,3,0),0)</f>
        <v>31</v>
      </c>
      <c r="N78" s="19" t="n">
        <f aca="false">IF(L78&gt;179,5,IF(L78&gt;149,4,IF(L78&gt;119,3,IF(L78&gt;89,2,IF(L78&gt;59,1,IF(L78&lt;=59,0))))))</f>
        <v>4</v>
      </c>
      <c r="O78" s="19" t="n">
        <f aca="false">IF(M78&gt;39,1,IF(M78&gt;32,2,IF(M78&gt;26,3,IF(M78&gt;20,4,IF(M78&lt;=20,5)))))</f>
        <v>3</v>
      </c>
      <c r="P78" s="19" t="n">
        <f aca="false">AVERAGE(N78,O78)</f>
        <v>3.5</v>
      </c>
      <c r="Q78" s="19" t="n">
        <f aca="false">IFERROR(VLOOKUP(B78,'6-week1'!B:F,5,0),0)</f>
        <v>0</v>
      </c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</row>
    <row r="79" customFormat="false" ht="18" hidden="false" customHeight="true" outlineLevel="0" collapsed="false">
      <c r="A79" s="18" t="s">
        <v>124</v>
      </c>
      <c r="B79" s="18" t="str">
        <f aca="false">TRIM(A79)</f>
        <v>آرین بحیرایی</v>
      </c>
      <c r="C79" s="18" t="str">
        <f aca="false">VLOOKUP(B79,Company!B:E,3,0)</f>
        <v>تعاون</v>
      </c>
      <c r="D79" s="18" t="str">
        <f aca="false">VLOOKUP(B79,Company!B:E,2,0)</f>
        <v>صبح</v>
      </c>
      <c r="E79" s="18" t="str">
        <f aca="false" t="array" ref="E79:E79">IFERROR(INDEX('Team Leads'!$B:$D, MATCH(C79,'Team Leads'!$A:$A,0), MATCH(D79,'Team Leads'!$B$1:$D$1,0)), "")</f>
        <v>مهدی فراهانی</v>
      </c>
      <c r="F79" s="18" t="n">
        <f aca="false">VLOOKUP(B79,'Operator Bugs'!A:P,16,0)</f>
        <v>0</v>
      </c>
      <c r="G79" s="18" t="n">
        <f aca="false">IFERROR(VLOOKUP(B79,'6-week1'!B:D,2,0),0)</f>
        <v>68</v>
      </c>
      <c r="H79" s="18" t="n">
        <f aca="false">IFERROR(VLOOKUP(B79,'6-week1'!B:D,3,0),"-")</f>
        <v>18</v>
      </c>
      <c r="I79" s="18" t="n">
        <f aca="false">IF(G79&gt;179,5,IF(G79&gt;149,4,IF(G79&gt;119,3,IF(G79&gt;89,2,IF(G79&gt;59,1,IF(G79&lt;=59,0))))))</f>
        <v>1</v>
      </c>
      <c r="J79" s="18" t="n">
        <f aca="false">IF(H79&gt;39,1,IF(H79&gt;32,2,IF(H79&gt;26,3,IF(H79&gt;20,4,IF(H79&lt;=20,5)))))</f>
        <v>5</v>
      </c>
      <c r="K79" s="15" t="n">
        <f aca="false">AVERAGE(I79:J79)</f>
        <v>3</v>
      </c>
      <c r="L79" s="19" t="n">
        <f aca="false">IFERROR(VLOOKUP(B79,'6-week2'!B:D,2,0),0)</f>
        <v>10</v>
      </c>
      <c r="M79" s="19" t="n">
        <f aca="false">IFERROR(VLOOKUP(B79,'6-week2'!B:D,3,0),0)</f>
        <v>15</v>
      </c>
      <c r="N79" s="19" t="n">
        <f aca="false">IF(L79&gt;179,5,IF(L79&gt;149,4,IF(L79&gt;119,3,IF(L79&gt;89,2,IF(L79&gt;59,1,IF(L79&lt;=59,0))))))</f>
        <v>0</v>
      </c>
      <c r="O79" s="19" t="n">
        <f aca="false">IF(M79&gt;39,1,IF(M79&gt;32,2,IF(M79&gt;26,3,IF(M79&gt;20,4,IF(M79&lt;=20,5)))))</f>
        <v>5</v>
      </c>
      <c r="P79" s="19" t="n">
        <f aca="false">AVERAGE(N79,O79)</f>
        <v>2.5</v>
      </c>
      <c r="Q79" s="19" t="n">
        <f aca="false">IFERROR(VLOOKUP(B79,'6-week1'!B:F,5,0),0)</f>
        <v>0</v>
      </c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</row>
    <row r="80" customFormat="false" ht="18" hidden="false" customHeight="true" outlineLevel="0" collapsed="false">
      <c r="A80" s="18" t="s">
        <v>125</v>
      </c>
      <c r="B80" s="18" t="str">
        <f aca="false">TRIM(A80)</f>
        <v>آمنه رنجبری</v>
      </c>
      <c r="C80" s="18" t="str">
        <f aca="false">VLOOKUP(B80,Company!B:E,3,0)</f>
        <v>ایران</v>
      </c>
      <c r="D80" s="18" t="str">
        <f aca="false">VLOOKUP(B80,Company!B:E,2,0)</f>
        <v>عصر</v>
      </c>
      <c r="E80" s="18" t="str">
        <f aca="false" t="array" ref="E80:E80">IFERROR(INDEX('Team Leads'!$B:$D, MATCH(C80,'Team Leads'!$A:$A,0), MATCH(D80,'Team Leads'!$B$1:$D$1,0)), "")</f>
        <v>علیرضا زمانیان</v>
      </c>
      <c r="F80" s="18" t="n">
        <f aca="false">VLOOKUP(B80,'Operator Bugs'!A:P,16,0)</f>
        <v>0</v>
      </c>
      <c r="G80" s="18" t="n">
        <f aca="false">IFERROR(VLOOKUP(B80,'6-week1'!B:D,2,0),0)</f>
        <v>92</v>
      </c>
      <c r="H80" s="18" t="n">
        <f aca="false">IFERROR(VLOOKUP(B80,'6-week1'!B:D,3,0),"-")</f>
        <v>26</v>
      </c>
      <c r="I80" s="18" t="n">
        <f aca="false">IF(G80&gt;179,5,IF(G80&gt;149,4,IF(G80&gt;119,3,IF(G80&gt;89,2,IF(G80&gt;59,1,IF(G80&lt;=59,0))))))</f>
        <v>2</v>
      </c>
      <c r="J80" s="18" t="n">
        <f aca="false">IF(H80&gt;39,1,IF(H80&gt;32,2,IF(H80&gt;26,3,IF(H80&gt;20,4,IF(H80&lt;=20,5)))))</f>
        <v>4</v>
      </c>
      <c r="K80" s="15" t="n">
        <f aca="false">AVERAGE(I80:J80)</f>
        <v>3</v>
      </c>
      <c r="L80" s="19" t="n">
        <f aca="false">IFERROR(VLOOKUP(B80,'6-week2'!B:D,2,0),0)</f>
        <v>100</v>
      </c>
      <c r="M80" s="19" t="n">
        <f aca="false">IFERROR(VLOOKUP(B80,'6-week2'!B:D,3,0),0)</f>
        <v>23</v>
      </c>
      <c r="N80" s="19" t="n">
        <f aca="false">IF(L80&gt;179,5,IF(L80&gt;149,4,IF(L80&gt;119,3,IF(L80&gt;89,2,IF(L80&gt;59,1,IF(L80&lt;=59,0))))))</f>
        <v>2</v>
      </c>
      <c r="O80" s="19" t="n">
        <f aca="false">IF(M80&gt;39,1,IF(M80&gt;32,2,IF(M80&gt;26,3,IF(M80&gt;20,4,IF(M80&lt;=20,5)))))</f>
        <v>4</v>
      </c>
      <c r="P80" s="19" t="n">
        <f aca="false">AVERAGE(N80,O80)</f>
        <v>3</v>
      </c>
      <c r="Q80" s="19" t="n">
        <f aca="false">IFERROR(VLOOKUP(B80,'6-week1'!B:F,5,0),0)</f>
        <v>0</v>
      </c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</row>
    <row r="81" customFormat="false" ht="18" hidden="false" customHeight="true" outlineLevel="0" collapsed="false">
      <c r="A81" s="18" t="s">
        <v>126</v>
      </c>
      <c r="B81" s="18" t="str">
        <f aca="false">TRIM(A81)</f>
        <v>تینا مختاری</v>
      </c>
      <c r="C81" s="18" t="str">
        <f aca="false">VLOOKUP(B81,Company!B:E,3,0)</f>
        <v>رازی</v>
      </c>
      <c r="D81" s="18" t="str">
        <f aca="false">VLOOKUP(B81,Company!B:E,2,0)</f>
        <v>عصر</v>
      </c>
      <c r="E81" s="18" t="str">
        <f aca="false" t="array" ref="E81:E81">IFERROR(INDEX('Team Leads'!$B:$D, MATCH(C81,'Team Leads'!$A:$A,0), MATCH(D81,'Team Leads'!$B$1:$D$1,0)), "")</f>
        <v>امیررضا فلاح</v>
      </c>
      <c r="F81" s="18" t="n">
        <f aca="false">VLOOKUP(B81,'Operator Bugs'!A:P,16,0)</f>
        <v>0</v>
      </c>
      <c r="G81" s="18" t="n">
        <f aca="false">IFERROR(VLOOKUP(B81,'6-week1'!B:D,2,0),0)</f>
        <v>191</v>
      </c>
      <c r="H81" s="18" t="n">
        <f aca="false">IFERROR(VLOOKUP(B81,'6-week1'!B:D,3,0),"-")</f>
        <v>56</v>
      </c>
      <c r="I81" s="18" t="n">
        <f aca="false">IF(G81&gt;179,5,IF(G81&gt;149,4,IF(G81&gt;119,3,IF(G81&gt;89,2,IF(G81&gt;59,1,IF(G81&lt;=59,0))))))</f>
        <v>5</v>
      </c>
      <c r="J81" s="18" t="n">
        <f aca="false">IF(H81&gt;39,1,IF(H81&gt;32,2,IF(H81&gt;26,3,IF(H81&gt;20,4,IF(H81&lt;=20,5)))))</f>
        <v>1</v>
      </c>
      <c r="K81" s="15" t="n">
        <f aca="false">AVERAGE(I81:J81)</f>
        <v>3</v>
      </c>
      <c r="L81" s="19" t="n">
        <f aca="false">IFERROR(VLOOKUP(B81,'6-week2'!B:D,2,0),0)</f>
        <v>149</v>
      </c>
      <c r="M81" s="19" t="n">
        <f aca="false">IFERROR(VLOOKUP(B81,'6-week2'!B:D,3,0),0)</f>
        <v>22</v>
      </c>
      <c r="N81" s="19" t="n">
        <f aca="false">IF(L81&gt;179,5,IF(L81&gt;149,4,IF(L81&gt;119,3,IF(L81&gt;89,2,IF(L81&gt;59,1,IF(L81&lt;=59,0))))))</f>
        <v>3</v>
      </c>
      <c r="O81" s="19" t="n">
        <f aca="false">IF(M81&gt;39,1,IF(M81&gt;32,2,IF(M81&gt;26,3,IF(M81&gt;20,4,IF(M81&lt;=20,5)))))</f>
        <v>4</v>
      </c>
      <c r="P81" s="19" t="n">
        <f aca="false">AVERAGE(N81,O81)</f>
        <v>3.5</v>
      </c>
      <c r="Q81" s="19" t="n">
        <f aca="false">IFERROR(VLOOKUP(B81,'6-week1'!B:F,5,0),0)</f>
        <v>0</v>
      </c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</row>
    <row r="82" customFormat="false" ht="18" hidden="false" customHeight="true" outlineLevel="0" collapsed="false">
      <c r="A82" s="18" t="s">
        <v>127</v>
      </c>
      <c r="B82" s="18" t="str">
        <f aca="false">TRIM(A82)</f>
        <v>حسن خادمی</v>
      </c>
      <c r="C82" s="18" t="str">
        <f aca="false">VLOOKUP(B82,Company!B:E,3,0)</f>
        <v>سینا</v>
      </c>
      <c r="D82" s="18" t="str">
        <f aca="false">VLOOKUP(B82,Company!B:E,2,0)</f>
        <v>صبح</v>
      </c>
      <c r="E82" s="18" t="str">
        <f aca="false" t="array" ref="E82:E82">IFERROR(INDEX('Team Leads'!$B:$D, MATCH(C82,'Team Leads'!$A:$A,0), MATCH(D82,'Team Leads'!$B$1:$D$1,0)), "")</f>
        <v>فاطمه دهقانپور</v>
      </c>
      <c r="F82" s="18" t="n">
        <f aca="false">VLOOKUP(B82,'Operator Bugs'!A:P,16,0)</f>
        <v>0</v>
      </c>
      <c r="G82" s="18" t="n">
        <f aca="false">IFERROR(VLOOKUP(B82,'6-week1'!B:D,2,0),0)</f>
        <v>118</v>
      </c>
      <c r="H82" s="18" t="n">
        <f aca="false">IFERROR(VLOOKUP(B82,'6-week1'!B:D,3,0),"-")</f>
        <v>25</v>
      </c>
      <c r="I82" s="18" t="n">
        <f aca="false">IF(G82&gt;179,5,IF(G82&gt;149,4,IF(G82&gt;119,3,IF(G82&gt;89,2,IF(G82&gt;59,1,IF(G82&lt;=59,0))))))</f>
        <v>2</v>
      </c>
      <c r="J82" s="18" t="n">
        <f aca="false">IF(H82&gt;39,1,IF(H82&gt;32,2,IF(H82&gt;26,3,IF(H82&gt;20,4,IF(H82&lt;=20,5)))))</f>
        <v>4</v>
      </c>
      <c r="K82" s="15" t="n">
        <f aca="false">AVERAGE(I82:J82)</f>
        <v>3</v>
      </c>
      <c r="L82" s="19" t="n">
        <f aca="false">IFERROR(VLOOKUP(B82,'6-week2'!B:D,2,0),0)</f>
        <v>121</v>
      </c>
      <c r="M82" s="19" t="n">
        <f aca="false">IFERROR(VLOOKUP(B82,'6-week2'!B:D,3,0),0)</f>
        <v>21</v>
      </c>
      <c r="N82" s="19" t="n">
        <f aca="false">IF(L82&gt;179,5,IF(L82&gt;149,4,IF(L82&gt;119,3,IF(L82&gt;89,2,IF(L82&gt;59,1,IF(L82&lt;=59,0))))))</f>
        <v>3</v>
      </c>
      <c r="O82" s="19" t="n">
        <f aca="false">IF(M82&gt;39,1,IF(M82&gt;32,2,IF(M82&gt;26,3,IF(M82&gt;20,4,IF(M82&lt;=20,5)))))</f>
        <v>4</v>
      </c>
      <c r="P82" s="19" t="n">
        <f aca="false">AVERAGE(N82,O82)</f>
        <v>3.5</v>
      </c>
      <c r="Q82" s="19" t="n">
        <f aca="false">IFERROR(VLOOKUP(B82,'6-week1'!B:F,5,0),0)</f>
        <v>0</v>
      </c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</row>
    <row r="83" customFormat="false" ht="18" hidden="false" customHeight="true" outlineLevel="0" collapsed="false">
      <c r="A83" s="18" t="s">
        <v>128</v>
      </c>
      <c r="B83" s="18" t="str">
        <f aca="false">TRIM(A83)</f>
        <v>حسین بهزادی مقدم</v>
      </c>
      <c r="C83" s="18" t="str">
        <f aca="false">VLOOKUP(B83,Company!B:E,3,0)</f>
        <v>رازی</v>
      </c>
      <c r="D83" s="18" t="str">
        <f aca="false">VLOOKUP(B83,Company!B:E,2,0)</f>
        <v>عصر</v>
      </c>
      <c r="E83" s="18" t="str">
        <f aca="false" t="array" ref="E83:E83">IFERROR(INDEX('Team Leads'!$B:$D, MATCH(C83,'Team Leads'!$A:$A,0), MATCH(D83,'Team Leads'!$B$1:$D$1,0)), "")</f>
        <v>امیررضا فلاح</v>
      </c>
      <c r="F83" s="18" t="n">
        <f aca="false">VLOOKUP(B83,'Operator Bugs'!A:P,16,0)</f>
        <v>0</v>
      </c>
      <c r="G83" s="18" t="n">
        <f aca="false">IFERROR(VLOOKUP(B83,'6-week1'!B:D,2,0),0)</f>
        <v>69</v>
      </c>
      <c r="H83" s="18" t="n">
        <f aca="false">IFERROR(VLOOKUP(B83,'6-week1'!B:D,3,0),"-")</f>
        <v>19</v>
      </c>
      <c r="I83" s="18" t="n">
        <f aca="false">IF(G83&gt;179,5,IF(G83&gt;149,4,IF(G83&gt;119,3,IF(G83&gt;89,2,IF(G83&gt;59,1,IF(G83&lt;=59,0))))))</f>
        <v>1</v>
      </c>
      <c r="J83" s="18" t="n">
        <f aca="false">IF(H83&gt;39,1,IF(H83&gt;32,2,IF(H83&gt;26,3,IF(H83&gt;20,4,IF(H83&lt;=20,5)))))</f>
        <v>5</v>
      </c>
      <c r="K83" s="15" t="n">
        <f aca="false">AVERAGE(I83:J83)</f>
        <v>3</v>
      </c>
      <c r="L83" s="19" t="n">
        <f aca="false">IFERROR(VLOOKUP(B83,'6-week2'!B:D,2,0),0)</f>
        <v>63</v>
      </c>
      <c r="M83" s="19" t="n">
        <f aca="false">IFERROR(VLOOKUP(B83,'6-week2'!B:D,3,0),0)</f>
        <v>21</v>
      </c>
      <c r="N83" s="19" t="n">
        <f aca="false">IF(L83&gt;179,5,IF(L83&gt;149,4,IF(L83&gt;119,3,IF(L83&gt;89,2,IF(L83&gt;59,1,IF(L83&lt;=59,0))))))</f>
        <v>1</v>
      </c>
      <c r="O83" s="19" t="n">
        <f aca="false">IF(M83&gt;39,1,IF(M83&gt;32,2,IF(M83&gt;26,3,IF(M83&gt;20,4,IF(M83&lt;=20,5)))))</f>
        <v>4</v>
      </c>
      <c r="P83" s="19" t="n">
        <f aca="false">AVERAGE(N83,O83)</f>
        <v>2.5</v>
      </c>
      <c r="Q83" s="19" t="n">
        <f aca="false">IFERROR(VLOOKUP(B83,'6-week1'!B:F,5,0),0)</f>
        <v>0</v>
      </c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</row>
    <row r="84" customFormat="false" ht="18" hidden="false" customHeight="true" outlineLevel="0" collapsed="false">
      <c r="A84" s="18" t="s">
        <v>129</v>
      </c>
      <c r="B84" s="18" t="str">
        <f aca="false">TRIM(A84)</f>
        <v>ریحانه کمالی</v>
      </c>
      <c r="C84" s="18" t="str">
        <f aca="false">VLOOKUP(B84,Company!B:E,3,0)</f>
        <v>ایران</v>
      </c>
      <c r="D84" s="18" t="str">
        <f aca="false">VLOOKUP(B84,Company!B:E,2,0)</f>
        <v>صبح</v>
      </c>
      <c r="E84" s="18" t="str">
        <f aca="false" t="array" ref="E84:E84">IFERROR(INDEX('Team Leads'!$B:$D, MATCH(C84,'Team Leads'!$A:$A,0), MATCH(D84,'Team Leads'!$B$1:$D$1,0)), "")</f>
        <v>مهدی فراهانی</v>
      </c>
      <c r="F84" s="18" t="n">
        <f aca="false">VLOOKUP(B84,'Operator Bugs'!A:P,16,0)</f>
        <v>0</v>
      </c>
      <c r="G84" s="18" t="n">
        <f aca="false">IFERROR(VLOOKUP(B84,'6-week1'!B:D,2,0),0)</f>
        <v>97</v>
      </c>
      <c r="H84" s="18" t="n">
        <f aca="false">IFERROR(VLOOKUP(B84,'6-week1'!B:D,3,0),"-")</f>
        <v>25</v>
      </c>
      <c r="I84" s="18" t="n">
        <f aca="false">IF(G84&gt;179,5,IF(G84&gt;149,4,IF(G84&gt;119,3,IF(G84&gt;89,2,IF(G84&gt;59,1,IF(G84&lt;=59,0))))))</f>
        <v>2</v>
      </c>
      <c r="J84" s="18" t="n">
        <f aca="false">IF(H84&gt;39,1,IF(H84&gt;32,2,IF(H84&gt;26,3,IF(H84&gt;20,4,IF(H84&lt;=20,5)))))</f>
        <v>4</v>
      </c>
      <c r="K84" s="15" t="n">
        <f aca="false">AVERAGE(I84:J84)</f>
        <v>3</v>
      </c>
      <c r="L84" s="19" t="n">
        <f aca="false">IFERROR(VLOOKUP(B84,'6-week2'!B:D,2,0),0)</f>
        <v>196</v>
      </c>
      <c r="M84" s="19" t="n">
        <f aca="false">IFERROR(VLOOKUP(B84,'6-week2'!B:D,3,0),0)</f>
        <v>27</v>
      </c>
      <c r="N84" s="19" t="n">
        <f aca="false">IF(L84&gt;179,5,IF(L84&gt;149,4,IF(L84&gt;119,3,IF(L84&gt;89,2,IF(L84&gt;59,1,IF(L84&lt;=59,0))))))</f>
        <v>5</v>
      </c>
      <c r="O84" s="19" t="n">
        <f aca="false">IF(M84&gt;39,1,IF(M84&gt;32,2,IF(M84&gt;26,3,IF(M84&gt;20,4,IF(M84&lt;=20,5)))))</f>
        <v>3</v>
      </c>
      <c r="P84" s="19" t="n">
        <f aca="false">AVERAGE(N84,O84)</f>
        <v>4</v>
      </c>
      <c r="Q84" s="19" t="n">
        <f aca="false">IFERROR(VLOOKUP(B84,'6-week1'!B:F,5,0),0)</f>
        <v>0</v>
      </c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</row>
    <row r="85" customFormat="false" ht="18" hidden="false" customHeight="true" outlineLevel="0" collapsed="false">
      <c r="A85" s="18" t="s">
        <v>130</v>
      </c>
      <c r="B85" s="18" t="str">
        <f aca="false">TRIM(A85)</f>
        <v>زهرا اسماعیلی</v>
      </c>
      <c r="C85" s="18" t="str">
        <f aca="false">VLOOKUP(B85,Company!B:E,3,0)</f>
        <v>رازی</v>
      </c>
      <c r="D85" s="18" t="str">
        <f aca="false">VLOOKUP(B85,Company!B:E,2,0)</f>
        <v>صبح</v>
      </c>
      <c r="E85" s="18" t="str">
        <f aca="false" t="array" ref="E85:E85">IFERROR(INDEX('Team Leads'!$B:$D, MATCH(C85,'Team Leads'!$A:$A,0), MATCH(D85,'Team Leads'!$B$1:$D$1,0)), "")</f>
        <v>آتنا مالمیر</v>
      </c>
      <c r="F85" s="18" t="n">
        <f aca="false">VLOOKUP(B85,'Operator Bugs'!A:P,16,0)</f>
        <v>0</v>
      </c>
      <c r="G85" s="18" t="n">
        <f aca="false">IFERROR(VLOOKUP(B85,'6-week1'!B:D,2,0),0)</f>
        <v>137</v>
      </c>
      <c r="H85" s="18" t="n">
        <f aca="false">IFERROR(VLOOKUP(B85,'6-week1'!B:D,3,0),"-")</f>
        <v>27</v>
      </c>
      <c r="I85" s="18" t="n">
        <f aca="false">IF(G85&gt;179,5,IF(G85&gt;149,4,IF(G85&gt;119,3,IF(G85&gt;89,2,IF(G85&gt;59,1,IF(G85&lt;=59,0))))))</f>
        <v>3</v>
      </c>
      <c r="J85" s="18" t="n">
        <f aca="false">IF(H85&gt;39,1,IF(H85&gt;32,2,IF(H85&gt;26,3,IF(H85&gt;20,4,IF(H85&lt;=20,5)))))</f>
        <v>3</v>
      </c>
      <c r="K85" s="15" t="n">
        <f aca="false">AVERAGE(I85:J85)</f>
        <v>3</v>
      </c>
      <c r="L85" s="19" t="n">
        <f aca="false">IFERROR(VLOOKUP(B85,'6-week2'!B:D,2,0),0)</f>
        <v>187</v>
      </c>
      <c r="M85" s="19" t="n">
        <f aca="false">IFERROR(VLOOKUP(B85,'6-week2'!B:D,3,0),0)</f>
        <v>20</v>
      </c>
      <c r="N85" s="19" t="n">
        <f aca="false">IF(L85&gt;179,5,IF(L85&gt;149,4,IF(L85&gt;119,3,IF(L85&gt;89,2,IF(L85&gt;59,1,IF(L85&lt;=59,0))))))</f>
        <v>5</v>
      </c>
      <c r="O85" s="19" t="n">
        <f aca="false">IF(M85&gt;39,1,IF(M85&gt;32,2,IF(M85&gt;26,3,IF(M85&gt;20,4,IF(M85&lt;=20,5)))))</f>
        <v>5</v>
      </c>
      <c r="P85" s="19" t="n">
        <f aca="false">AVERAGE(N85,O85)</f>
        <v>5</v>
      </c>
      <c r="Q85" s="19" t="n">
        <f aca="false">IFERROR(VLOOKUP(B85,'6-week1'!B:F,5,0),0)</f>
        <v>0</v>
      </c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</row>
    <row r="86" customFormat="false" ht="18" hidden="false" customHeight="true" outlineLevel="0" collapsed="false">
      <c r="A86" s="18" t="s">
        <v>131</v>
      </c>
      <c r="B86" s="18" t="str">
        <f aca="false">TRIM(A86)</f>
        <v>زهرا سبزیانی داویجانی</v>
      </c>
      <c r="C86" s="18" t="str">
        <f aca="false">VLOOKUP(B86,Company!B:E,3,0)</f>
        <v>سینا</v>
      </c>
      <c r="D86" s="18" t="str">
        <f aca="false">VLOOKUP(B86,Company!B:E,2,0)</f>
        <v>صبح</v>
      </c>
      <c r="E86" s="18" t="str">
        <f aca="false" t="array" ref="E86:E86">IFERROR(INDEX('Team Leads'!$B:$D, MATCH(C86,'Team Leads'!$A:$A,0), MATCH(D86,'Team Leads'!$B$1:$D$1,0)), "")</f>
        <v>فاطمه دهقانپور</v>
      </c>
      <c r="F86" s="18" t="n">
        <f aca="false">VLOOKUP(B86,'Operator Bugs'!A:P,16,0)</f>
        <v>0</v>
      </c>
      <c r="G86" s="18" t="n">
        <f aca="false">IFERROR(VLOOKUP(B86,'6-week1'!B:D,2,0),0)</f>
        <v>186</v>
      </c>
      <c r="H86" s="18" t="n">
        <f aca="false">IFERROR(VLOOKUP(B86,'6-week1'!B:D,3,0),"-")</f>
        <v>57</v>
      </c>
      <c r="I86" s="18" t="n">
        <f aca="false">IF(G86&gt;179,5,IF(G86&gt;149,4,IF(G86&gt;119,3,IF(G86&gt;89,2,IF(G86&gt;59,1,IF(G86&lt;=59,0))))))</f>
        <v>5</v>
      </c>
      <c r="J86" s="18" t="n">
        <f aca="false">IF(H86&gt;39,1,IF(H86&gt;32,2,IF(H86&gt;26,3,IF(H86&gt;20,4,IF(H86&lt;=20,5)))))</f>
        <v>1</v>
      </c>
      <c r="K86" s="15" t="n">
        <f aca="false">AVERAGE(I86:J86)</f>
        <v>3</v>
      </c>
      <c r="L86" s="19" t="n">
        <f aca="false">IFERROR(VLOOKUP(B86,'6-week2'!B:D,2,0),0)</f>
        <v>203</v>
      </c>
      <c r="M86" s="19" t="n">
        <f aca="false">IFERROR(VLOOKUP(B86,'6-week2'!B:D,3,0),0)</f>
        <v>68</v>
      </c>
      <c r="N86" s="19" t="n">
        <f aca="false">IF(L86&gt;179,5,IF(L86&gt;149,4,IF(L86&gt;119,3,IF(L86&gt;89,2,IF(L86&gt;59,1,IF(L86&lt;=59,0))))))</f>
        <v>5</v>
      </c>
      <c r="O86" s="19" t="n">
        <f aca="false">IF(M86&gt;39,1,IF(M86&gt;32,2,IF(M86&gt;26,3,IF(M86&gt;20,4,IF(M86&lt;=20,5)))))</f>
        <v>1</v>
      </c>
      <c r="P86" s="19" t="n">
        <f aca="false">AVERAGE(N86,O86)</f>
        <v>3</v>
      </c>
      <c r="Q86" s="19" t="n">
        <f aca="false">IFERROR(VLOOKUP(B86,'6-week1'!B:F,5,0),0)</f>
        <v>0</v>
      </c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</row>
    <row r="87" customFormat="false" ht="18" hidden="false" customHeight="true" outlineLevel="0" collapsed="false">
      <c r="A87" s="18" t="s">
        <v>132</v>
      </c>
      <c r="B87" s="18" t="str">
        <f aca="false">TRIM(A87)</f>
        <v>زهره ذبیحی</v>
      </c>
      <c r="C87" s="18" t="str">
        <f aca="false">VLOOKUP(B87,Company!B:E,3,0)</f>
        <v>رازی</v>
      </c>
      <c r="D87" s="18" t="str">
        <f aca="false">VLOOKUP(B87,Company!B:E,2,0)</f>
        <v>صبح</v>
      </c>
      <c r="E87" s="18" t="str">
        <f aca="false" t="array" ref="E87:E87">IFERROR(INDEX('Team Leads'!$B:$D, MATCH(C87,'Team Leads'!$A:$A,0), MATCH(D87,'Team Leads'!$B$1:$D$1,0)), "")</f>
        <v>آتنا مالمیر</v>
      </c>
      <c r="F87" s="18" t="n">
        <f aca="false">VLOOKUP(B87,'Operator Bugs'!A:P,16,0)</f>
        <v>0</v>
      </c>
      <c r="G87" s="18" t="n">
        <f aca="false">IFERROR(VLOOKUP(B87,'6-week1'!B:D,2,0),0)</f>
        <v>65</v>
      </c>
      <c r="H87" s="18" t="n">
        <f aca="false">IFERROR(VLOOKUP(B87,'6-week1'!B:D,3,0),"-")</f>
        <v>19</v>
      </c>
      <c r="I87" s="18" t="n">
        <f aca="false">IF(G87&gt;179,5,IF(G87&gt;149,4,IF(G87&gt;119,3,IF(G87&gt;89,2,IF(G87&gt;59,1,IF(G87&lt;=59,0))))))</f>
        <v>1</v>
      </c>
      <c r="J87" s="18" t="n">
        <f aca="false">IF(H87&gt;39,1,IF(H87&gt;32,2,IF(H87&gt;26,3,IF(H87&gt;20,4,IF(H87&lt;=20,5)))))</f>
        <v>5</v>
      </c>
      <c r="K87" s="15" t="n">
        <f aca="false">AVERAGE(I87:J87)</f>
        <v>3</v>
      </c>
      <c r="L87" s="19" t="n">
        <f aca="false">IFERROR(VLOOKUP(B87,'6-week2'!B:D,2,0),0)</f>
        <v>54</v>
      </c>
      <c r="M87" s="19" t="n">
        <f aca="false">IFERROR(VLOOKUP(B87,'6-week2'!B:D,3,0),0)</f>
        <v>21</v>
      </c>
      <c r="N87" s="19" t="n">
        <f aca="false">IF(L87&gt;179,5,IF(L87&gt;149,4,IF(L87&gt;119,3,IF(L87&gt;89,2,IF(L87&gt;59,1,IF(L87&lt;=59,0))))))</f>
        <v>0</v>
      </c>
      <c r="O87" s="19" t="n">
        <f aca="false">IF(M87&gt;39,1,IF(M87&gt;32,2,IF(M87&gt;26,3,IF(M87&gt;20,4,IF(M87&lt;=20,5)))))</f>
        <v>4</v>
      </c>
      <c r="P87" s="19" t="n">
        <f aca="false">AVERAGE(N87,O87)</f>
        <v>2</v>
      </c>
      <c r="Q87" s="19" t="n">
        <f aca="false">IFERROR(VLOOKUP(B87,'6-week1'!B:F,5,0),0)</f>
        <v>0</v>
      </c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</row>
    <row r="88" customFormat="false" ht="18" hidden="false" customHeight="true" outlineLevel="0" collapsed="false">
      <c r="A88" s="18" t="s">
        <v>133</v>
      </c>
      <c r="B88" s="18" t="str">
        <f aca="false">TRIM(A88)</f>
        <v>زیبا زارعی</v>
      </c>
      <c r="C88" s="18" t="str">
        <f aca="false">VLOOKUP(B88,Company!B:E,3,0)</f>
        <v>تعاون</v>
      </c>
      <c r="D88" s="18" t="str">
        <f aca="false">VLOOKUP(B88,Company!B:E,2,0)</f>
        <v>عصر</v>
      </c>
      <c r="E88" s="18" t="str">
        <f aca="false" t="array" ref="E88:E88">IFERROR(INDEX('Team Leads'!$B:$D, MATCH(C88,'Team Leads'!$A:$A,0), MATCH(D88,'Team Leads'!$B$1:$D$1,0)), "")</f>
        <v>علیرضا زمانیان</v>
      </c>
      <c r="F88" s="18" t="n">
        <f aca="false">VLOOKUP(B88,'Operator Bugs'!A:P,16,0)</f>
        <v>0</v>
      </c>
      <c r="G88" s="18" t="n">
        <f aca="false">IFERROR(VLOOKUP(B88,'6-week1'!B:D,2,0),0)</f>
        <v>138</v>
      </c>
      <c r="H88" s="18" t="n">
        <f aca="false">IFERROR(VLOOKUP(B88,'6-week1'!B:D,3,0),"-")</f>
        <v>28</v>
      </c>
      <c r="I88" s="18" t="n">
        <f aca="false">IF(G88&gt;179,5,IF(G88&gt;149,4,IF(G88&gt;119,3,IF(G88&gt;89,2,IF(G88&gt;59,1,IF(G88&lt;=59,0))))))</f>
        <v>3</v>
      </c>
      <c r="J88" s="18" t="n">
        <f aca="false">IF(H88&gt;39,1,IF(H88&gt;32,2,IF(H88&gt;26,3,IF(H88&gt;20,4,IF(H88&lt;=20,5)))))</f>
        <v>3</v>
      </c>
      <c r="K88" s="15" t="n">
        <f aca="false">AVERAGE(I88:J88)</f>
        <v>3</v>
      </c>
      <c r="L88" s="19" t="n">
        <f aca="false">IFERROR(VLOOKUP(B88,'6-week2'!B:D,2,0),0)</f>
        <v>157</v>
      </c>
      <c r="M88" s="19" t="n">
        <f aca="false">IFERROR(VLOOKUP(B88,'6-week2'!B:D,3,0),0)</f>
        <v>25</v>
      </c>
      <c r="N88" s="19" t="n">
        <f aca="false">IF(L88&gt;179,5,IF(L88&gt;149,4,IF(L88&gt;119,3,IF(L88&gt;89,2,IF(L88&gt;59,1,IF(L88&lt;=59,0))))))</f>
        <v>4</v>
      </c>
      <c r="O88" s="19" t="n">
        <f aca="false">IF(M88&gt;39,1,IF(M88&gt;32,2,IF(M88&gt;26,3,IF(M88&gt;20,4,IF(M88&lt;=20,5)))))</f>
        <v>4</v>
      </c>
      <c r="P88" s="19" t="n">
        <f aca="false">AVERAGE(N88,O88)</f>
        <v>4</v>
      </c>
      <c r="Q88" s="19" t="n">
        <f aca="false">IFERROR(VLOOKUP(B88,'6-week1'!B:F,5,0),0)</f>
        <v>0</v>
      </c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</row>
    <row r="89" customFormat="false" ht="18" hidden="false" customHeight="true" outlineLevel="0" collapsed="false">
      <c r="A89" s="18" t="s">
        <v>134</v>
      </c>
      <c r="B89" s="18" t="str">
        <f aca="false">TRIM(A89)</f>
        <v>سهراب ایروانی</v>
      </c>
      <c r="C89" s="18" t="str">
        <f aca="false">VLOOKUP(B89,Company!B:E,3,0)</f>
        <v>تعاون</v>
      </c>
      <c r="D89" s="18" t="str">
        <f aca="false">VLOOKUP(B89,Company!B:E,2,0)</f>
        <v>عصر</v>
      </c>
      <c r="E89" s="18" t="str">
        <f aca="false" t="array" ref="E89:E89">IFERROR(INDEX('Team Leads'!$B:$D, MATCH(C89,'Team Leads'!$A:$A,0), MATCH(D89,'Team Leads'!$B$1:$D$1,0)), "")</f>
        <v>علیرضا زمانیان</v>
      </c>
      <c r="F89" s="18" t="n">
        <f aca="false">VLOOKUP(B89,'Operator Bugs'!A:P,16,0)</f>
        <v>0</v>
      </c>
      <c r="G89" s="18" t="n">
        <f aca="false">IFERROR(VLOOKUP(B89,'6-week1'!B:D,2,0),0)</f>
        <v>166</v>
      </c>
      <c r="H89" s="18" t="n">
        <f aca="false">IFERROR(VLOOKUP(B89,'6-week1'!B:D,3,0),"-")</f>
        <v>38</v>
      </c>
      <c r="I89" s="18" t="n">
        <f aca="false">IF(G89&gt;179,5,IF(G89&gt;149,4,IF(G89&gt;119,3,IF(G89&gt;89,2,IF(G89&gt;59,1,IF(G89&lt;=59,0))))))</f>
        <v>4</v>
      </c>
      <c r="J89" s="18" t="n">
        <f aca="false">IF(H89&gt;39,1,IF(H89&gt;32,2,IF(H89&gt;26,3,IF(H89&gt;20,4,IF(H89&lt;=20,5)))))</f>
        <v>2</v>
      </c>
      <c r="K89" s="15" t="n">
        <f aca="false">AVERAGE(I89:J89)</f>
        <v>3</v>
      </c>
      <c r="L89" s="19" t="n">
        <f aca="false">IFERROR(VLOOKUP(B89,'6-week2'!B:D,2,0),0)</f>
        <v>213</v>
      </c>
      <c r="M89" s="19" t="n">
        <f aca="false">IFERROR(VLOOKUP(B89,'6-week2'!B:D,3,0),0)</f>
        <v>17</v>
      </c>
      <c r="N89" s="19" t="n">
        <f aca="false">IF(L89&gt;179,5,IF(L89&gt;149,4,IF(L89&gt;119,3,IF(L89&gt;89,2,IF(L89&gt;59,1,IF(L89&lt;=59,0))))))</f>
        <v>5</v>
      </c>
      <c r="O89" s="19" t="n">
        <f aca="false">IF(M89&gt;39,1,IF(M89&gt;32,2,IF(M89&gt;26,3,IF(M89&gt;20,4,IF(M89&lt;=20,5)))))</f>
        <v>5</v>
      </c>
      <c r="P89" s="19" t="n">
        <f aca="false">AVERAGE(N89,O89)</f>
        <v>5</v>
      </c>
      <c r="Q89" s="19" t="n">
        <f aca="false">IFERROR(VLOOKUP(B89,'6-week1'!B:F,5,0),0)</f>
        <v>0</v>
      </c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</row>
    <row r="90" customFormat="false" ht="18" hidden="false" customHeight="true" outlineLevel="0" collapsed="false">
      <c r="A90" s="18" t="s">
        <v>135</v>
      </c>
      <c r="B90" s="18" t="str">
        <f aca="false">TRIM(A90)</f>
        <v>فاطمه شریفی</v>
      </c>
      <c r="C90" s="18" t="str">
        <f aca="false">VLOOKUP(B90,Company!B:E,3,0)</f>
        <v>ایران</v>
      </c>
      <c r="D90" s="18" t="str">
        <f aca="false">VLOOKUP(B90,Company!B:E,2,0)</f>
        <v>عصر</v>
      </c>
      <c r="E90" s="18" t="str">
        <f aca="false" t="array" ref="E90:E90">IFERROR(INDEX('Team Leads'!$B:$D, MATCH(C90,'Team Leads'!$A:$A,0), MATCH(D90,'Team Leads'!$B$1:$D$1,0)), "")</f>
        <v>علیرضا زمانیان</v>
      </c>
      <c r="F90" s="18" t="n">
        <f aca="false">VLOOKUP(B90,'Operator Bugs'!A:P,16,0)</f>
        <v>0</v>
      </c>
      <c r="G90" s="18" t="n">
        <f aca="false">IFERROR(VLOOKUP(B90,'6-week1'!B:D,2,0),0)</f>
        <v>115</v>
      </c>
      <c r="H90" s="18" t="n">
        <f aca="false">IFERROR(VLOOKUP(B90,'6-week1'!B:D,3,0),"-")</f>
        <v>22</v>
      </c>
      <c r="I90" s="18" t="n">
        <f aca="false">IF(G90&gt;179,5,IF(G90&gt;149,4,IF(G90&gt;119,3,IF(G90&gt;89,2,IF(G90&gt;59,1,IF(G90&lt;=59,0))))))</f>
        <v>2</v>
      </c>
      <c r="J90" s="18" t="n">
        <f aca="false">IF(H90&gt;39,1,IF(H90&gt;32,2,IF(H90&gt;26,3,IF(H90&gt;20,4,IF(H90&lt;=20,5)))))</f>
        <v>4</v>
      </c>
      <c r="K90" s="15" t="n">
        <f aca="false">AVERAGE(I90:J90)</f>
        <v>3</v>
      </c>
      <c r="L90" s="19" t="n">
        <f aca="false">IFERROR(VLOOKUP(B90,'6-week2'!B:D,2,0),0)</f>
        <v>228</v>
      </c>
      <c r="M90" s="19" t="n">
        <f aca="false">IFERROR(VLOOKUP(B90,'6-week2'!B:D,3,0),0)</f>
        <v>24</v>
      </c>
      <c r="N90" s="19" t="n">
        <f aca="false">IF(L90&gt;179,5,IF(L90&gt;149,4,IF(L90&gt;119,3,IF(L90&gt;89,2,IF(L90&gt;59,1,IF(L90&lt;=59,0))))))</f>
        <v>5</v>
      </c>
      <c r="O90" s="19" t="n">
        <f aca="false">IF(M90&gt;39,1,IF(M90&gt;32,2,IF(M90&gt;26,3,IF(M90&gt;20,4,IF(M90&lt;=20,5)))))</f>
        <v>4</v>
      </c>
      <c r="P90" s="19" t="n">
        <f aca="false">AVERAGE(N90,O90)</f>
        <v>4.5</v>
      </c>
      <c r="Q90" s="19" t="n">
        <f aca="false">IFERROR(VLOOKUP(B90,'6-week1'!B:F,5,0),0)</f>
        <v>0</v>
      </c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</row>
    <row r="91" customFormat="false" ht="18" hidden="false" customHeight="true" outlineLevel="0" collapsed="false">
      <c r="A91" s="18" t="s">
        <v>136</v>
      </c>
      <c r="B91" s="18" t="str">
        <f aca="false">TRIM(A91)</f>
        <v>محبوبه شیرزاد</v>
      </c>
      <c r="C91" s="18" t="str">
        <f aca="false">VLOOKUP(B91,Company!B:E,3,0)</f>
        <v>سینا</v>
      </c>
      <c r="D91" s="18" t="str">
        <f aca="false">VLOOKUP(B91,Company!B:E,2,0)</f>
        <v>عصر</v>
      </c>
      <c r="E91" s="18" t="str">
        <f aca="false" t="array" ref="E91:E91">IFERROR(INDEX('Team Leads'!$B:$D, MATCH(C91,'Team Leads'!$A:$A,0), MATCH(D91,'Team Leads'!$B$1:$D$1,0)), "")</f>
        <v>مهدی ایازی</v>
      </c>
      <c r="F91" s="18" t="n">
        <f aca="false">VLOOKUP(B91,'Operator Bugs'!A:P,16,0)</f>
        <v>0</v>
      </c>
      <c r="G91" s="18" t="n">
        <f aca="false">IFERROR(VLOOKUP(B91,'6-week1'!B:D,2,0),0)</f>
        <v>158</v>
      </c>
      <c r="H91" s="18" t="n">
        <f aca="false">IFERROR(VLOOKUP(B91,'6-week1'!B:D,3,0),"-")</f>
        <v>34</v>
      </c>
      <c r="I91" s="18" t="n">
        <f aca="false">IF(G91&gt;179,5,IF(G91&gt;149,4,IF(G91&gt;119,3,IF(G91&gt;89,2,IF(G91&gt;59,1,IF(G91&lt;=59,0))))))</f>
        <v>4</v>
      </c>
      <c r="J91" s="18" t="n">
        <f aca="false">IF(H91&gt;39,1,IF(H91&gt;32,2,IF(H91&gt;26,3,IF(H91&gt;20,4,IF(H91&lt;=20,5)))))</f>
        <v>2</v>
      </c>
      <c r="K91" s="15" t="n">
        <f aca="false">AVERAGE(I91:J91)</f>
        <v>3</v>
      </c>
      <c r="L91" s="19" t="n">
        <f aca="false">IFERROR(VLOOKUP(B91,'6-week2'!B:D,2,0),0)</f>
        <v>65</v>
      </c>
      <c r="M91" s="19" t="n">
        <f aca="false">IFERROR(VLOOKUP(B91,'6-week2'!B:D,3,0),0)</f>
        <v>44</v>
      </c>
      <c r="N91" s="19" t="n">
        <f aca="false">IF(L91&gt;179,5,IF(L91&gt;149,4,IF(L91&gt;119,3,IF(L91&gt;89,2,IF(L91&gt;59,1,IF(L91&lt;=59,0))))))</f>
        <v>1</v>
      </c>
      <c r="O91" s="19" t="n">
        <f aca="false">IF(M91&gt;39,1,IF(M91&gt;32,2,IF(M91&gt;26,3,IF(M91&gt;20,4,IF(M91&lt;=20,5)))))</f>
        <v>1</v>
      </c>
      <c r="P91" s="19" t="n">
        <f aca="false">AVERAGE(N91,O91)</f>
        <v>1</v>
      </c>
      <c r="Q91" s="19" t="n">
        <f aca="false">IFERROR(VLOOKUP(B91,'6-week1'!B:F,5,0),0)</f>
        <v>0</v>
      </c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</row>
    <row r="92" customFormat="false" ht="18" hidden="false" customHeight="true" outlineLevel="0" collapsed="false">
      <c r="A92" s="18" t="s">
        <v>137</v>
      </c>
      <c r="B92" s="18" t="str">
        <f aca="false">TRIM(A92)</f>
        <v>محسن عبدی</v>
      </c>
      <c r="C92" s="18" t="str">
        <f aca="false">VLOOKUP(B92,Company!B:E,3,0)</f>
        <v>سینا</v>
      </c>
      <c r="D92" s="18" t="str">
        <f aca="false">VLOOKUP(B92,Company!B:E,2,0)</f>
        <v>صبح</v>
      </c>
      <c r="E92" s="18" t="str">
        <f aca="false" t="array" ref="E92:E92">IFERROR(INDEX('Team Leads'!$B:$D, MATCH(C92,'Team Leads'!$A:$A,0), MATCH(D92,'Team Leads'!$B$1:$D$1,0)), "")</f>
        <v>فاطمه دهقانپور</v>
      </c>
      <c r="F92" s="18" t="n">
        <f aca="false">VLOOKUP(B92,'Operator Bugs'!A:P,16,0)</f>
        <v>0</v>
      </c>
      <c r="G92" s="18" t="n">
        <f aca="false">IFERROR(VLOOKUP(B92,'6-week1'!B:D,2,0),0)</f>
        <v>200</v>
      </c>
      <c r="H92" s="18" t="n">
        <f aca="false">IFERROR(VLOOKUP(B92,'6-week1'!B:D,3,0),"-")</f>
        <v>44</v>
      </c>
      <c r="I92" s="18" t="n">
        <f aca="false">IF(G92&gt;179,5,IF(G92&gt;149,4,IF(G92&gt;119,3,IF(G92&gt;89,2,IF(G92&gt;59,1,IF(G92&lt;=59,0))))))</f>
        <v>5</v>
      </c>
      <c r="J92" s="18" t="n">
        <f aca="false">IF(H92&gt;39,1,IF(H92&gt;32,2,IF(H92&gt;26,3,IF(H92&gt;20,4,IF(H92&lt;=20,5)))))</f>
        <v>1</v>
      </c>
      <c r="K92" s="15" t="n">
        <f aca="false">AVERAGE(I92:J92)</f>
        <v>3</v>
      </c>
      <c r="L92" s="19" t="n">
        <f aca="false">IFERROR(VLOOKUP(B92,'6-week2'!B:D,2,0),0)</f>
        <v>144</v>
      </c>
      <c r="M92" s="19" t="n">
        <f aca="false">IFERROR(VLOOKUP(B92,'6-week2'!B:D,3,0),0)</f>
        <v>40</v>
      </c>
      <c r="N92" s="19" t="n">
        <f aca="false">IF(L92&gt;179,5,IF(L92&gt;149,4,IF(L92&gt;119,3,IF(L92&gt;89,2,IF(L92&gt;59,1,IF(L92&lt;=59,0))))))</f>
        <v>3</v>
      </c>
      <c r="O92" s="19" t="n">
        <f aca="false">IF(M92&gt;39,1,IF(M92&gt;32,2,IF(M92&gt;26,3,IF(M92&gt;20,4,IF(M92&lt;=20,5)))))</f>
        <v>1</v>
      </c>
      <c r="P92" s="19" t="n">
        <f aca="false">AVERAGE(N92,O92)</f>
        <v>2</v>
      </c>
      <c r="Q92" s="19" t="n">
        <f aca="false">IFERROR(VLOOKUP(B92,'6-week1'!B:F,5,0),0)</f>
        <v>0</v>
      </c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</row>
    <row r="93" customFormat="false" ht="18" hidden="false" customHeight="true" outlineLevel="0" collapsed="false">
      <c r="A93" s="18" t="s">
        <v>138</v>
      </c>
      <c r="B93" s="18" t="str">
        <f aca="false">TRIM(A93)</f>
        <v>محمدامین شصتی</v>
      </c>
      <c r="C93" s="18" t="str">
        <f aca="false">VLOOKUP(B93,Company!B:E,3,0)</f>
        <v>تعاون</v>
      </c>
      <c r="D93" s="18" t="str">
        <f aca="false">VLOOKUP(B93,Company!B:E,2,0)</f>
        <v>عصر</v>
      </c>
      <c r="E93" s="18" t="str">
        <f aca="false" t="array" ref="E93:E93">IFERROR(INDEX('Team Leads'!$B:$D, MATCH(C93,'Team Leads'!$A:$A,0), MATCH(D93,'Team Leads'!$B$1:$D$1,0)), "")</f>
        <v>علیرضا زمانیان</v>
      </c>
      <c r="F93" s="18" t="n">
        <f aca="false">VLOOKUP(B93,'Operator Bugs'!A:P,16,0)</f>
        <v>0</v>
      </c>
      <c r="G93" s="18" t="n">
        <f aca="false">IFERROR(VLOOKUP(B93,'6-week1'!B:D,2,0),0)</f>
        <v>117</v>
      </c>
      <c r="H93" s="18" t="n">
        <f aca="false">IFERROR(VLOOKUP(B93,'6-week1'!B:D,3,0),"-")</f>
        <v>24</v>
      </c>
      <c r="I93" s="18" t="n">
        <f aca="false">IF(G93&gt;179,5,IF(G93&gt;149,4,IF(G93&gt;119,3,IF(G93&gt;89,2,IF(G93&gt;59,1,IF(G93&lt;=59,0))))))</f>
        <v>2</v>
      </c>
      <c r="J93" s="18" t="n">
        <f aca="false">IF(H93&gt;39,1,IF(H93&gt;32,2,IF(H93&gt;26,3,IF(H93&gt;20,4,IF(H93&lt;=20,5)))))</f>
        <v>4</v>
      </c>
      <c r="K93" s="15" t="n">
        <f aca="false">AVERAGE(I93:J93)</f>
        <v>3</v>
      </c>
      <c r="L93" s="19" t="n">
        <f aca="false">IFERROR(VLOOKUP(B93,'6-week2'!B:D,2,0),0)</f>
        <v>96</v>
      </c>
      <c r="M93" s="19" t="n">
        <f aca="false">IFERROR(VLOOKUP(B93,'6-week2'!B:D,3,0),0)</f>
        <v>25</v>
      </c>
      <c r="N93" s="19" t="n">
        <f aca="false">IF(L93&gt;179,5,IF(L93&gt;149,4,IF(L93&gt;119,3,IF(L93&gt;89,2,IF(L93&gt;59,1,IF(L93&lt;=59,0))))))</f>
        <v>2</v>
      </c>
      <c r="O93" s="19" t="n">
        <f aca="false">IF(M93&gt;39,1,IF(M93&gt;32,2,IF(M93&gt;26,3,IF(M93&gt;20,4,IF(M93&lt;=20,5)))))</f>
        <v>4</v>
      </c>
      <c r="P93" s="19" t="n">
        <f aca="false">AVERAGE(N93,O93)</f>
        <v>3</v>
      </c>
      <c r="Q93" s="19" t="n">
        <f aca="false">IFERROR(VLOOKUP(B93,'6-week1'!B:F,5,0),0)</f>
        <v>0</v>
      </c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</row>
    <row r="94" customFormat="false" ht="18" hidden="false" customHeight="true" outlineLevel="0" collapsed="false">
      <c r="A94" s="18" t="s">
        <v>139</v>
      </c>
      <c r="B94" s="18" t="str">
        <f aca="false">TRIM(A94)</f>
        <v>مرکز صدور اسکندری | نرگس حسنی</v>
      </c>
      <c r="C94" s="18" t="str">
        <f aca="false">VLOOKUP(B94,Company!B:E,3,0)</f>
        <v>سنتر</v>
      </c>
      <c r="D94" s="18" t="str">
        <f aca="false">VLOOKUP(B94,Company!B:E,2,0)</f>
        <v>صبح</v>
      </c>
      <c r="E94" s="18" t="str">
        <f aca="false" t="array" ref="E94:E94">IFERROR(INDEX('Team Leads'!$B:$D, MATCH(C94,'Team Leads'!$A:$A,0), MATCH(D94,'Team Leads'!$B$1:$D$1,0)), "")</f>
        <v>مریم ایزدی - شاهین شهریاری</v>
      </c>
      <c r="F94" s="18" t="n">
        <f aca="false">VLOOKUP(B94,'Operator Bugs'!A:P,16,0)</f>
        <v>0</v>
      </c>
      <c r="G94" s="18" t="n">
        <f aca="false">IFERROR(VLOOKUP(B94,'6-week1'!B:D,2,0),0)</f>
        <v>119</v>
      </c>
      <c r="H94" s="18" t="n">
        <f aca="false">IFERROR(VLOOKUP(B94,'6-week1'!B:D,3,0),"-")</f>
        <v>26</v>
      </c>
      <c r="I94" s="18" t="n">
        <f aca="false">IF(G94&gt;179,5,IF(G94&gt;149,4,IF(G94&gt;119,3,IF(G94&gt;89,2,IF(G94&gt;59,1,IF(G94&lt;=59,0))))))</f>
        <v>2</v>
      </c>
      <c r="J94" s="18" t="n">
        <f aca="false">IF(H94&gt;39,1,IF(H94&gt;32,2,IF(H94&gt;26,3,IF(H94&gt;20,4,IF(H94&lt;=20,5)))))</f>
        <v>4</v>
      </c>
      <c r="K94" s="15" t="n">
        <f aca="false">AVERAGE(I94:J94)</f>
        <v>3</v>
      </c>
      <c r="L94" s="19" t="n">
        <f aca="false">IFERROR(VLOOKUP(B94,'6-week2'!B:D,2,0),0)</f>
        <v>134</v>
      </c>
      <c r="M94" s="19" t="n">
        <f aca="false">IFERROR(VLOOKUP(B94,'6-week2'!B:D,3,0),0)</f>
        <v>24</v>
      </c>
      <c r="N94" s="19" t="n">
        <f aca="false">IF(L94&gt;179,5,IF(L94&gt;149,4,IF(L94&gt;119,3,IF(L94&gt;89,2,IF(L94&gt;59,1,IF(L94&lt;=59,0))))))</f>
        <v>3</v>
      </c>
      <c r="O94" s="19" t="n">
        <f aca="false">IF(M94&gt;39,1,IF(M94&gt;32,2,IF(M94&gt;26,3,IF(M94&gt;20,4,IF(M94&lt;=20,5)))))</f>
        <v>4</v>
      </c>
      <c r="P94" s="19" t="n">
        <f aca="false">AVERAGE(N94,O94)</f>
        <v>3.5</v>
      </c>
      <c r="Q94" s="19" t="n">
        <f aca="false">IFERROR(VLOOKUP(B94,'6-week1'!B:F,5,0),0)</f>
        <v>0</v>
      </c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</row>
    <row r="95" customFormat="false" ht="18" hidden="false" customHeight="true" outlineLevel="0" collapsed="false">
      <c r="A95" s="18" t="s">
        <v>140</v>
      </c>
      <c r="B95" s="18" t="str">
        <f aca="false">TRIM(A95)</f>
        <v>مرکز صدور علی دادی | زهرا چهرآزاد</v>
      </c>
      <c r="C95" s="18" t="str">
        <f aca="false">VLOOKUP(B95,Company!B:E,3,0)</f>
        <v>سنتر</v>
      </c>
      <c r="D95" s="18" t="str">
        <f aca="false">VLOOKUP(B95,Company!B:E,2,0)</f>
        <v>صبح</v>
      </c>
      <c r="E95" s="18" t="str">
        <f aca="false" t="array" ref="E95:E95">IFERROR(INDEX('Team Leads'!$B:$D, MATCH(C95,'Team Leads'!$A:$A,0), MATCH(D95,'Team Leads'!$B$1:$D$1,0)), "")</f>
        <v>مریم ایزدی - شاهین شهریاری</v>
      </c>
      <c r="F95" s="18" t="n">
        <f aca="false">VLOOKUP(B95,'Operator Bugs'!A:P,16,0)</f>
        <v>0</v>
      </c>
      <c r="G95" s="18" t="n">
        <f aca="false">IFERROR(VLOOKUP(B95,'6-week1'!B:D,2,0),0)</f>
        <v>152</v>
      </c>
      <c r="H95" s="18" t="n">
        <f aca="false">IFERROR(VLOOKUP(B95,'6-week1'!B:D,3,0),"-")</f>
        <v>36</v>
      </c>
      <c r="I95" s="18" t="n">
        <f aca="false">IF(G95&gt;179,5,IF(G95&gt;149,4,IF(G95&gt;119,3,IF(G95&gt;89,2,IF(G95&gt;59,1,IF(G95&lt;=59,0))))))</f>
        <v>4</v>
      </c>
      <c r="J95" s="18" t="n">
        <f aca="false">IF(H95&gt;39,1,IF(H95&gt;32,2,IF(H95&gt;26,3,IF(H95&gt;20,4,IF(H95&lt;=20,5)))))</f>
        <v>2</v>
      </c>
      <c r="K95" s="15" t="n">
        <f aca="false">AVERAGE(I95:J95)</f>
        <v>3</v>
      </c>
      <c r="L95" s="19" t="n">
        <f aca="false">IFERROR(VLOOKUP(B95,'6-week2'!B:D,2,0),0)</f>
        <v>133</v>
      </c>
      <c r="M95" s="19" t="n">
        <f aca="false">IFERROR(VLOOKUP(B95,'6-week2'!B:D,3,0),0)</f>
        <v>30</v>
      </c>
      <c r="N95" s="19" t="n">
        <f aca="false">IF(L95&gt;179,5,IF(L95&gt;149,4,IF(L95&gt;119,3,IF(L95&gt;89,2,IF(L95&gt;59,1,IF(L95&lt;=59,0))))))</f>
        <v>3</v>
      </c>
      <c r="O95" s="19" t="n">
        <f aca="false">IF(M95&gt;39,1,IF(M95&gt;32,2,IF(M95&gt;26,3,IF(M95&gt;20,4,IF(M95&lt;=20,5)))))</f>
        <v>3</v>
      </c>
      <c r="P95" s="19" t="n">
        <f aca="false">AVERAGE(N95,O95)</f>
        <v>3</v>
      </c>
      <c r="Q95" s="19" t="n">
        <f aca="false">IFERROR(VLOOKUP(B95,'6-week1'!B:F,5,0),0)</f>
        <v>0</v>
      </c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</row>
    <row r="96" customFormat="false" ht="18" hidden="false" customHeight="true" outlineLevel="0" collapsed="false">
      <c r="A96" s="18" t="s">
        <v>141</v>
      </c>
      <c r="B96" s="18" t="str">
        <f aca="false">TRIM(A96)</f>
        <v>معصومه یعقوبی</v>
      </c>
      <c r="C96" s="18" t="str">
        <f aca="false">VLOOKUP(B96,Company!B:E,3,0)</f>
        <v>رازی</v>
      </c>
      <c r="D96" s="18" t="str">
        <f aca="false">VLOOKUP(B96,Company!B:E,2,0)</f>
        <v>صبح</v>
      </c>
      <c r="E96" s="18" t="str">
        <f aca="false" t="array" ref="E96:E96">IFERROR(INDEX('Team Leads'!$B:$D, MATCH(C96,'Team Leads'!$A:$A,0), MATCH(D96,'Team Leads'!$B$1:$D$1,0)), "")</f>
        <v>آتنا مالمیر</v>
      </c>
      <c r="F96" s="18" t="n">
        <f aca="false">VLOOKUP(B96,'Operator Bugs'!A:P,16,0)</f>
        <v>0</v>
      </c>
      <c r="G96" s="18" t="n">
        <f aca="false">IFERROR(VLOOKUP(B96,'6-week1'!B:D,2,0),0)</f>
        <v>78</v>
      </c>
      <c r="H96" s="18" t="n">
        <f aca="false">IFERROR(VLOOKUP(B96,'6-week1'!B:D,3,0),"-")</f>
        <v>20</v>
      </c>
      <c r="I96" s="18" t="n">
        <f aca="false">IF(G96&gt;179,5,IF(G96&gt;149,4,IF(G96&gt;119,3,IF(G96&gt;89,2,IF(G96&gt;59,1,IF(G96&lt;=59,0))))))</f>
        <v>1</v>
      </c>
      <c r="J96" s="18" t="n">
        <f aca="false">IF(H96&gt;39,1,IF(H96&gt;32,2,IF(H96&gt;26,3,IF(H96&gt;20,4,IF(H96&lt;=20,5)))))</f>
        <v>5</v>
      </c>
      <c r="K96" s="15" t="n">
        <f aca="false">AVERAGE(I96:J96)</f>
        <v>3</v>
      </c>
      <c r="L96" s="19" t="n">
        <f aca="false">IFERROR(VLOOKUP(B96,'6-week2'!B:D,2,0),0)</f>
        <v>78</v>
      </c>
      <c r="M96" s="19" t="n">
        <f aca="false">IFERROR(VLOOKUP(B96,'6-week2'!B:D,3,0),0)</f>
        <v>19</v>
      </c>
      <c r="N96" s="19" t="n">
        <f aca="false">IF(L96&gt;179,5,IF(L96&gt;149,4,IF(L96&gt;119,3,IF(L96&gt;89,2,IF(L96&gt;59,1,IF(L96&lt;=59,0))))))</f>
        <v>1</v>
      </c>
      <c r="O96" s="19" t="n">
        <f aca="false">IF(M96&gt;39,1,IF(M96&gt;32,2,IF(M96&gt;26,3,IF(M96&gt;20,4,IF(M96&lt;=20,5)))))</f>
        <v>5</v>
      </c>
      <c r="P96" s="19" t="n">
        <f aca="false">AVERAGE(N96,O96)</f>
        <v>3</v>
      </c>
      <c r="Q96" s="19" t="n">
        <f aca="false">IFERROR(VLOOKUP(B96,'6-week1'!B:F,5,0),0)</f>
        <v>0</v>
      </c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</row>
    <row r="97" customFormat="false" ht="18" hidden="false" customHeight="true" outlineLevel="0" collapsed="false">
      <c r="A97" s="18" t="s">
        <v>142</v>
      </c>
      <c r="B97" s="18" t="str">
        <f aca="false">TRIM(A97)</f>
        <v>منیر مغفوری</v>
      </c>
      <c r="C97" s="18" t="str">
        <f aca="false">VLOOKUP(B97,Company!B:E,3,0)</f>
        <v>رازی</v>
      </c>
      <c r="D97" s="18" t="str">
        <f aca="false">VLOOKUP(B97,Company!B:E,2,0)</f>
        <v>صبح</v>
      </c>
      <c r="E97" s="18" t="str">
        <f aca="false" t="array" ref="E97:E97">IFERROR(INDEX('Team Leads'!$B:$D, MATCH(C97,'Team Leads'!$A:$A,0), MATCH(D97,'Team Leads'!$B$1:$D$1,0)), "")</f>
        <v>آتنا مالمیر</v>
      </c>
      <c r="F97" s="18" t="n">
        <f aca="false">VLOOKUP(B97,'Operator Bugs'!A:P,16,0)</f>
        <v>0</v>
      </c>
      <c r="G97" s="18" t="n">
        <f aca="false">IFERROR(VLOOKUP(B97,'6-week1'!B:D,2,0),0)</f>
        <v>143</v>
      </c>
      <c r="H97" s="18" t="n">
        <f aca="false">IFERROR(VLOOKUP(B97,'6-week1'!B:D,3,0),"-")</f>
        <v>29</v>
      </c>
      <c r="I97" s="18" t="n">
        <f aca="false">IF(G97&gt;179,5,IF(G97&gt;149,4,IF(G97&gt;119,3,IF(G97&gt;89,2,IF(G97&gt;59,1,IF(G97&lt;=59,0))))))</f>
        <v>3</v>
      </c>
      <c r="J97" s="18" t="n">
        <f aca="false">IF(H97&gt;39,1,IF(H97&gt;32,2,IF(H97&gt;26,3,IF(H97&gt;20,4,IF(H97&lt;=20,5)))))</f>
        <v>3</v>
      </c>
      <c r="K97" s="15" t="n">
        <f aca="false">AVERAGE(I97:J97)</f>
        <v>3</v>
      </c>
      <c r="L97" s="19" t="n">
        <f aca="false">IFERROR(VLOOKUP(B97,'6-week2'!B:D,2,0),0)</f>
        <v>161</v>
      </c>
      <c r="M97" s="19" t="n">
        <f aca="false">IFERROR(VLOOKUP(B97,'6-week2'!B:D,3,0),0)</f>
        <v>27</v>
      </c>
      <c r="N97" s="19" t="n">
        <f aca="false">IF(L97&gt;179,5,IF(L97&gt;149,4,IF(L97&gt;119,3,IF(L97&gt;89,2,IF(L97&gt;59,1,IF(L97&lt;=59,0))))))</f>
        <v>4</v>
      </c>
      <c r="O97" s="19" t="n">
        <f aca="false">IF(M97&gt;39,1,IF(M97&gt;32,2,IF(M97&gt;26,3,IF(M97&gt;20,4,IF(M97&lt;=20,5)))))</f>
        <v>3</v>
      </c>
      <c r="P97" s="19" t="n">
        <f aca="false">AVERAGE(N97,O97)</f>
        <v>3.5</v>
      </c>
      <c r="Q97" s="19" t="n">
        <f aca="false">IFERROR(VLOOKUP(B97,'6-week1'!B:F,5,0),0)</f>
        <v>0</v>
      </c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</row>
    <row r="98" customFormat="false" ht="18" hidden="false" customHeight="true" outlineLevel="0" collapsed="false">
      <c r="A98" s="18" t="s">
        <v>143</v>
      </c>
      <c r="B98" s="18" t="str">
        <f aca="false">TRIM(A98)</f>
        <v>مهدی عبدی</v>
      </c>
      <c r="C98" s="18" t="str">
        <f aca="false">VLOOKUP(B98,Company!B:E,3,0)</f>
        <v>سینا</v>
      </c>
      <c r="D98" s="18" t="str">
        <f aca="false">VLOOKUP(B98,Company!B:E,2,0)</f>
        <v>عصر</v>
      </c>
      <c r="E98" s="18" t="str">
        <f aca="false" t="array" ref="E98:E98">IFERROR(INDEX('Team Leads'!$B:$D, MATCH(C98,'Team Leads'!$A:$A,0), MATCH(D98,'Team Leads'!$B$1:$D$1,0)), "")</f>
        <v>مهدی ایازی</v>
      </c>
      <c r="F98" s="18" t="n">
        <f aca="false">VLOOKUP(B98,'Operator Bugs'!A:P,16,0)</f>
        <v>0</v>
      </c>
      <c r="G98" s="18" t="n">
        <f aca="false">IFERROR(VLOOKUP(B98,'6-week1'!B:D,2,0),0)</f>
        <v>185</v>
      </c>
      <c r="H98" s="18" t="n">
        <f aca="false">IFERROR(VLOOKUP(B98,'6-week1'!B:D,3,0),"-")</f>
        <v>42</v>
      </c>
      <c r="I98" s="18" t="n">
        <f aca="false">IF(G98&gt;179,5,IF(G98&gt;149,4,IF(G98&gt;119,3,IF(G98&gt;89,2,IF(G98&gt;59,1,IF(G98&lt;=59,0))))))</f>
        <v>5</v>
      </c>
      <c r="J98" s="18" t="n">
        <f aca="false">IF(H98&gt;39,1,IF(H98&gt;32,2,IF(H98&gt;26,3,IF(H98&gt;20,4,IF(H98&lt;=20,5)))))</f>
        <v>1</v>
      </c>
      <c r="K98" s="15" t="n">
        <f aca="false">AVERAGE(I98:J98)</f>
        <v>3</v>
      </c>
      <c r="L98" s="19" t="n">
        <f aca="false">IFERROR(VLOOKUP(B98,'6-week2'!B:D,2,0),0)</f>
        <v>214</v>
      </c>
      <c r="M98" s="19" t="n">
        <f aca="false">IFERROR(VLOOKUP(B98,'6-week2'!B:D,3,0),0)</f>
        <v>29</v>
      </c>
      <c r="N98" s="19" t="n">
        <f aca="false">IF(L98&gt;179,5,IF(L98&gt;149,4,IF(L98&gt;119,3,IF(L98&gt;89,2,IF(L98&gt;59,1,IF(L98&lt;=59,0))))))</f>
        <v>5</v>
      </c>
      <c r="O98" s="19" t="n">
        <f aca="false">IF(M98&gt;39,1,IF(M98&gt;32,2,IF(M98&gt;26,3,IF(M98&gt;20,4,IF(M98&lt;=20,5)))))</f>
        <v>3</v>
      </c>
      <c r="P98" s="19" t="n">
        <f aca="false">AVERAGE(N98,O98)</f>
        <v>4</v>
      </c>
      <c r="Q98" s="19" t="n">
        <f aca="false">IFERROR(VLOOKUP(B98,'6-week1'!B:F,5,0),0)</f>
        <v>0</v>
      </c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</row>
    <row r="99" customFormat="false" ht="18" hidden="false" customHeight="true" outlineLevel="0" collapsed="false">
      <c r="A99" s="18" t="s">
        <v>144</v>
      </c>
      <c r="B99" s="18" t="str">
        <f aca="false">TRIM(A99)</f>
        <v>مهدیه آزادی</v>
      </c>
      <c r="C99" s="18" t="str">
        <f aca="false">VLOOKUP(B99,Company!B:E,3,0)</f>
        <v>سینا</v>
      </c>
      <c r="D99" s="18" t="str">
        <f aca="false">VLOOKUP(B99,Company!B:E,2,0)</f>
        <v>صبح</v>
      </c>
      <c r="E99" s="18" t="str">
        <f aca="false" t="array" ref="E99:E99">IFERROR(INDEX('Team Leads'!$B:$D, MATCH(C99,'Team Leads'!$A:$A,0), MATCH(D99,'Team Leads'!$B$1:$D$1,0)), "")</f>
        <v>فاطمه دهقانپور</v>
      </c>
      <c r="F99" s="18" t="n">
        <f aca="false">VLOOKUP(B99,'Operator Bugs'!A:P,16,0)</f>
        <v>0</v>
      </c>
      <c r="G99" s="18" t="n">
        <f aca="false">IFERROR(VLOOKUP(B99,'6-week1'!B:D,2,0),0)</f>
        <v>93</v>
      </c>
      <c r="H99" s="18" t="n">
        <f aca="false">IFERROR(VLOOKUP(B99,'6-week1'!B:D,3,0),"-")</f>
        <v>25</v>
      </c>
      <c r="I99" s="18" t="n">
        <f aca="false">IF(G99&gt;179,5,IF(G99&gt;149,4,IF(G99&gt;119,3,IF(G99&gt;89,2,IF(G99&gt;59,1,IF(G99&lt;=59,0))))))</f>
        <v>2</v>
      </c>
      <c r="J99" s="18" t="n">
        <f aca="false">IF(H99&gt;39,1,IF(H99&gt;32,2,IF(H99&gt;26,3,IF(H99&gt;20,4,IF(H99&lt;=20,5)))))</f>
        <v>4</v>
      </c>
      <c r="K99" s="15" t="n">
        <f aca="false">AVERAGE(I99:J99)</f>
        <v>3</v>
      </c>
      <c r="L99" s="19" t="n">
        <f aca="false">IFERROR(VLOOKUP(B99,'6-week2'!B:D,2,0),0)</f>
        <v>124</v>
      </c>
      <c r="M99" s="19" t="n">
        <f aca="false">IFERROR(VLOOKUP(B99,'6-week2'!B:D,3,0),0)</f>
        <v>25</v>
      </c>
      <c r="N99" s="19" t="n">
        <f aca="false">IF(L99&gt;179,5,IF(L99&gt;149,4,IF(L99&gt;119,3,IF(L99&gt;89,2,IF(L99&gt;59,1,IF(L99&lt;=59,0))))))</f>
        <v>3</v>
      </c>
      <c r="O99" s="19" t="n">
        <f aca="false">IF(M99&gt;39,1,IF(M99&gt;32,2,IF(M99&gt;26,3,IF(M99&gt;20,4,IF(M99&lt;=20,5)))))</f>
        <v>4</v>
      </c>
      <c r="P99" s="19" t="n">
        <f aca="false">AVERAGE(N99,O99)</f>
        <v>3.5</v>
      </c>
      <c r="Q99" s="19" t="n">
        <f aca="false">IFERROR(VLOOKUP(B99,'6-week1'!B:F,5,0),0)</f>
        <v>0</v>
      </c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</row>
    <row r="100" customFormat="false" ht="18" hidden="false" customHeight="true" outlineLevel="0" collapsed="false">
      <c r="A100" s="18" t="s">
        <v>145</v>
      </c>
      <c r="B100" s="18" t="str">
        <f aca="false">TRIM(A100)</f>
        <v>مهنا رئوف</v>
      </c>
      <c r="C100" s="18" t="str">
        <f aca="false">VLOOKUP(B100,Company!B:E,3,0)</f>
        <v>ایران</v>
      </c>
      <c r="D100" s="18" t="str">
        <f aca="false">VLOOKUP(B100,Company!B:E,2,0)</f>
        <v>عصر</v>
      </c>
      <c r="E100" s="18" t="str">
        <f aca="false" t="array" ref="E100:E100">IFERROR(INDEX('Team Leads'!$B:$D, MATCH(C100,'Team Leads'!$A:$A,0), MATCH(D100,'Team Leads'!$B$1:$D$1,0)), "")</f>
        <v>علیرضا زمانیان</v>
      </c>
      <c r="F100" s="18" t="n">
        <f aca="false">VLOOKUP(B100,'Operator Bugs'!A:P,16,0)</f>
        <v>0</v>
      </c>
      <c r="G100" s="18" t="n">
        <f aca="false">IFERROR(VLOOKUP(B100,'6-week1'!B:D,2,0),0)</f>
        <v>93</v>
      </c>
      <c r="H100" s="18" t="n">
        <f aca="false">IFERROR(VLOOKUP(B100,'6-week1'!B:D,3,0),"-")</f>
        <v>21</v>
      </c>
      <c r="I100" s="18" t="n">
        <f aca="false">IF(G100&gt;179,5,IF(G100&gt;149,4,IF(G100&gt;119,3,IF(G100&gt;89,2,IF(G100&gt;59,1,IF(G100&lt;=59,0))))))</f>
        <v>2</v>
      </c>
      <c r="J100" s="18" t="n">
        <f aca="false">IF(H100&gt;39,1,IF(H100&gt;32,2,IF(H100&gt;26,3,IF(H100&gt;20,4,IF(H100&lt;=20,5)))))</f>
        <v>4</v>
      </c>
      <c r="K100" s="15" t="n">
        <f aca="false">AVERAGE(I100:J100)</f>
        <v>3</v>
      </c>
      <c r="L100" s="19" t="n">
        <f aca="false">IFERROR(VLOOKUP(B100,'6-week2'!B:D,2,0),0)</f>
        <v>92</v>
      </c>
      <c r="M100" s="19" t="n">
        <f aca="false">IFERROR(VLOOKUP(B100,'6-week2'!B:D,3,0),0)</f>
        <v>29</v>
      </c>
      <c r="N100" s="19" t="n">
        <f aca="false">IF(L100&gt;179,5,IF(L100&gt;149,4,IF(L100&gt;119,3,IF(L100&gt;89,2,IF(L100&gt;59,1,IF(L100&lt;=59,0))))))</f>
        <v>2</v>
      </c>
      <c r="O100" s="19" t="n">
        <f aca="false">IF(M100&gt;39,1,IF(M100&gt;32,2,IF(M100&gt;26,3,IF(M100&gt;20,4,IF(M100&lt;=20,5)))))</f>
        <v>3</v>
      </c>
      <c r="P100" s="19" t="n">
        <f aca="false">AVERAGE(N100,O100)</f>
        <v>2.5</v>
      </c>
      <c r="Q100" s="19" t="n">
        <f aca="false">IFERROR(VLOOKUP(B100,'6-week1'!B:F,5,0),0)</f>
        <v>0</v>
      </c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</row>
    <row r="101" customFormat="false" ht="18" hidden="false" customHeight="true" outlineLevel="0" collapsed="false">
      <c r="A101" s="18" t="s">
        <v>146</v>
      </c>
      <c r="B101" s="18" t="str">
        <f aca="false">TRIM(A101)</f>
        <v>آزیتا عبدی</v>
      </c>
      <c r="C101" s="18" t="str">
        <f aca="false">VLOOKUP(B101,Company!B:E,3,0)</f>
        <v>رازی</v>
      </c>
      <c r="D101" s="18" t="str">
        <f aca="false">VLOOKUP(B101,Company!B:E,2,0)</f>
        <v>صبح</v>
      </c>
      <c r="E101" s="18" t="str">
        <f aca="false" t="array" ref="E101:E101">IFERROR(INDEX('Team Leads'!$B:$D, MATCH(C101,'Team Leads'!$A:$A,0), MATCH(D101,'Team Leads'!$B$1:$D$1,0)), "")</f>
        <v>آتنا مالمیر</v>
      </c>
      <c r="F101" s="18" t="n">
        <f aca="false">VLOOKUP(B101,'Operator Bugs'!A:P,16,0)</f>
        <v>0</v>
      </c>
      <c r="G101" s="18" t="n">
        <f aca="false">IFERROR(VLOOKUP(B101,'6-week1'!B:D,2,0),0)</f>
        <v>84</v>
      </c>
      <c r="H101" s="18" t="n">
        <f aca="false">IFERROR(VLOOKUP(B101,'6-week1'!B:D,3,0),"-")</f>
        <v>26</v>
      </c>
      <c r="I101" s="18" t="n">
        <f aca="false">IF(G101&gt;179,5,IF(G101&gt;149,4,IF(G101&gt;119,3,IF(G101&gt;89,2,IF(G101&gt;59,1,IF(G101&lt;=59,0))))))</f>
        <v>1</v>
      </c>
      <c r="J101" s="18" t="n">
        <f aca="false">IF(H101&gt;39,1,IF(H101&gt;32,2,IF(H101&gt;26,3,IF(H101&gt;20,4,IF(H101&lt;=20,5)))))</f>
        <v>4</v>
      </c>
      <c r="K101" s="15" t="n">
        <f aca="false">AVERAGE(I101:J101)</f>
        <v>2.5</v>
      </c>
      <c r="L101" s="19" t="n">
        <f aca="false">IFERROR(VLOOKUP(B101,'6-week2'!B:D,2,0),0)</f>
        <v>36</v>
      </c>
      <c r="M101" s="19" t="n">
        <f aca="false">IFERROR(VLOOKUP(B101,'6-week2'!B:D,3,0),0)</f>
        <v>24</v>
      </c>
      <c r="N101" s="19" t="n">
        <f aca="false">IF(L101&gt;179,5,IF(L101&gt;149,4,IF(L101&gt;119,3,IF(L101&gt;89,2,IF(L101&gt;59,1,IF(L101&lt;=59,0))))))</f>
        <v>0</v>
      </c>
      <c r="O101" s="19" t="n">
        <f aca="false">IF(M101&gt;39,1,IF(M101&gt;32,2,IF(M101&gt;26,3,IF(M101&gt;20,4,IF(M101&lt;=20,5)))))</f>
        <v>4</v>
      </c>
      <c r="P101" s="19" t="n">
        <f aca="false">AVERAGE(N101,O101)</f>
        <v>2</v>
      </c>
      <c r="Q101" s="19" t="n">
        <f aca="false">IFERROR(VLOOKUP(B101,'6-week1'!B:F,5,0),0)</f>
        <v>0</v>
      </c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</row>
    <row r="102" customFormat="false" ht="18" hidden="false" customHeight="true" outlineLevel="0" collapsed="false">
      <c r="A102" s="18" t="s">
        <v>147</v>
      </c>
      <c r="B102" s="18" t="str">
        <f aca="false">TRIM(A102)</f>
        <v>ابوالفضل بختیاری</v>
      </c>
      <c r="C102" s="18" t="str">
        <f aca="false">VLOOKUP(B102,Company!B:E,3,0)</f>
        <v>ایران</v>
      </c>
      <c r="D102" s="18" t="str">
        <f aca="false">VLOOKUP(B102,Company!B:E,2,0)</f>
        <v>عصر</v>
      </c>
      <c r="E102" s="18" t="str">
        <f aca="false" t="array" ref="E102:E102">IFERROR(INDEX('Team Leads'!$B:$D, MATCH(C102,'Team Leads'!$A:$A,0), MATCH(D102,'Team Leads'!$B$1:$D$1,0)), "")</f>
        <v>علیرضا زمانیان</v>
      </c>
      <c r="F102" s="18" t="n">
        <f aca="false">VLOOKUP(B102,'Operator Bugs'!A:P,16,0)</f>
        <v>0</v>
      </c>
      <c r="G102" s="18" t="n">
        <f aca="false">IFERROR(VLOOKUP(B102,'6-week1'!B:D,2,0),0)</f>
        <v>103</v>
      </c>
      <c r="H102" s="18" t="n">
        <f aca="false">IFERROR(VLOOKUP(B102,'6-week1'!B:D,3,0),"-")</f>
        <v>27</v>
      </c>
      <c r="I102" s="18" t="n">
        <f aca="false">IF(G102&gt;179,5,IF(G102&gt;149,4,IF(G102&gt;119,3,IF(G102&gt;89,2,IF(G102&gt;59,1,IF(G102&lt;=59,0))))))</f>
        <v>2</v>
      </c>
      <c r="J102" s="18" t="n">
        <f aca="false">IF(H102&gt;39,1,IF(H102&gt;32,2,IF(H102&gt;26,3,IF(H102&gt;20,4,IF(H102&lt;=20,5)))))</f>
        <v>3</v>
      </c>
      <c r="K102" s="15" t="n">
        <f aca="false">AVERAGE(I102:J102)</f>
        <v>2.5</v>
      </c>
      <c r="L102" s="19" t="n">
        <f aca="false">IFERROR(VLOOKUP(B102,'6-week2'!B:D,2,0),0)</f>
        <v>114</v>
      </c>
      <c r="M102" s="19" t="n">
        <f aca="false">IFERROR(VLOOKUP(B102,'6-week2'!B:D,3,0),0)</f>
        <v>39</v>
      </c>
      <c r="N102" s="19" t="n">
        <f aca="false">IF(L102&gt;179,5,IF(L102&gt;149,4,IF(L102&gt;119,3,IF(L102&gt;89,2,IF(L102&gt;59,1,IF(L102&lt;=59,0))))))</f>
        <v>2</v>
      </c>
      <c r="O102" s="19" t="n">
        <f aca="false">IF(M102&gt;39,1,IF(M102&gt;32,2,IF(M102&gt;26,3,IF(M102&gt;20,4,IF(M102&lt;=20,5)))))</f>
        <v>2</v>
      </c>
      <c r="P102" s="19" t="n">
        <f aca="false">AVERAGE(N102,O102)</f>
        <v>2</v>
      </c>
      <c r="Q102" s="19" t="n">
        <f aca="false">IFERROR(VLOOKUP(B102,'6-week1'!B:F,5,0),0)</f>
        <v>0</v>
      </c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</row>
    <row r="103" customFormat="false" ht="18" hidden="false" customHeight="true" outlineLevel="0" collapsed="false">
      <c r="A103" s="18" t="s">
        <v>148</v>
      </c>
      <c r="B103" s="18" t="str">
        <f aca="false">TRIM(A103)</f>
        <v>احسان بشیرزاده هنگامی</v>
      </c>
      <c r="C103" s="18" t="str">
        <f aca="false">VLOOKUP(B103,Company!B:E,3,0)</f>
        <v>رازی</v>
      </c>
      <c r="D103" s="18" t="str">
        <f aca="false">VLOOKUP(B103,Company!B:E,2,0)</f>
        <v>عصر</v>
      </c>
      <c r="E103" s="18" t="str">
        <f aca="false" t="array" ref="E103:E103">IFERROR(INDEX('Team Leads'!$B:$D, MATCH(C103,'Team Leads'!$A:$A,0), MATCH(D103,'Team Leads'!$B$1:$D$1,0)), "")</f>
        <v>امیررضا فلاح</v>
      </c>
      <c r="F103" s="18" t="n">
        <f aca="false">VLOOKUP(B103,'Operator Bugs'!A:P,16,0)</f>
        <v>0</v>
      </c>
      <c r="G103" s="18" t="n">
        <f aca="false">IFERROR(VLOOKUP(B103,'6-week1'!B:D,2,0),0)</f>
        <v>86</v>
      </c>
      <c r="H103" s="18" t="n">
        <f aca="false">IFERROR(VLOOKUP(B103,'6-week1'!B:D,3,0),"-")</f>
        <v>26</v>
      </c>
      <c r="I103" s="18" t="n">
        <f aca="false">IF(G103&gt;179,5,IF(G103&gt;149,4,IF(G103&gt;119,3,IF(G103&gt;89,2,IF(G103&gt;59,1,IF(G103&lt;=59,0))))))</f>
        <v>1</v>
      </c>
      <c r="J103" s="18" t="n">
        <f aca="false">IF(H103&gt;39,1,IF(H103&gt;32,2,IF(H103&gt;26,3,IF(H103&gt;20,4,IF(H103&lt;=20,5)))))</f>
        <v>4</v>
      </c>
      <c r="K103" s="15" t="n">
        <f aca="false">AVERAGE(I103:J103)</f>
        <v>2.5</v>
      </c>
      <c r="L103" s="19" t="n">
        <f aca="false">IFERROR(VLOOKUP(B103,'6-week2'!B:D,2,0),0)</f>
        <v>51</v>
      </c>
      <c r="M103" s="19" t="n">
        <f aca="false">IFERROR(VLOOKUP(B103,'6-week2'!B:D,3,0),0)</f>
        <v>37</v>
      </c>
      <c r="N103" s="19" t="n">
        <f aca="false">IF(L103&gt;179,5,IF(L103&gt;149,4,IF(L103&gt;119,3,IF(L103&gt;89,2,IF(L103&gt;59,1,IF(L103&lt;=59,0))))))</f>
        <v>0</v>
      </c>
      <c r="O103" s="19" t="n">
        <f aca="false">IF(M103&gt;39,1,IF(M103&gt;32,2,IF(M103&gt;26,3,IF(M103&gt;20,4,IF(M103&lt;=20,5)))))</f>
        <v>2</v>
      </c>
      <c r="P103" s="19" t="n">
        <f aca="false">AVERAGE(N103,O103)</f>
        <v>1</v>
      </c>
      <c r="Q103" s="19" t="n">
        <f aca="false">IFERROR(VLOOKUP(B103,'6-week1'!B:F,5,0),0)</f>
        <v>0</v>
      </c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</row>
    <row r="104" customFormat="false" ht="18" hidden="false" customHeight="true" outlineLevel="0" collapsed="false">
      <c r="A104" s="18" t="s">
        <v>149</v>
      </c>
      <c r="B104" s="18" t="str">
        <f aca="false">TRIM(A104)</f>
        <v>امیر محمد فیروزی</v>
      </c>
      <c r="C104" s="18" t="str">
        <f aca="false">VLOOKUP(B104,Company!B:E,3,0)</f>
        <v>ایران</v>
      </c>
      <c r="D104" s="18" t="str">
        <f aca="false">VLOOKUP(B104,Company!B:E,2,0)</f>
        <v>صبح</v>
      </c>
      <c r="E104" s="18" t="str">
        <f aca="false" t="array" ref="E104:E104">IFERROR(INDEX('Team Leads'!$B:$D, MATCH(C104,'Team Leads'!$A:$A,0), MATCH(D104,'Team Leads'!$B$1:$D$1,0)), "")</f>
        <v>مهدی فراهانی</v>
      </c>
      <c r="F104" s="18" t="n">
        <f aca="false">VLOOKUP(B104,'Operator Bugs'!A:P,16,0)</f>
        <v>0</v>
      </c>
      <c r="G104" s="18" t="n">
        <f aca="false">IFERROR(VLOOKUP(B104,'6-week1'!B:D,2,0),0)</f>
        <v>7</v>
      </c>
      <c r="H104" s="18" t="n">
        <f aca="false">IFERROR(VLOOKUP(B104,'6-week1'!B:D,3,0),"-")</f>
        <v>20</v>
      </c>
      <c r="I104" s="18" t="n">
        <f aca="false">IF(G104&gt;179,5,IF(G104&gt;149,4,IF(G104&gt;119,3,IF(G104&gt;89,2,IF(G104&gt;59,1,IF(G104&lt;=59,0))))))</f>
        <v>0</v>
      </c>
      <c r="J104" s="18" t="n">
        <f aca="false">IF(H104&gt;39,1,IF(H104&gt;32,2,IF(H104&gt;26,3,IF(H104&gt;20,4,IF(H104&lt;=20,5)))))</f>
        <v>5</v>
      </c>
      <c r="K104" s="15" t="n">
        <f aca="false">AVERAGE(I104:J104)</f>
        <v>2.5</v>
      </c>
      <c r="L104" s="19" t="n">
        <f aca="false">IFERROR(VLOOKUP(B104,'6-week2'!B:D,2,0),0)</f>
        <v>0</v>
      </c>
      <c r="M104" s="19" t="n">
        <f aca="false">IFERROR(VLOOKUP(B104,'6-week2'!B:D,3,0),0)</f>
        <v>0</v>
      </c>
      <c r="N104" s="19" t="n">
        <f aca="false">IF(L104&gt;179,5,IF(L104&gt;149,4,IF(L104&gt;119,3,IF(L104&gt;89,2,IF(L104&gt;59,1,IF(L104&lt;=59,0))))))</f>
        <v>0</v>
      </c>
      <c r="O104" s="19" t="n">
        <f aca="false">IF(M104&gt;39,1,IF(M104&gt;32,2,IF(M104&gt;26,3,IF(M104&gt;20,4,IF(M104&lt;=20,5)))))</f>
        <v>5</v>
      </c>
      <c r="P104" s="19" t="n">
        <f aca="false">AVERAGE(N104,O104)</f>
        <v>2.5</v>
      </c>
      <c r="Q104" s="19" t="n">
        <f aca="false">IFERROR(VLOOKUP(B104,'6-week1'!B:F,5,0),0)</f>
        <v>0</v>
      </c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</row>
    <row r="105" customFormat="false" ht="18" hidden="false" customHeight="true" outlineLevel="0" collapsed="false">
      <c r="A105" s="18" t="s">
        <v>150</v>
      </c>
      <c r="B105" s="18" t="str">
        <f aca="false">TRIM(A105)</f>
        <v>امیرمحمد نسائی</v>
      </c>
      <c r="C105" s="18" t="str">
        <f aca="false">VLOOKUP(B105,Company!B:E,3,0)</f>
        <v>ایران</v>
      </c>
      <c r="D105" s="18" t="str">
        <f aca="false">VLOOKUP(B105,Company!B:E,2,0)</f>
        <v>عصر</v>
      </c>
      <c r="E105" s="18" t="str">
        <f aca="false" t="array" ref="E105:E105">IFERROR(INDEX('Team Leads'!$B:$D, MATCH(C105,'Team Leads'!$A:$A,0), MATCH(D105,'Team Leads'!$B$1:$D$1,0)), "")</f>
        <v>علیرضا زمانیان</v>
      </c>
      <c r="F105" s="18" t="n">
        <f aca="false">VLOOKUP(B105,'Operator Bugs'!A:P,16,0)</f>
        <v>0</v>
      </c>
      <c r="G105" s="18" t="n">
        <f aca="false">IFERROR(VLOOKUP(B105,'6-week1'!B:D,2,0),0)</f>
        <v>86</v>
      </c>
      <c r="H105" s="18" t="n">
        <f aca="false">IFERROR(VLOOKUP(B105,'6-week1'!B:D,3,0),"-")</f>
        <v>22</v>
      </c>
      <c r="I105" s="18" t="n">
        <f aca="false">IF(G105&gt;179,5,IF(G105&gt;149,4,IF(G105&gt;119,3,IF(G105&gt;89,2,IF(G105&gt;59,1,IF(G105&lt;=59,0))))))</f>
        <v>1</v>
      </c>
      <c r="J105" s="18" t="n">
        <f aca="false">IF(H105&gt;39,1,IF(H105&gt;32,2,IF(H105&gt;26,3,IF(H105&gt;20,4,IF(H105&lt;=20,5)))))</f>
        <v>4</v>
      </c>
      <c r="K105" s="15" t="n">
        <f aca="false">AVERAGE(I105:J105)</f>
        <v>2.5</v>
      </c>
      <c r="L105" s="19" t="n">
        <f aca="false">IFERROR(VLOOKUP(B105,'6-week2'!B:D,2,0),0)</f>
        <v>144</v>
      </c>
      <c r="M105" s="19" t="n">
        <f aca="false">IFERROR(VLOOKUP(B105,'6-week2'!B:D,3,0),0)</f>
        <v>27</v>
      </c>
      <c r="N105" s="19" t="n">
        <f aca="false">IF(L105&gt;179,5,IF(L105&gt;149,4,IF(L105&gt;119,3,IF(L105&gt;89,2,IF(L105&gt;59,1,IF(L105&lt;=59,0))))))</f>
        <v>3</v>
      </c>
      <c r="O105" s="19" t="n">
        <f aca="false">IF(M105&gt;39,1,IF(M105&gt;32,2,IF(M105&gt;26,3,IF(M105&gt;20,4,IF(M105&lt;=20,5)))))</f>
        <v>3</v>
      </c>
      <c r="P105" s="19" t="n">
        <f aca="false">AVERAGE(N105,O105)</f>
        <v>3</v>
      </c>
      <c r="Q105" s="19" t="n">
        <f aca="false">IFERROR(VLOOKUP(B105,'6-week1'!B:F,5,0),0)</f>
        <v>0</v>
      </c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</row>
    <row r="106" customFormat="false" ht="18" hidden="false" customHeight="true" outlineLevel="0" collapsed="false">
      <c r="A106" s="18" t="s">
        <v>151</v>
      </c>
      <c r="B106" s="18" t="str">
        <f aca="false">TRIM(A106)</f>
        <v>پریا کشوری</v>
      </c>
      <c r="C106" s="18" t="str">
        <f aca="false">VLOOKUP(B106,Company!B:E,3,0)</f>
        <v>تعاون</v>
      </c>
      <c r="D106" s="18" t="str">
        <f aca="false">VLOOKUP(B106,Company!B:E,2,0)</f>
        <v>صبح</v>
      </c>
      <c r="E106" s="18" t="str">
        <f aca="false" t="array" ref="E106:E106">IFERROR(INDEX('Team Leads'!$B:$D, MATCH(C106,'Team Leads'!$A:$A,0), MATCH(D106,'Team Leads'!$B$1:$D$1,0)), "")</f>
        <v>مهدی فراهانی</v>
      </c>
      <c r="F106" s="18" t="n">
        <f aca="false">VLOOKUP(B106,'Operator Bugs'!A:P,16,0)</f>
        <v>0</v>
      </c>
      <c r="G106" s="18" t="n">
        <f aca="false">IFERROR(VLOOKUP(B106,'6-week1'!B:D,2,0),0)</f>
        <v>15</v>
      </c>
      <c r="H106" s="18" t="n">
        <f aca="false">IFERROR(VLOOKUP(B106,'6-week1'!B:D,3,0),"-")</f>
        <v>17</v>
      </c>
      <c r="I106" s="18" t="n">
        <f aca="false">IF(G106&gt;179,5,IF(G106&gt;149,4,IF(G106&gt;119,3,IF(G106&gt;89,2,IF(G106&gt;59,1,IF(G106&lt;=59,0))))))</f>
        <v>0</v>
      </c>
      <c r="J106" s="18" t="n">
        <f aca="false">IF(H106&gt;39,1,IF(H106&gt;32,2,IF(H106&gt;26,3,IF(H106&gt;20,4,IF(H106&lt;=20,5)))))</f>
        <v>5</v>
      </c>
      <c r="K106" s="15" t="n">
        <f aca="false">AVERAGE(I106:J106)</f>
        <v>2.5</v>
      </c>
      <c r="L106" s="19" t="n">
        <f aca="false">IFERROR(VLOOKUP(B106,'6-week2'!B:D,2,0),0)</f>
        <v>132</v>
      </c>
      <c r="M106" s="19" t="n">
        <f aca="false">IFERROR(VLOOKUP(B106,'6-week2'!B:D,3,0),0)</f>
        <v>31</v>
      </c>
      <c r="N106" s="19" t="n">
        <f aca="false">IF(L106&gt;179,5,IF(L106&gt;149,4,IF(L106&gt;119,3,IF(L106&gt;89,2,IF(L106&gt;59,1,IF(L106&lt;=59,0))))))</f>
        <v>3</v>
      </c>
      <c r="O106" s="19" t="n">
        <f aca="false">IF(M106&gt;39,1,IF(M106&gt;32,2,IF(M106&gt;26,3,IF(M106&gt;20,4,IF(M106&lt;=20,5)))))</f>
        <v>3</v>
      </c>
      <c r="P106" s="19" t="n">
        <f aca="false">AVERAGE(N106,O106)</f>
        <v>3</v>
      </c>
      <c r="Q106" s="19" t="n">
        <f aca="false">IFERROR(VLOOKUP(B106,'6-week1'!B:F,5,0),0)</f>
        <v>0</v>
      </c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</row>
    <row r="107" customFormat="false" ht="18" hidden="false" customHeight="true" outlineLevel="0" collapsed="false">
      <c r="A107" s="18" t="s">
        <v>152</v>
      </c>
      <c r="B107" s="18" t="str">
        <f aca="false">TRIM(A107)</f>
        <v>حامد رضایی</v>
      </c>
      <c r="C107" s="18" t="str">
        <f aca="false">VLOOKUP(B107,Company!B:E,3,0)</f>
        <v>ایران</v>
      </c>
      <c r="D107" s="18" t="str">
        <f aca="false">VLOOKUP(B107,Company!B:E,2,0)</f>
        <v>عصر</v>
      </c>
      <c r="E107" s="18" t="str">
        <f aca="false" t="array" ref="E107:E107">IFERROR(INDEX('Team Leads'!$B:$D, MATCH(C107,'Team Leads'!$A:$A,0), MATCH(D107,'Team Leads'!$B$1:$D$1,0)), "")</f>
        <v>علیرضا زمانیان</v>
      </c>
      <c r="F107" s="18" t="n">
        <f aca="false">VLOOKUP(B107,'Operator Bugs'!A:P,16,0)</f>
        <v>0</v>
      </c>
      <c r="G107" s="18" t="n">
        <f aca="false">IFERROR(VLOOKUP(B107,'6-week1'!B:D,2,0),0)</f>
        <v>133</v>
      </c>
      <c r="H107" s="18" t="n">
        <f aca="false">IFERROR(VLOOKUP(B107,'6-week1'!B:D,3,0),"-")</f>
        <v>39</v>
      </c>
      <c r="I107" s="18" t="n">
        <f aca="false">IF(G107&gt;179,5,IF(G107&gt;149,4,IF(G107&gt;119,3,IF(G107&gt;89,2,IF(G107&gt;59,1,IF(G107&lt;=59,0))))))</f>
        <v>3</v>
      </c>
      <c r="J107" s="18" t="n">
        <f aca="false">IF(H107&gt;39,1,IF(H107&gt;32,2,IF(H107&gt;26,3,IF(H107&gt;20,4,IF(H107&lt;=20,5)))))</f>
        <v>2</v>
      </c>
      <c r="K107" s="15" t="n">
        <f aca="false">AVERAGE(I107:J107)</f>
        <v>2.5</v>
      </c>
      <c r="L107" s="19" t="n">
        <f aca="false">IFERROR(VLOOKUP(B107,'6-week2'!B:D,2,0),0)</f>
        <v>137</v>
      </c>
      <c r="M107" s="19" t="n">
        <f aca="false">IFERROR(VLOOKUP(B107,'6-week2'!B:D,3,0),0)</f>
        <v>43</v>
      </c>
      <c r="N107" s="19" t="n">
        <f aca="false">IF(L107&gt;179,5,IF(L107&gt;149,4,IF(L107&gt;119,3,IF(L107&gt;89,2,IF(L107&gt;59,1,IF(L107&lt;=59,0))))))</f>
        <v>3</v>
      </c>
      <c r="O107" s="19" t="n">
        <f aca="false">IF(M107&gt;39,1,IF(M107&gt;32,2,IF(M107&gt;26,3,IF(M107&gt;20,4,IF(M107&lt;=20,5)))))</f>
        <v>1</v>
      </c>
      <c r="P107" s="19" t="n">
        <f aca="false">AVERAGE(N107,O107)</f>
        <v>2</v>
      </c>
      <c r="Q107" s="19" t="n">
        <f aca="false">IFERROR(VLOOKUP(B107,'6-week1'!B:F,5,0),0)</f>
        <v>0</v>
      </c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</row>
    <row r="108" customFormat="false" ht="18" hidden="false" customHeight="true" outlineLevel="0" collapsed="false">
      <c r="A108" s="18" t="s">
        <v>153</v>
      </c>
      <c r="B108" s="18" t="str">
        <f aca="false">TRIM(A108)</f>
        <v>حنانه حنانی</v>
      </c>
      <c r="C108" s="18" t="str">
        <f aca="false">VLOOKUP(B108,Company!B:E,3,0)</f>
        <v>تعاون</v>
      </c>
      <c r="D108" s="18" t="str">
        <f aca="false">VLOOKUP(B108,Company!B:E,2,0)</f>
        <v>صبح</v>
      </c>
      <c r="E108" s="18" t="str">
        <f aca="false" t="array" ref="E108:E108">IFERROR(INDEX('Team Leads'!$B:$D, MATCH(C108,'Team Leads'!$A:$A,0), MATCH(D108,'Team Leads'!$B$1:$D$1,0)), "")</f>
        <v>مهدی فراهانی</v>
      </c>
      <c r="F108" s="18" t="n">
        <f aca="false">VLOOKUP(B108,'Operator Bugs'!A:P,16,0)</f>
        <v>0</v>
      </c>
      <c r="G108" s="18" t="n">
        <f aca="false">IFERROR(VLOOKUP(B108,'6-week1'!B:D,2,0),0)</f>
        <v>96</v>
      </c>
      <c r="H108" s="18" t="n">
        <f aca="false">IFERROR(VLOOKUP(B108,'6-week1'!B:D,3,0),"-")</f>
        <v>27</v>
      </c>
      <c r="I108" s="18" t="n">
        <f aca="false">IF(G108&gt;179,5,IF(G108&gt;149,4,IF(G108&gt;119,3,IF(G108&gt;89,2,IF(G108&gt;59,1,IF(G108&lt;=59,0))))))</f>
        <v>2</v>
      </c>
      <c r="J108" s="18" t="n">
        <f aca="false">IF(H108&gt;39,1,IF(H108&gt;32,2,IF(H108&gt;26,3,IF(H108&gt;20,4,IF(H108&lt;=20,5)))))</f>
        <v>3</v>
      </c>
      <c r="K108" s="15" t="n">
        <f aca="false">AVERAGE(I108:J108)</f>
        <v>2.5</v>
      </c>
      <c r="L108" s="19" t="n">
        <f aca="false">IFERROR(VLOOKUP(B108,'6-week2'!B:D,2,0),0)</f>
        <v>105</v>
      </c>
      <c r="M108" s="19" t="n">
        <f aca="false">IFERROR(VLOOKUP(B108,'6-week2'!B:D,3,0),0)</f>
        <v>26</v>
      </c>
      <c r="N108" s="19" t="n">
        <f aca="false">IF(L108&gt;179,5,IF(L108&gt;149,4,IF(L108&gt;119,3,IF(L108&gt;89,2,IF(L108&gt;59,1,IF(L108&lt;=59,0))))))</f>
        <v>2</v>
      </c>
      <c r="O108" s="19" t="n">
        <f aca="false">IF(M108&gt;39,1,IF(M108&gt;32,2,IF(M108&gt;26,3,IF(M108&gt;20,4,IF(M108&lt;=20,5)))))</f>
        <v>4</v>
      </c>
      <c r="P108" s="19" t="n">
        <f aca="false">AVERAGE(N108,O108)</f>
        <v>3</v>
      </c>
      <c r="Q108" s="19" t="n">
        <f aca="false">IFERROR(VLOOKUP(B108,'6-week1'!B:F,5,0),0)</f>
        <v>0</v>
      </c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</row>
    <row r="109" customFormat="false" ht="18" hidden="false" customHeight="true" outlineLevel="0" collapsed="false">
      <c r="A109" s="18" t="s">
        <v>154</v>
      </c>
      <c r="B109" s="18" t="str">
        <f aca="false">TRIM(A109)</f>
        <v>دنیا سیسختی</v>
      </c>
      <c r="C109" s="18" t="str">
        <f aca="false">VLOOKUP(B109,Company!B:E,3,0)</f>
        <v>رازی</v>
      </c>
      <c r="D109" s="18" t="str">
        <f aca="false">VLOOKUP(B109,Company!B:E,2,0)</f>
        <v>صبح</v>
      </c>
      <c r="E109" s="18" t="str">
        <f aca="false" t="array" ref="E109:E109">IFERROR(INDEX('Team Leads'!$B:$D, MATCH(C109,'Team Leads'!$A:$A,0), MATCH(D109,'Team Leads'!$B$1:$D$1,0)), "")</f>
        <v>آتنا مالمیر</v>
      </c>
      <c r="F109" s="18" t="n">
        <f aca="false">VLOOKUP(B109,'Operator Bugs'!A:P,16,0)</f>
        <v>0</v>
      </c>
      <c r="G109" s="18" t="n">
        <f aca="false">IFERROR(VLOOKUP(B109,'6-week1'!B:D,2,0),0)</f>
        <v>70</v>
      </c>
      <c r="H109" s="18" t="n">
        <f aca="false">IFERROR(VLOOKUP(B109,'6-week1'!B:D,3,0),"-")</f>
        <v>23</v>
      </c>
      <c r="I109" s="18" t="n">
        <f aca="false">IF(G109&gt;179,5,IF(G109&gt;149,4,IF(G109&gt;119,3,IF(G109&gt;89,2,IF(G109&gt;59,1,IF(G109&lt;=59,0))))))</f>
        <v>1</v>
      </c>
      <c r="J109" s="18" t="n">
        <f aca="false">IF(H109&gt;39,1,IF(H109&gt;32,2,IF(H109&gt;26,3,IF(H109&gt;20,4,IF(H109&lt;=20,5)))))</f>
        <v>4</v>
      </c>
      <c r="K109" s="15" t="n">
        <f aca="false">AVERAGE(I109:J109)</f>
        <v>2.5</v>
      </c>
      <c r="L109" s="19" t="n">
        <f aca="false">IFERROR(VLOOKUP(B109,'6-week2'!B:D,2,0),0)</f>
        <v>72</v>
      </c>
      <c r="M109" s="19" t="n">
        <f aca="false">IFERROR(VLOOKUP(B109,'6-week2'!B:D,3,0),0)</f>
        <v>22</v>
      </c>
      <c r="N109" s="19" t="n">
        <f aca="false">IF(L109&gt;179,5,IF(L109&gt;149,4,IF(L109&gt;119,3,IF(L109&gt;89,2,IF(L109&gt;59,1,IF(L109&lt;=59,0))))))</f>
        <v>1</v>
      </c>
      <c r="O109" s="19" t="n">
        <f aca="false">IF(M109&gt;39,1,IF(M109&gt;32,2,IF(M109&gt;26,3,IF(M109&gt;20,4,IF(M109&lt;=20,5)))))</f>
        <v>4</v>
      </c>
      <c r="P109" s="19" t="n">
        <f aca="false">AVERAGE(N109,O109)</f>
        <v>2.5</v>
      </c>
      <c r="Q109" s="19" t="n">
        <f aca="false">IFERROR(VLOOKUP(B109,'6-week1'!B:F,5,0),0)</f>
        <v>0</v>
      </c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</row>
    <row r="110" customFormat="false" ht="18" hidden="false" customHeight="true" outlineLevel="0" collapsed="false">
      <c r="A110" s="18" t="s">
        <v>155</v>
      </c>
      <c r="B110" s="18" t="str">
        <f aca="false">TRIM(A110)</f>
        <v>زهرا اکبری</v>
      </c>
      <c r="C110" s="18" t="str">
        <f aca="false">VLOOKUP(B110,Company!B:E,3,0)</f>
        <v>پارسیان</v>
      </c>
      <c r="D110" s="18" t="str">
        <f aca="false">VLOOKUP(B110,Company!B:E,2,0)</f>
        <v>صبح</v>
      </c>
      <c r="E110" s="18" t="str">
        <f aca="false" t="array" ref="E110:E110">IFERROR(INDEX('Team Leads'!$B:$D, MATCH(C110,'Team Leads'!$A:$A,0), MATCH(D110,'Team Leads'!$B$1:$D$1,0)), "")</f>
        <v>فاطمه دهقانپور</v>
      </c>
      <c r="F110" s="18" t="n">
        <f aca="false">VLOOKUP(B110,'Operator Bugs'!A:P,16,0)</f>
        <v>0</v>
      </c>
      <c r="G110" s="18" t="n">
        <f aca="false">IFERROR(VLOOKUP(B110,'6-week1'!B:D,2,0),0)</f>
        <v>21</v>
      </c>
      <c r="H110" s="18" t="n">
        <f aca="false">IFERROR(VLOOKUP(B110,'6-week1'!B:D,3,0),"-")</f>
        <v>20</v>
      </c>
      <c r="I110" s="18" t="n">
        <f aca="false">IF(G110&gt;179,5,IF(G110&gt;149,4,IF(G110&gt;119,3,IF(G110&gt;89,2,IF(G110&gt;59,1,IF(G110&lt;=59,0))))))</f>
        <v>0</v>
      </c>
      <c r="J110" s="18" t="n">
        <f aca="false">IF(H110&gt;39,1,IF(H110&gt;32,2,IF(H110&gt;26,3,IF(H110&gt;20,4,IF(H110&lt;=20,5)))))</f>
        <v>5</v>
      </c>
      <c r="K110" s="15" t="n">
        <f aca="false">AVERAGE(I110:J110)</f>
        <v>2.5</v>
      </c>
      <c r="L110" s="19" t="n">
        <f aca="false">IFERROR(VLOOKUP(B110,'6-week2'!B:D,2,0),0)</f>
        <v>13</v>
      </c>
      <c r="M110" s="19" t="n">
        <f aca="false">IFERROR(VLOOKUP(B110,'6-week2'!B:D,3,0),0)</f>
        <v>20</v>
      </c>
      <c r="N110" s="19" t="n">
        <f aca="false">IF(L110&gt;179,5,IF(L110&gt;149,4,IF(L110&gt;119,3,IF(L110&gt;89,2,IF(L110&gt;59,1,IF(L110&lt;=59,0))))))</f>
        <v>0</v>
      </c>
      <c r="O110" s="19" t="n">
        <f aca="false">IF(M110&gt;39,1,IF(M110&gt;32,2,IF(M110&gt;26,3,IF(M110&gt;20,4,IF(M110&lt;=20,5)))))</f>
        <v>5</v>
      </c>
      <c r="P110" s="19" t="n">
        <f aca="false">AVERAGE(N110,O110)</f>
        <v>2.5</v>
      </c>
      <c r="Q110" s="19" t="n">
        <f aca="false">IFERROR(VLOOKUP(B110,'6-week1'!B:F,5,0),0)</f>
        <v>0</v>
      </c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</row>
    <row r="111" customFormat="false" ht="18" hidden="false" customHeight="true" outlineLevel="0" collapsed="false">
      <c r="A111" s="18" t="s">
        <v>156</v>
      </c>
      <c r="B111" s="18" t="str">
        <f aca="false">TRIM(A111)</f>
        <v>زهرا عسگری</v>
      </c>
      <c r="C111" s="18" t="str">
        <f aca="false">VLOOKUP(B111,Company!B:E,3,0)</f>
        <v>هوشمند فردا</v>
      </c>
      <c r="D111" s="18" t="str">
        <f aca="false">VLOOKUP(B111,Company!B:E,2,0)</f>
        <v>عصر</v>
      </c>
      <c r="E111" s="18" t="str">
        <f aca="false" t="array" ref="E111:E111">IFERROR(INDEX('Team Leads'!$B:$D, MATCH(C111,'Team Leads'!$A:$A,0), MATCH(D111,'Team Leads'!$B$1:$D$1,0)), "")</f>
        <v>مهدی ایازی</v>
      </c>
      <c r="F111" s="18" t="n">
        <f aca="false">VLOOKUP(B111,'Operator Bugs'!A:P,16,0)</f>
        <v>0</v>
      </c>
      <c r="G111" s="18" t="n">
        <f aca="false">IFERROR(VLOOKUP(B111,'6-week1'!B:D,2,0),0)</f>
        <v>142</v>
      </c>
      <c r="H111" s="18" t="n">
        <f aca="false">IFERROR(VLOOKUP(B111,'6-week1'!B:D,3,0),"-")</f>
        <v>33</v>
      </c>
      <c r="I111" s="18" t="n">
        <f aca="false">IF(G111&gt;179,5,IF(G111&gt;149,4,IF(G111&gt;119,3,IF(G111&gt;89,2,IF(G111&gt;59,1,IF(G111&lt;=59,0))))))</f>
        <v>3</v>
      </c>
      <c r="J111" s="18" t="n">
        <f aca="false">IF(H111&gt;39,1,IF(H111&gt;32,2,IF(H111&gt;26,3,IF(H111&gt;20,4,IF(H111&lt;=20,5)))))</f>
        <v>2</v>
      </c>
      <c r="K111" s="15" t="n">
        <f aca="false">AVERAGE(I111:J111)</f>
        <v>2.5</v>
      </c>
      <c r="L111" s="19" t="n">
        <f aca="false">IFERROR(VLOOKUP(B111,'6-week2'!B:D,2,0),0)</f>
        <v>139</v>
      </c>
      <c r="M111" s="19" t="n">
        <f aca="false">IFERROR(VLOOKUP(B111,'6-week2'!B:D,3,0),0)</f>
        <v>39</v>
      </c>
      <c r="N111" s="19" t="n">
        <f aca="false">IF(L111&gt;179,5,IF(L111&gt;149,4,IF(L111&gt;119,3,IF(L111&gt;89,2,IF(L111&gt;59,1,IF(L111&lt;=59,0))))))</f>
        <v>3</v>
      </c>
      <c r="O111" s="19" t="n">
        <f aca="false">IF(M111&gt;39,1,IF(M111&gt;32,2,IF(M111&gt;26,3,IF(M111&gt;20,4,IF(M111&lt;=20,5)))))</f>
        <v>2</v>
      </c>
      <c r="P111" s="19" t="n">
        <f aca="false">AVERAGE(N111,O111)</f>
        <v>2.5</v>
      </c>
      <c r="Q111" s="19" t="n">
        <f aca="false">IFERROR(VLOOKUP(B111,'6-week1'!B:F,5,0),0)</f>
        <v>0</v>
      </c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</row>
    <row r="112" customFormat="false" ht="18" hidden="false" customHeight="true" outlineLevel="0" collapsed="false">
      <c r="A112" s="18" t="s">
        <v>157</v>
      </c>
      <c r="B112" s="18" t="str">
        <f aca="false">TRIM(A112)</f>
        <v>زهره شمس</v>
      </c>
      <c r="C112" s="18" t="str">
        <f aca="false">VLOOKUP(B112,Company!B:E,3,0)</f>
        <v>رازی</v>
      </c>
      <c r="D112" s="18" t="str">
        <f aca="false">VLOOKUP(B112,Company!B:E,2,0)</f>
        <v>صبح</v>
      </c>
      <c r="E112" s="18" t="str">
        <f aca="false" t="array" ref="E112:E112">IFERROR(INDEX('Team Leads'!$B:$D, MATCH(C112,'Team Leads'!$A:$A,0), MATCH(D112,'Team Leads'!$B$1:$D$1,0)), "")</f>
        <v>آتنا مالمیر</v>
      </c>
      <c r="F112" s="18" t="n">
        <f aca="false">VLOOKUP(B112,'Operator Bugs'!A:P,16,0)</f>
        <v>0</v>
      </c>
      <c r="G112" s="18" t="n">
        <f aca="false">IFERROR(VLOOKUP(B112,'6-week1'!B:D,2,0),0)</f>
        <v>67</v>
      </c>
      <c r="H112" s="18" t="n">
        <f aca="false">IFERROR(VLOOKUP(B112,'6-week1'!B:D,3,0),"-")</f>
        <v>26</v>
      </c>
      <c r="I112" s="18" t="n">
        <f aca="false">IF(G112&gt;179,5,IF(G112&gt;149,4,IF(G112&gt;119,3,IF(G112&gt;89,2,IF(G112&gt;59,1,IF(G112&lt;=59,0))))))</f>
        <v>1</v>
      </c>
      <c r="J112" s="18" t="n">
        <f aca="false">IF(H112&gt;39,1,IF(H112&gt;32,2,IF(H112&gt;26,3,IF(H112&gt;20,4,IF(H112&lt;=20,5)))))</f>
        <v>4</v>
      </c>
      <c r="K112" s="15" t="n">
        <f aca="false">AVERAGE(I112:J112)</f>
        <v>2.5</v>
      </c>
      <c r="L112" s="19" t="n">
        <f aca="false">IFERROR(VLOOKUP(B112,'6-week2'!B:D,2,0),0)</f>
        <v>182</v>
      </c>
      <c r="M112" s="19" t="n">
        <f aca="false">IFERROR(VLOOKUP(B112,'6-week2'!B:D,3,0),0)</f>
        <v>25</v>
      </c>
      <c r="N112" s="19" t="n">
        <f aca="false">IF(L112&gt;179,5,IF(L112&gt;149,4,IF(L112&gt;119,3,IF(L112&gt;89,2,IF(L112&gt;59,1,IF(L112&lt;=59,0))))))</f>
        <v>5</v>
      </c>
      <c r="O112" s="19" t="n">
        <f aca="false">IF(M112&gt;39,1,IF(M112&gt;32,2,IF(M112&gt;26,3,IF(M112&gt;20,4,IF(M112&lt;=20,5)))))</f>
        <v>4</v>
      </c>
      <c r="P112" s="19" t="n">
        <f aca="false">AVERAGE(N112,O112)</f>
        <v>4.5</v>
      </c>
      <c r="Q112" s="19" t="n">
        <f aca="false">IFERROR(VLOOKUP(B112,'6-week1'!B:F,5,0),0)</f>
        <v>0</v>
      </c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</row>
    <row r="113" customFormat="false" ht="18" hidden="false" customHeight="true" outlineLevel="0" collapsed="false">
      <c r="A113" s="18" t="s">
        <v>158</v>
      </c>
      <c r="B113" s="18" t="str">
        <f aca="false">TRIM(A113)</f>
        <v>سحر خدابنده</v>
      </c>
      <c r="C113" s="18" t="str">
        <f aca="false">VLOOKUP(B113,Company!B:E,3,0)</f>
        <v>سینا</v>
      </c>
      <c r="D113" s="18" t="str">
        <f aca="false">VLOOKUP(B113,Company!B:E,2,0)</f>
        <v>صبح</v>
      </c>
      <c r="E113" s="18" t="str">
        <f aca="false" t="array" ref="E113:E113">IFERROR(INDEX('Team Leads'!$B:$D, MATCH(C113,'Team Leads'!$A:$A,0), MATCH(D113,'Team Leads'!$B$1:$D$1,0)), "")</f>
        <v>فاطمه دهقانپور</v>
      </c>
      <c r="F113" s="18" t="n">
        <f aca="false">VLOOKUP(B113,'Operator Bugs'!A:P,16,0)</f>
        <v>0</v>
      </c>
      <c r="G113" s="18" t="n">
        <f aca="false">IFERROR(VLOOKUP(B113,'6-week1'!B:D,2,0),0)</f>
        <v>131</v>
      </c>
      <c r="H113" s="18" t="n">
        <f aca="false">IFERROR(VLOOKUP(B113,'6-week1'!B:D,3,0),"-")</f>
        <v>35</v>
      </c>
      <c r="I113" s="18" t="n">
        <f aca="false">IF(G113&gt;179,5,IF(G113&gt;149,4,IF(G113&gt;119,3,IF(G113&gt;89,2,IF(G113&gt;59,1,IF(G113&lt;=59,0))))))</f>
        <v>3</v>
      </c>
      <c r="J113" s="18" t="n">
        <f aca="false">IF(H113&gt;39,1,IF(H113&gt;32,2,IF(H113&gt;26,3,IF(H113&gt;20,4,IF(H113&lt;=20,5)))))</f>
        <v>2</v>
      </c>
      <c r="K113" s="15" t="n">
        <f aca="false">AVERAGE(I113:J113)</f>
        <v>2.5</v>
      </c>
      <c r="L113" s="19" t="n">
        <f aca="false">IFERROR(VLOOKUP(B113,'6-week2'!B:D,2,0),0)</f>
        <v>108</v>
      </c>
      <c r="M113" s="19" t="n">
        <f aca="false">IFERROR(VLOOKUP(B113,'6-week2'!B:D,3,0),0)</f>
        <v>31</v>
      </c>
      <c r="N113" s="19" t="n">
        <f aca="false">IF(L113&gt;179,5,IF(L113&gt;149,4,IF(L113&gt;119,3,IF(L113&gt;89,2,IF(L113&gt;59,1,IF(L113&lt;=59,0))))))</f>
        <v>2</v>
      </c>
      <c r="O113" s="19" t="n">
        <f aca="false">IF(M113&gt;39,1,IF(M113&gt;32,2,IF(M113&gt;26,3,IF(M113&gt;20,4,IF(M113&lt;=20,5)))))</f>
        <v>3</v>
      </c>
      <c r="P113" s="19" t="n">
        <f aca="false">AVERAGE(N113,O113)</f>
        <v>2.5</v>
      </c>
      <c r="Q113" s="19" t="n">
        <f aca="false">IFERROR(VLOOKUP(B113,'6-week1'!B:F,5,0),0)</f>
        <v>0</v>
      </c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</row>
    <row r="114" customFormat="false" ht="18" hidden="false" customHeight="true" outlineLevel="0" collapsed="false">
      <c r="A114" s="18" t="s">
        <v>159</v>
      </c>
      <c r="B114" s="18" t="str">
        <f aca="false">TRIM(A114)</f>
        <v>سکینه کاروند</v>
      </c>
      <c r="C114" s="18" t="str">
        <f aca="false">VLOOKUP(B114,Company!B:E,3,0)</f>
        <v>ایران</v>
      </c>
      <c r="D114" s="18" t="str">
        <f aca="false">VLOOKUP(B114,Company!B:E,2,0)</f>
        <v>صبح</v>
      </c>
      <c r="E114" s="18" t="str">
        <f aca="false" t="array" ref="E114:E114">IFERROR(INDEX('Team Leads'!$B:$D, MATCH(C114,'Team Leads'!$A:$A,0), MATCH(D114,'Team Leads'!$B$1:$D$1,0)), "")</f>
        <v>مهدی فراهانی</v>
      </c>
      <c r="F114" s="18" t="n">
        <f aca="false">VLOOKUP(B114,'Operator Bugs'!A:P,16,0)</f>
        <v>0</v>
      </c>
      <c r="G114" s="18" t="n">
        <f aca="false">IFERROR(VLOOKUP(B114,'6-week1'!B:D,2,0),0)</f>
        <v>106</v>
      </c>
      <c r="H114" s="18" t="n">
        <f aca="false">IFERROR(VLOOKUP(B114,'6-week1'!B:D,3,0),"-")</f>
        <v>31</v>
      </c>
      <c r="I114" s="18" t="n">
        <f aca="false">IF(G114&gt;179,5,IF(G114&gt;149,4,IF(G114&gt;119,3,IF(G114&gt;89,2,IF(G114&gt;59,1,IF(G114&lt;=59,0))))))</f>
        <v>2</v>
      </c>
      <c r="J114" s="18" t="n">
        <f aca="false">IF(H114&gt;39,1,IF(H114&gt;32,2,IF(H114&gt;26,3,IF(H114&gt;20,4,IF(H114&lt;=20,5)))))</f>
        <v>3</v>
      </c>
      <c r="K114" s="15" t="n">
        <f aca="false">AVERAGE(I114:J114)</f>
        <v>2.5</v>
      </c>
      <c r="L114" s="19" t="n">
        <f aca="false">IFERROR(VLOOKUP(B114,'6-week2'!B:D,2,0),0)</f>
        <v>193</v>
      </c>
      <c r="M114" s="19" t="n">
        <f aca="false">IFERROR(VLOOKUP(B114,'6-week2'!B:D,3,0),0)</f>
        <v>35</v>
      </c>
      <c r="N114" s="19" t="n">
        <f aca="false">IF(L114&gt;179,5,IF(L114&gt;149,4,IF(L114&gt;119,3,IF(L114&gt;89,2,IF(L114&gt;59,1,IF(L114&lt;=59,0))))))</f>
        <v>5</v>
      </c>
      <c r="O114" s="19" t="n">
        <f aca="false">IF(M114&gt;39,1,IF(M114&gt;32,2,IF(M114&gt;26,3,IF(M114&gt;20,4,IF(M114&lt;=20,5)))))</f>
        <v>2</v>
      </c>
      <c r="P114" s="19" t="n">
        <f aca="false">AVERAGE(N114,O114)</f>
        <v>3.5</v>
      </c>
      <c r="Q114" s="19" t="n">
        <f aca="false">IFERROR(VLOOKUP(B114,'6-week1'!B:F,5,0),0)</f>
        <v>0</v>
      </c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</row>
    <row r="115" customFormat="false" ht="18" hidden="false" customHeight="true" outlineLevel="0" collapsed="false">
      <c r="A115" s="18" t="s">
        <v>160</v>
      </c>
      <c r="B115" s="18" t="str">
        <f aca="false">TRIM(A115)</f>
        <v>سمانه آشوری</v>
      </c>
      <c r="C115" s="18" t="str">
        <f aca="false">VLOOKUP(B115,Company!B:E,3,0)</f>
        <v>تعاون</v>
      </c>
      <c r="D115" s="18" t="str">
        <f aca="false">VLOOKUP(B115,Company!B:E,2,0)</f>
        <v>صبح</v>
      </c>
      <c r="E115" s="18" t="str">
        <f aca="false" t="array" ref="E115:E115">IFERROR(INDEX('Team Leads'!$B:$D, MATCH(C115,'Team Leads'!$A:$A,0), MATCH(D115,'Team Leads'!$B$1:$D$1,0)), "")</f>
        <v>مهدی فراهانی</v>
      </c>
      <c r="F115" s="18" t="n">
        <f aca="false">VLOOKUP(B115,'Operator Bugs'!A:P,16,0)</f>
        <v>0</v>
      </c>
      <c r="G115" s="18" t="n">
        <f aca="false">IFERROR(VLOOKUP(B115,'6-week1'!B:D,2,0),0)</f>
        <v>88</v>
      </c>
      <c r="H115" s="18" t="n">
        <f aca="false">IFERROR(VLOOKUP(B115,'6-week1'!B:D,3,0),"-")</f>
        <v>22</v>
      </c>
      <c r="I115" s="18" t="n">
        <f aca="false">IF(G115&gt;179,5,IF(G115&gt;149,4,IF(G115&gt;119,3,IF(G115&gt;89,2,IF(G115&gt;59,1,IF(G115&lt;=59,0))))))</f>
        <v>1</v>
      </c>
      <c r="J115" s="18" t="n">
        <f aca="false">IF(H115&gt;39,1,IF(H115&gt;32,2,IF(H115&gt;26,3,IF(H115&gt;20,4,IF(H115&lt;=20,5)))))</f>
        <v>4</v>
      </c>
      <c r="K115" s="15" t="n">
        <f aca="false">AVERAGE(I115:J115)</f>
        <v>2.5</v>
      </c>
      <c r="L115" s="19" t="n">
        <f aca="false">IFERROR(VLOOKUP(B115,'6-week2'!B:D,2,0),0)</f>
        <v>66</v>
      </c>
      <c r="M115" s="19" t="n">
        <f aca="false">IFERROR(VLOOKUP(B115,'6-week2'!B:D,3,0),0)</f>
        <v>21</v>
      </c>
      <c r="N115" s="19" t="n">
        <f aca="false">IF(L115&gt;179,5,IF(L115&gt;149,4,IF(L115&gt;119,3,IF(L115&gt;89,2,IF(L115&gt;59,1,IF(L115&lt;=59,0))))))</f>
        <v>1</v>
      </c>
      <c r="O115" s="19" t="n">
        <f aca="false">IF(M115&gt;39,1,IF(M115&gt;32,2,IF(M115&gt;26,3,IF(M115&gt;20,4,IF(M115&lt;=20,5)))))</f>
        <v>4</v>
      </c>
      <c r="P115" s="19" t="n">
        <f aca="false">AVERAGE(N115,O115)</f>
        <v>2.5</v>
      </c>
      <c r="Q115" s="19" t="n">
        <f aca="false">IFERROR(VLOOKUP(B115,'6-week1'!B:F,5,0),0)</f>
        <v>0</v>
      </c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</row>
    <row r="116" customFormat="false" ht="18" hidden="false" customHeight="true" outlineLevel="0" collapsed="false">
      <c r="A116" s="18" t="s">
        <v>161</v>
      </c>
      <c r="B116" s="18" t="str">
        <f aca="false">TRIM(A116)</f>
        <v>سمیه اسماعیلی</v>
      </c>
      <c r="C116" s="18" t="str">
        <f aca="false">VLOOKUP(B116,Company!B:E,3,0)</f>
        <v>رازی</v>
      </c>
      <c r="D116" s="18" t="str">
        <f aca="false">VLOOKUP(B116,Company!B:E,2,0)</f>
        <v>صبح</v>
      </c>
      <c r="E116" s="18" t="str">
        <f aca="false" t="array" ref="E116:E116">IFERROR(INDEX('Team Leads'!$B:$D, MATCH(C116,'Team Leads'!$A:$A,0), MATCH(D116,'Team Leads'!$B$1:$D$1,0)), "")</f>
        <v>آتنا مالمیر</v>
      </c>
      <c r="F116" s="18" t="n">
        <f aca="false">VLOOKUP(B116,'Operator Bugs'!A:P,16,0)</f>
        <v>0</v>
      </c>
      <c r="G116" s="18" t="n">
        <f aca="false">IFERROR(VLOOKUP(B116,'6-week1'!B:D,2,0),0)</f>
        <v>114</v>
      </c>
      <c r="H116" s="18" t="n">
        <f aca="false">IFERROR(VLOOKUP(B116,'6-week1'!B:D,3,0),"-")</f>
        <v>32</v>
      </c>
      <c r="I116" s="18" t="n">
        <f aca="false">IF(G116&gt;179,5,IF(G116&gt;149,4,IF(G116&gt;119,3,IF(G116&gt;89,2,IF(G116&gt;59,1,IF(G116&lt;=59,0))))))</f>
        <v>2</v>
      </c>
      <c r="J116" s="18" t="n">
        <f aca="false">IF(H116&gt;39,1,IF(H116&gt;32,2,IF(H116&gt;26,3,IF(H116&gt;20,4,IF(H116&lt;=20,5)))))</f>
        <v>3</v>
      </c>
      <c r="K116" s="15" t="n">
        <f aca="false">AVERAGE(I116:J116)</f>
        <v>2.5</v>
      </c>
      <c r="L116" s="19" t="n">
        <f aca="false">IFERROR(VLOOKUP(B116,'6-week2'!B:D,2,0),0)</f>
        <v>181</v>
      </c>
      <c r="M116" s="19" t="n">
        <f aca="false">IFERROR(VLOOKUP(B116,'6-week2'!B:D,3,0),0)</f>
        <v>28</v>
      </c>
      <c r="N116" s="19" t="n">
        <f aca="false">IF(L116&gt;179,5,IF(L116&gt;149,4,IF(L116&gt;119,3,IF(L116&gt;89,2,IF(L116&gt;59,1,IF(L116&lt;=59,0))))))</f>
        <v>5</v>
      </c>
      <c r="O116" s="19" t="n">
        <f aca="false">IF(M116&gt;39,1,IF(M116&gt;32,2,IF(M116&gt;26,3,IF(M116&gt;20,4,IF(M116&lt;=20,5)))))</f>
        <v>3</v>
      </c>
      <c r="P116" s="19" t="n">
        <f aca="false">AVERAGE(N116,O116)</f>
        <v>4</v>
      </c>
      <c r="Q116" s="19" t="n">
        <f aca="false">IFERROR(VLOOKUP(B116,'6-week1'!B:F,5,0),0)</f>
        <v>0</v>
      </c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</row>
    <row r="117" customFormat="false" ht="18" hidden="false" customHeight="true" outlineLevel="0" collapsed="false">
      <c r="A117" s="18" t="s">
        <v>162</v>
      </c>
      <c r="B117" s="18" t="str">
        <f aca="false">TRIM(A117)</f>
        <v>علی رمضی</v>
      </c>
      <c r="C117" s="18" t="str">
        <f aca="false">VLOOKUP(B117,Company!B:E,3,0)</f>
        <v>سینا</v>
      </c>
      <c r="D117" s="18" t="str">
        <f aca="false">VLOOKUP(B117,Company!B:E,2,0)</f>
        <v>صبح</v>
      </c>
      <c r="E117" s="18" t="str">
        <f aca="false" t="array" ref="E117:E117">IFERROR(INDEX('Team Leads'!$B:$D, MATCH(C117,'Team Leads'!$A:$A,0), MATCH(D117,'Team Leads'!$B$1:$D$1,0)), "")</f>
        <v>فاطمه دهقانپور</v>
      </c>
      <c r="F117" s="18" t="n">
        <f aca="false">VLOOKUP(B117,'Operator Bugs'!A:P,16,0)</f>
        <v>0</v>
      </c>
      <c r="G117" s="18" t="n">
        <f aca="false">IFERROR(VLOOKUP(B117,'6-week1'!B:D,2,0),0)</f>
        <v>63</v>
      </c>
      <c r="H117" s="18" t="n">
        <f aca="false">IFERROR(VLOOKUP(B117,'6-week1'!B:D,3,0),"-")</f>
        <v>21</v>
      </c>
      <c r="I117" s="18" t="n">
        <f aca="false">IF(G117&gt;179,5,IF(G117&gt;149,4,IF(G117&gt;119,3,IF(G117&gt;89,2,IF(G117&gt;59,1,IF(G117&lt;=59,0))))))</f>
        <v>1</v>
      </c>
      <c r="J117" s="18" t="n">
        <f aca="false">IF(H117&gt;39,1,IF(H117&gt;32,2,IF(H117&gt;26,3,IF(H117&gt;20,4,IF(H117&lt;=20,5)))))</f>
        <v>4</v>
      </c>
      <c r="K117" s="15" t="n">
        <f aca="false">AVERAGE(I117:J117)</f>
        <v>2.5</v>
      </c>
      <c r="L117" s="19" t="n">
        <f aca="false">IFERROR(VLOOKUP(B117,'6-week2'!B:D,2,0),0)</f>
        <v>138</v>
      </c>
      <c r="M117" s="19" t="n">
        <f aca="false">IFERROR(VLOOKUP(B117,'6-week2'!B:D,3,0),0)</f>
        <v>21</v>
      </c>
      <c r="N117" s="19" t="n">
        <f aca="false">IF(L117&gt;179,5,IF(L117&gt;149,4,IF(L117&gt;119,3,IF(L117&gt;89,2,IF(L117&gt;59,1,IF(L117&lt;=59,0))))))</f>
        <v>3</v>
      </c>
      <c r="O117" s="19" t="n">
        <f aca="false">IF(M117&gt;39,1,IF(M117&gt;32,2,IF(M117&gt;26,3,IF(M117&gt;20,4,IF(M117&lt;=20,5)))))</f>
        <v>4</v>
      </c>
      <c r="P117" s="19" t="n">
        <f aca="false">AVERAGE(N117,O117)</f>
        <v>3.5</v>
      </c>
      <c r="Q117" s="19" t="n">
        <f aca="false">IFERROR(VLOOKUP(B117,'6-week1'!B:F,5,0),0)</f>
        <v>0</v>
      </c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</row>
    <row r="118" customFormat="false" ht="18" hidden="false" customHeight="true" outlineLevel="0" collapsed="false">
      <c r="A118" s="18" t="s">
        <v>163</v>
      </c>
      <c r="B118" s="18" t="str">
        <f aca="false">TRIM(A118)</f>
        <v>فاطمه قاسمی</v>
      </c>
      <c r="C118" s="18" t="str">
        <f aca="false">VLOOKUP(B118,Company!B:E,3,0)</f>
        <v>رازی</v>
      </c>
      <c r="D118" s="18" t="str">
        <f aca="false">VLOOKUP(B118,Company!B:E,2,0)</f>
        <v>صبح</v>
      </c>
      <c r="E118" s="18" t="str">
        <f aca="false" t="array" ref="E118:E118">IFERROR(INDEX('Team Leads'!$B:$D, MATCH(C118,'Team Leads'!$A:$A,0), MATCH(D118,'Team Leads'!$B$1:$D$1,0)), "")</f>
        <v>آتنا مالمیر</v>
      </c>
      <c r="F118" s="18" t="n">
        <f aca="false">VLOOKUP(B118,'Operator Bugs'!A:P,16,0)</f>
        <v>0</v>
      </c>
      <c r="G118" s="18" t="n">
        <f aca="false">IFERROR(VLOOKUP(B118,'6-week1'!B:D,2,0),0)</f>
        <v>78</v>
      </c>
      <c r="H118" s="18" t="n">
        <f aca="false">IFERROR(VLOOKUP(B118,'6-week1'!B:D,3,0),"-")</f>
        <v>25</v>
      </c>
      <c r="I118" s="18" t="n">
        <f aca="false">IF(G118&gt;179,5,IF(G118&gt;149,4,IF(G118&gt;119,3,IF(G118&gt;89,2,IF(G118&gt;59,1,IF(G118&lt;=59,0))))))</f>
        <v>1</v>
      </c>
      <c r="J118" s="18" t="n">
        <f aca="false">IF(H118&gt;39,1,IF(H118&gt;32,2,IF(H118&gt;26,3,IF(H118&gt;20,4,IF(H118&lt;=20,5)))))</f>
        <v>4</v>
      </c>
      <c r="K118" s="15" t="n">
        <f aca="false">AVERAGE(I118:J118)</f>
        <v>2.5</v>
      </c>
      <c r="L118" s="19" t="n">
        <f aca="false">IFERROR(VLOOKUP(B118,'6-week2'!B:D,2,0),0)</f>
        <v>116</v>
      </c>
      <c r="M118" s="19" t="n">
        <f aca="false">IFERROR(VLOOKUP(B118,'6-week2'!B:D,3,0),0)</f>
        <v>29</v>
      </c>
      <c r="N118" s="19" t="n">
        <f aca="false">IF(L118&gt;179,5,IF(L118&gt;149,4,IF(L118&gt;119,3,IF(L118&gt;89,2,IF(L118&gt;59,1,IF(L118&lt;=59,0))))))</f>
        <v>2</v>
      </c>
      <c r="O118" s="19" t="n">
        <f aca="false">IF(M118&gt;39,1,IF(M118&gt;32,2,IF(M118&gt;26,3,IF(M118&gt;20,4,IF(M118&lt;=20,5)))))</f>
        <v>3</v>
      </c>
      <c r="P118" s="19" t="n">
        <f aca="false">AVERAGE(N118,O118)</f>
        <v>2.5</v>
      </c>
      <c r="Q118" s="19" t="n">
        <f aca="false">IFERROR(VLOOKUP(B118,'6-week1'!B:F,5,0),0)</f>
        <v>0</v>
      </c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</row>
    <row r="119" customFormat="false" ht="18" hidden="false" customHeight="true" outlineLevel="0" collapsed="false">
      <c r="A119" s="18" t="s">
        <v>164</v>
      </c>
      <c r="B119" s="18" t="str">
        <f aca="false">TRIM(A119)</f>
        <v>فاطمه کمالی</v>
      </c>
      <c r="C119" s="18" t="str">
        <f aca="false">VLOOKUP(B119,Company!B:E,3,0)</f>
        <v>رازی</v>
      </c>
      <c r="D119" s="18" t="str">
        <f aca="false">VLOOKUP(B119,Company!B:E,2,0)</f>
        <v>عصر</v>
      </c>
      <c r="E119" s="18" t="str">
        <f aca="false" t="array" ref="E119:E119">IFERROR(INDEX('Team Leads'!$B:$D, MATCH(C119,'Team Leads'!$A:$A,0), MATCH(D119,'Team Leads'!$B$1:$D$1,0)), "")</f>
        <v>امیررضا فلاح</v>
      </c>
      <c r="F119" s="18" t="n">
        <f aca="false">VLOOKUP(B119,'Operator Bugs'!A:P,16,0)</f>
        <v>0</v>
      </c>
      <c r="G119" s="18" t="n">
        <f aca="false">IFERROR(VLOOKUP(B119,'6-week1'!B:D,2,0),0)</f>
        <v>104</v>
      </c>
      <c r="H119" s="18" t="n">
        <f aca="false">IFERROR(VLOOKUP(B119,'6-week1'!B:D,3,0),"-")</f>
        <v>32</v>
      </c>
      <c r="I119" s="18" t="n">
        <f aca="false">IF(G119&gt;179,5,IF(G119&gt;149,4,IF(G119&gt;119,3,IF(G119&gt;89,2,IF(G119&gt;59,1,IF(G119&lt;=59,0))))))</f>
        <v>2</v>
      </c>
      <c r="J119" s="18" t="n">
        <f aca="false">IF(H119&gt;39,1,IF(H119&gt;32,2,IF(H119&gt;26,3,IF(H119&gt;20,4,IF(H119&lt;=20,5)))))</f>
        <v>3</v>
      </c>
      <c r="K119" s="15" t="n">
        <f aca="false">AVERAGE(I119:J119)</f>
        <v>2.5</v>
      </c>
      <c r="L119" s="19" t="n">
        <f aca="false">IFERROR(VLOOKUP(B119,'6-week2'!B:D,2,0),0)</f>
        <v>93</v>
      </c>
      <c r="M119" s="19" t="n">
        <f aca="false">IFERROR(VLOOKUP(B119,'6-week2'!B:D,3,0),0)</f>
        <v>46</v>
      </c>
      <c r="N119" s="19" t="n">
        <f aca="false">IF(L119&gt;179,5,IF(L119&gt;149,4,IF(L119&gt;119,3,IF(L119&gt;89,2,IF(L119&gt;59,1,IF(L119&lt;=59,0))))))</f>
        <v>2</v>
      </c>
      <c r="O119" s="19" t="n">
        <f aca="false">IF(M119&gt;39,1,IF(M119&gt;32,2,IF(M119&gt;26,3,IF(M119&gt;20,4,IF(M119&lt;=20,5)))))</f>
        <v>1</v>
      </c>
      <c r="P119" s="19" t="n">
        <f aca="false">AVERAGE(N119,O119)</f>
        <v>1.5</v>
      </c>
      <c r="Q119" s="19" t="n">
        <f aca="false">IFERROR(VLOOKUP(B119,'6-week1'!B:F,5,0),0)</f>
        <v>0</v>
      </c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</row>
    <row r="120" customFormat="false" ht="18" hidden="false" customHeight="true" outlineLevel="0" collapsed="false">
      <c r="A120" s="18" t="s">
        <v>165</v>
      </c>
      <c r="B120" s="18" t="str">
        <f aca="false">TRIM(A120)</f>
        <v>فاطمه نیکوبین</v>
      </c>
      <c r="C120" s="18" t="str">
        <f aca="false">VLOOKUP(B120,Company!B:E,3,0)</f>
        <v>تعاون</v>
      </c>
      <c r="D120" s="18" t="str">
        <f aca="false">VLOOKUP(B120,Company!B:E,2,0)</f>
        <v>صبح</v>
      </c>
      <c r="E120" s="18" t="str">
        <f aca="false" t="array" ref="E120:E120">IFERROR(INDEX('Team Leads'!$B:$D, MATCH(C120,'Team Leads'!$A:$A,0), MATCH(D120,'Team Leads'!$B$1:$D$1,0)), "")</f>
        <v>مهدی فراهانی</v>
      </c>
      <c r="F120" s="18" t="n">
        <f aca="false">VLOOKUP(B120,'Operator Bugs'!A:P,16,0)</f>
        <v>0</v>
      </c>
      <c r="G120" s="18" t="n">
        <f aca="false">IFERROR(VLOOKUP(B120,'6-week1'!B:D,2,0),0)</f>
        <v>81</v>
      </c>
      <c r="H120" s="18" t="n">
        <f aca="false">IFERROR(VLOOKUP(B120,'6-week1'!B:D,3,0),"-")</f>
        <v>23</v>
      </c>
      <c r="I120" s="18" t="n">
        <f aca="false">IF(G120&gt;179,5,IF(G120&gt;149,4,IF(G120&gt;119,3,IF(G120&gt;89,2,IF(G120&gt;59,1,IF(G120&lt;=59,0))))))</f>
        <v>1</v>
      </c>
      <c r="J120" s="18" t="n">
        <f aca="false">IF(H120&gt;39,1,IF(H120&gt;32,2,IF(H120&gt;26,3,IF(H120&gt;20,4,IF(H120&lt;=20,5)))))</f>
        <v>4</v>
      </c>
      <c r="K120" s="15" t="n">
        <f aca="false">AVERAGE(I120:J120)</f>
        <v>2.5</v>
      </c>
      <c r="L120" s="19" t="n">
        <f aca="false">IFERROR(VLOOKUP(B120,'6-week2'!B:D,2,0),0)</f>
        <v>62</v>
      </c>
      <c r="M120" s="19" t="n">
        <f aca="false">IFERROR(VLOOKUP(B120,'6-week2'!B:D,3,0),0)</f>
        <v>24</v>
      </c>
      <c r="N120" s="19" t="n">
        <f aca="false">IF(L120&gt;179,5,IF(L120&gt;149,4,IF(L120&gt;119,3,IF(L120&gt;89,2,IF(L120&gt;59,1,IF(L120&lt;=59,0))))))</f>
        <v>1</v>
      </c>
      <c r="O120" s="19" t="n">
        <f aca="false">IF(M120&gt;39,1,IF(M120&gt;32,2,IF(M120&gt;26,3,IF(M120&gt;20,4,IF(M120&lt;=20,5)))))</f>
        <v>4</v>
      </c>
      <c r="P120" s="19" t="n">
        <f aca="false">AVERAGE(N120,O120)</f>
        <v>2.5</v>
      </c>
      <c r="Q120" s="19" t="n">
        <f aca="false">IFERROR(VLOOKUP(B120,'6-week1'!B:F,5,0),0)</f>
        <v>0</v>
      </c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</row>
    <row r="121" customFormat="false" ht="18" hidden="false" customHeight="true" outlineLevel="0" collapsed="false">
      <c r="A121" s="18" t="s">
        <v>166</v>
      </c>
      <c r="B121" s="18" t="str">
        <f aca="false">TRIM(A121)</f>
        <v>کیمیا غلامی</v>
      </c>
      <c r="C121" s="18" t="str">
        <f aca="false">VLOOKUP(B121,Company!B:E,3,0)</f>
        <v>ایران</v>
      </c>
      <c r="D121" s="18" t="str">
        <f aca="false">VLOOKUP(B121,Company!B:E,2,0)</f>
        <v>عصر</v>
      </c>
      <c r="E121" s="18" t="str">
        <f aca="false" t="array" ref="E121:E121">IFERROR(INDEX('Team Leads'!$B:$D, MATCH(C121,'Team Leads'!$A:$A,0), MATCH(D121,'Team Leads'!$B$1:$D$1,0)), "")</f>
        <v>علیرضا زمانیان</v>
      </c>
      <c r="F121" s="18" t="n">
        <f aca="false">VLOOKUP(B121,'Operator Bugs'!A:P,16,0)</f>
        <v>0</v>
      </c>
      <c r="G121" s="18" t="n">
        <f aca="false">IFERROR(VLOOKUP(B121,'6-week1'!B:D,2,0),0)</f>
        <v>104</v>
      </c>
      <c r="H121" s="18" t="n">
        <f aca="false">IFERROR(VLOOKUP(B121,'6-week1'!B:D,3,0),"-")</f>
        <v>31</v>
      </c>
      <c r="I121" s="18" t="n">
        <f aca="false">IF(G121&gt;179,5,IF(G121&gt;149,4,IF(G121&gt;119,3,IF(G121&gt;89,2,IF(G121&gt;59,1,IF(G121&lt;=59,0))))))</f>
        <v>2</v>
      </c>
      <c r="J121" s="18" t="n">
        <f aca="false">IF(H121&gt;39,1,IF(H121&gt;32,2,IF(H121&gt;26,3,IF(H121&gt;20,4,IF(H121&lt;=20,5)))))</f>
        <v>3</v>
      </c>
      <c r="K121" s="15" t="n">
        <f aca="false">AVERAGE(I121:J121)</f>
        <v>2.5</v>
      </c>
      <c r="L121" s="19" t="n">
        <f aca="false">IFERROR(VLOOKUP(B121,'6-week2'!B:D,2,0),0)</f>
        <v>160</v>
      </c>
      <c r="M121" s="19" t="n">
        <f aca="false">IFERROR(VLOOKUP(B121,'6-week2'!B:D,3,0),0)</f>
        <v>35</v>
      </c>
      <c r="N121" s="19" t="n">
        <f aca="false">IF(L121&gt;179,5,IF(L121&gt;149,4,IF(L121&gt;119,3,IF(L121&gt;89,2,IF(L121&gt;59,1,IF(L121&lt;=59,0))))))</f>
        <v>4</v>
      </c>
      <c r="O121" s="19" t="n">
        <f aca="false">IF(M121&gt;39,1,IF(M121&gt;32,2,IF(M121&gt;26,3,IF(M121&gt;20,4,IF(M121&lt;=20,5)))))</f>
        <v>2</v>
      </c>
      <c r="P121" s="19" t="n">
        <f aca="false">AVERAGE(N121,O121)</f>
        <v>3</v>
      </c>
      <c r="Q121" s="19" t="n">
        <f aca="false">IFERROR(VLOOKUP(B121,'6-week1'!B:F,5,0),0)</f>
        <v>0</v>
      </c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</row>
    <row r="122" customFormat="false" ht="18" hidden="false" customHeight="true" outlineLevel="0" collapsed="false">
      <c r="A122" s="18" t="s">
        <v>167</v>
      </c>
      <c r="B122" s="18" t="str">
        <f aca="false">TRIM(A122)</f>
        <v>مرکز صدور رسول اسماعیل پوراقدم</v>
      </c>
      <c r="C122" s="18" t="str">
        <f aca="false">VLOOKUP(B122,Company!B:E,3,0)</f>
        <v>سنتر</v>
      </c>
      <c r="D122" s="18" t="str">
        <f aca="false">VLOOKUP(B122,Company!B:E,2,0)</f>
        <v>صبح</v>
      </c>
      <c r="E122" s="18" t="str">
        <f aca="false" t="array" ref="E122:E122">IFERROR(INDEX('Team Leads'!$B:$D, MATCH(C122,'Team Leads'!$A:$A,0), MATCH(D122,'Team Leads'!$B$1:$D$1,0)), "")</f>
        <v>مریم ایزدی - شاهین شهریاری</v>
      </c>
      <c r="F122" s="18" t="n">
        <f aca="false">VLOOKUP(B122,'Operator Bugs'!A:P,16,0)</f>
        <v>0</v>
      </c>
      <c r="G122" s="18" t="n">
        <f aca="false">IFERROR(VLOOKUP(B122,'6-week1'!B:D,2,0),0)</f>
        <v>84</v>
      </c>
      <c r="H122" s="18" t="n">
        <f aca="false">IFERROR(VLOOKUP(B122,'6-week1'!B:D,3,0),"-")</f>
        <v>25</v>
      </c>
      <c r="I122" s="18" t="n">
        <f aca="false">IF(G122&gt;179,5,IF(G122&gt;149,4,IF(G122&gt;119,3,IF(G122&gt;89,2,IF(G122&gt;59,1,IF(G122&lt;=59,0))))))</f>
        <v>1</v>
      </c>
      <c r="J122" s="18" t="n">
        <f aca="false">IF(H122&gt;39,1,IF(H122&gt;32,2,IF(H122&gt;26,3,IF(H122&gt;20,4,IF(H122&lt;=20,5)))))</f>
        <v>4</v>
      </c>
      <c r="K122" s="15" t="n">
        <f aca="false">AVERAGE(I122:J122)</f>
        <v>2.5</v>
      </c>
      <c r="L122" s="19" t="n">
        <f aca="false">IFERROR(VLOOKUP(B122,'6-week2'!B:D,2,0),0)</f>
        <v>64</v>
      </c>
      <c r="M122" s="19" t="n">
        <f aca="false">IFERROR(VLOOKUP(B122,'6-week2'!B:D,3,0),0)</f>
        <v>27</v>
      </c>
      <c r="N122" s="19" t="n">
        <f aca="false">IF(L122&gt;179,5,IF(L122&gt;149,4,IF(L122&gt;119,3,IF(L122&gt;89,2,IF(L122&gt;59,1,IF(L122&lt;=59,0))))))</f>
        <v>1</v>
      </c>
      <c r="O122" s="19" t="n">
        <f aca="false">IF(M122&gt;39,1,IF(M122&gt;32,2,IF(M122&gt;26,3,IF(M122&gt;20,4,IF(M122&lt;=20,5)))))</f>
        <v>3</v>
      </c>
      <c r="P122" s="19" t="n">
        <f aca="false">AVERAGE(N122,O122)</f>
        <v>2</v>
      </c>
      <c r="Q122" s="19" t="n">
        <f aca="false">IFERROR(VLOOKUP(B122,'6-week1'!B:F,5,0),0)</f>
        <v>0</v>
      </c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</row>
    <row r="123" customFormat="false" ht="18" hidden="false" customHeight="true" outlineLevel="0" collapsed="false">
      <c r="A123" s="18" t="s">
        <v>168</v>
      </c>
      <c r="B123" s="18" t="str">
        <f aca="false">TRIM(A123)</f>
        <v>مرکز صدور علی دادی | ستاره علی دادی</v>
      </c>
      <c r="C123" s="18" t="str">
        <f aca="false">VLOOKUP(B123,Company!B:E,3,0)</f>
        <v>سنتر</v>
      </c>
      <c r="D123" s="18" t="str">
        <f aca="false">VLOOKUP(B123,Company!B:E,2,0)</f>
        <v>صبح</v>
      </c>
      <c r="E123" s="18" t="str">
        <f aca="false" t="array" ref="E123:E123">IFERROR(INDEX('Team Leads'!$B:$D, MATCH(C123,'Team Leads'!$A:$A,0), MATCH(D123,'Team Leads'!$B$1:$D$1,0)), "")</f>
        <v>مریم ایزدی - شاهین شهریاری</v>
      </c>
      <c r="F123" s="18" t="n">
        <f aca="false">VLOOKUP(B123,'Operator Bugs'!A:P,16,0)</f>
        <v>0</v>
      </c>
      <c r="G123" s="18" t="n">
        <f aca="false">IFERROR(VLOOKUP(B123,'6-week1'!B:D,2,0),0)</f>
        <v>136</v>
      </c>
      <c r="H123" s="18" t="n">
        <f aca="false">IFERROR(VLOOKUP(B123,'6-week1'!B:D,3,0),"-")</f>
        <v>38</v>
      </c>
      <c r="I123" s="18" t="n">
        <f aca="false">IF(G123&gt;179,5,IF(G123&gt;149,4,IF(G123&gt;119,3,IF(G123&gt;89,2,IF(G123&gt;59,1,IF(G123&lt;=59,0))))))</f>
        <v>3</v>
      </c>
      <c r="J123" s="18" t="n">
        <f aca="false">IF(H123&gt;39,1,IF(H123&gt;32,2,IF(H123&gt;26,3,IF(H123&gt;20,4,IF(H123&lt;=20,5)))))</f>
        <v>2</v>
      </c>
      <c r="K123" s="15" t="n">
        <f aca="false">AVERAGE(I123:J123)</f>
        <v>2.5</v>
      </c>
      <c r="L123" s="19" t="n">
        <f aca="false">IFERROR(VLOOKUP(B123,'6-week2'!B:D,2,0),0)</f>
        <v>111</v>
      </c>
      <c r="M123" s="19" t="n">
        <f aca="false">IFERROR(VLOOKUP(B123,'6-week2'!B:D,3,0),0)</f>
        <v>27</v>
      </c>
      <c r="N123" s="19" t="n">
        <f aca="false">IF(L123&gt;179,5,IF(L123&gt;149,4,IF(L123&gt;119,3,IF(L123&gt;89,2,IF(L123&gt;59,1,IF(L123&lt;=59,0))))))</f>
        <v>2</v>
      </c>
      <c r="O123" s="19" t="n">
        <f aca="false">IF(M123&gt;39,1,IF(M123&gt;32,2,IF(M123&gt;26,3,IF(M123&gt;20,4,IF(M123&lt;=20,5)))))</f>
        <v>3</v>
      </c>
      <c r="P123" s="19" t="n">
        <f aca="false">AVERAGE(N123,O123)</f>
        <v>2.5</v>
      </c>
      <c r="Q123" s="19" t="n">
        <f aca="false">IFERROR(VLOOKUP(B123,'6-week1'!B:F,5,0),0)</f>
        <v>0</v>
      </c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</row>
    <row r="124" customFormat="false" ht="18" hidden="false" customHeight="true" outlineLevel="0" collapsed="false">
      <c r="A124" s="18" t="s">
        <v>169</v>
      </c>
      <c r="B124" s="18" t="str">
        <f aca="false">TRIM(A124)</f>
        <v>مریم بیشه بان</v>
      </c>
      <c r="C124" s="18" t="str">
        <f aca="false">VLOOKUP(B124,Company!B:E,3,0)</f>
        <v>ایران</v>
      </c>
      <c r="D124" s="18" t="str">
        <f aca="false">VLOOKUP(B124,Company!B:E,2,0)</f>
        <v>صبح</v>
      </c>
      <c r="E124" s="18" t="str">
        <f aca="false" t="array" ref="E124:E124">IFERROR(INDEX('Team Leads'!$B:$D, MATCH(C124,'Team Leads'!$A:$A,0), MATCH(D124,'Team Leads'!$B$1:$D$1,0)), "")</f>
        <v>مهدی فراهانی</v>
      </c>
      <c r="F124" s="18" t="n">
        <f aca="false">VLOOKUP(B124,'Operator Bugs'!A:P,16,0)</f>
        <v>0</v>
      </c>
      <c r="G124" s="18" t="n">
        <f aca="false">IFERROR(VLOOKUP(B124,'6-week1'!B:D,2,0),0)</f>
        <v>135</v>
      </c>
      <c r="H124" s="18" t="n">
        <f aca="false">IFERROR(VLOOKUP(B124,'6-week1'!B:D,3,0),"-")</f>
        <v>37</v>
      </c>
      <c r="I124" s="18" t="n">
        <f aca="false">IF(G124&gt;179,5,IF(G124&gt;149,4,IF(G124&gt;119,3,IF(G124&gt;89,2,IF(G124&gt;59,1,IF(G124&lt;=59,0))))))</f>
        <v>3</v>
      </c>
      <c r="J124" s="18" t="n">
        <f aca="false">IF(H124&gt;39,1,IF(H124&gt;32,2,IF(H124&gt;26,3,IF(H124&gt;20,4,IF(H124&lt;=20,5)))))</f>
        <v>2</v>
      </c>
      <c r="K124" s="15" t="n">
        <f aca="false">AVERAGE(I124:J124)</f>
        <v>2.5</v>
      </c>
      <c r="L124" s="19" t="n">
        <f aca="false">IFERROR(VLOOKUP(B124,'6-week2'!B:D,2,0),0)</f>
        <v>173</v>
      </c>
      <c r="M124" s="19" t="n">
        <f aca="false">IFERROR(VLOOKUP(B124,'6-week2'!B:D,3,0),0)</f>
        <v>29</v>
      </c>
      <c r="N124" s="19" t="n">
        <f aca="false">IF(L124&gt;179,5,IF(L124&gt;149,4,IF(L124&gt;119,3,IF(L124&gt;89,2,IF(L124&gt;59,1,IF(L124&lt;=59,0))))))</f>
        <v>4</v>
      </c>
      <c r="O124" s="19" t="n">
        <f aca="false">IF(M124&gt;39,1,IF(M124&gt;32,2,IF(M124&gt;26,3,IF(M124&gt;20,4,IF(M124&lt;=20,5)))))</f>
        <v>3</v>
      </c>
      <c r="P124" s="19" t="n">
        <f aca="false">AVERAGE(N124,O124)</f>
        <v>3.5</v>
      </c>
      <c r="Q124" s="19" t="n">
        <f aca="false">IFERROR(VLOOKUP(B124,'6-week1'!B:F,5,0),0)</f>
        <v>0</v>
      </c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</row>
    <row r="125" customFormat="false" ht="18" hidden="false" customHeight="true" outlineLevel="0" collapsed="false">
      <c r="A125" s="18" t="s">
        <v>170</v>
      </c>
      <c r="B125" s="18" t="str">
        <f aca="false">TRIM(A125)</f>
        <v>مهرشاد شقاقی</v>
      </c>
      <c r="C125" s="18" t="str">
        <f aca="false">VLOOKUP(B125,Company!B:E,3,0)</f>
        <v>رازی</v>
      </c>
      <c r="D125" s="18" t="str">
        <f aca="false">VLOOKUP(B125,Company!B:E,2,0)</f>
        <v>صبح</v>
      </c>
      <c r="E125" s="18" t="str">
        <f aca="false" t="array" ref="E125:E125">IFERROR(INDEX('Team Leads'!$B:$D, MATCH(C125,'Team Leads'!$A:$A,0), MATCH(D125,'Team Leads'!$B$1:$D$1,0)), "")</f>
        <v>آتنا مالمیر</v>
      </c>
      <c r="F125" s="18" t="n">
        <f aca="false">VLOOKUP(B125,'Operator Bugs'!A:P,16,0)</f>
        <v>0</v>
      </c>
      <c r="G125" s="18" t="n">
        <f aca="false">IFERROR(VLOOKUP(B125,'6-week1'!B:D,2,0),0)</f>
        <v>33</v>
      </c>
      <c r="H125" s="18" t="n">
        <f aca="false">IFERROR(VLOOKUP(B125,'6-week1'!B:D,3,0),"-")</f>
        <v>18</v>
      </c>
      <c r="I125" s="18" t="n">
        <f aca="false">IF(G125&gt;179,5,IF(G125&gt;149,4,IF(G125&gt;119,3,IF(G125&gt;89,2,IF(G125&gt;59,1,IF(G125&lt;=59,0))))))</f>
        <v>0</v>
      </c>
      <c r="J125" s="18" t="n">
        <f aca="false">IF(H125&gt;39,1,IF(H125&gt;32,2,IF(H125&gt;26,3,IF(H125&gt;20,4,IF(H125&lt;=20,5)))))</f>
        <v>5</v>
      </c>
      <c r="K125" s="15" t="n">
        <f aca="false">AVERAGE(I125:J125)</f>
        <v>2.5</v>
      </c>
      <c r="L125" s="19" t="n">
        <f aca="false">IFERROR(VLOOKUP(B125,'6-week2'!B:D,2,0),0)</f>
        <v>17</v>
      </c>
      <c r="M125" s="19" t="n">
        <f aca="false">IFERROR(VLOOKUP(B125,'6-week2'!B:D,3,0),0)</f>
        <v>18</v>
      </c>
      <c r="N125" s="19" t="n">
        <f aca="false">IF(L125&gt;179,5,IF(L125&gt;149,4,IF(L125&gt;119,3,IF(L125&gt;89,2,IF(L125&gt;59,1,IF(L125&lt;=59,0))))))</f>
        <v>0</v>
      </c>
      <c r="O125" s="19" t="n">
        <f aca="false">IF(M125&gt;39,1,IF(M125&gt;32,2,IF(M125&gt;26,3,IF(M125&gt;20,4,IF(M125&lt;=20,5)))))</f>
        <v>5</v>
      </c>
      <c r="P125" s="19" t="n">
        <f aca="false">AVERAGE(N125,O125)</f>
        <v>2.5</v>
      </c>
      <c r="Q125" s="19" t="n">
        <f aca="false">IFERROR(VLOOKUP(B125,'6-week1'!B:F,5,0),0)</f>
        <v>0</v>
      </c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</row>
    <row r="126" customFormat="false" ht="18" hidden="false" customHeight="true" outlineLevel="0" collapsed="false">
      <c r="A126" s="18" t="s">
        <v>171</v>
      </c>
      <c r="B126" s="18" t="str">
        <f aca="false">TRIM(A126)</f>
        <v>مهسا بابائی</v>
      </c>
      <c r="C126" s="18" t="str">
        <f aca="false">VLOOKUP(B126,Company!B:E,3,0)</f>
        <v>رازی</v>
      </c>
      <c r="D126" s="18" t="str">
        <f aca="false">VLOOKUP(B126,Company!B:E,2,0)</f>
        <v>صبح</v>
      </c>
      <c r="E126" s="18" t="str">
        <f aca="false" t="array" ref="E126:E126">IFERROR(INDEX('Team Leads'!$B:$D, MATCH(C126,'Team Leads'!$A:$A,0), MATCH(D126,'Team Leads'!$B$1:$D$1,0)), "")</f>
        <v>آتنا مالمیر</v>
      </c>
      <c r="F126" s="18" t="n">
        <f aca="false">VLOOKUP(B126,'Operator Bugs'!A:P,16,0)</f>
        <v>0</v>
      </c>
      <c r="G126" s="18" t="n">
        <f aca="false">IFERROR(VLOOKUP(B126,'6-week1'!B:D,2,0),0)</f>
        <v>63</v>
      </c>
      <c r="H126" s="18" t="n">
        <f aca="false">IFERROR(VLOOKUP(B126,'6-week1'!B:D,3,0),"-")</f>
        <v>21</v>
      </c>
      <c r="I126" s="18" t="n">
        <f aca="false">IF(G126&gt;179,5,IF(G126&gt;149,4,IF(G126&gt;119,3,IF(G126&gt;89,2,IF(G126&gt;59,1,IF(G126&lt;=59,0))))))</f>
        <v>1</v>
      </c>
      <c r="J126" s="18" t="n">
        <f aca="false">IF(H126&gt;39,1,IF(H126&gt;32,2,IF(H126&gt;26,3,IF(H126&gt;20,4,IF(H126&lt;=20,5)))))</f>
        <v>4</v>
      </c>
      <c r="K126" s="15" t="n">
        <f aca="false">AVERAGE(I126:J126)</f>
        <v>2.5</v>
      </c>
      <c r="L126" s="19" t="n">
        <f aca="false">IFERROR(VLOOKUP(B126,'6-week2'!B:D,2,0),0)</f>
        <v>148</v>
      </c>
      <c r="M126" s="19" t="n">
        <f aca="false">IFERROR(VLOOKUP(B126,'6-week2'!B:D,3,0),0)</f>
        <v>19</v>
      </c>
      <c r="N126" s="19" t="n">
        <f aca="false">IF(L126&gt;179,5,IF(L126&gt;149,4,IF(L126&gt;119,3,IF(L126&gt;89,2,IF(L126&gt;59,1,IF(L126&lt;=59,0))))))</f>
        <v>3</v>
      </c>
      <c r="O126" s="19" t="n">
        <f aca="false">IF(M126&gt;39,1,IF(M126&gt;32,2,IF(M126&gt;26,3,IF(M126&gt;20,4,IF(M126&lt;=20,5)))))</f>
        <v>5</v>
      </c>
      <c r="P126" s="19" t="n">
        <f aca="false">AVERAGE(N126,O126)</f>
        <v>4</v>
      </c>
      <c r="Q126" s="19" t="n">
        <f aca="false">IFERROR(VLOOKUP(B126,'6-week1'!B:F,5,0),0)</f>
        <v>0</v>
      </c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</row>
    <row r="127" customFormat="false" ht="18" hidden="false" customHeight="true" outlineLevel="0" collapsed="false">
      <c r="A127" s="18" t="s">
        <v>172</v>
      </c>
      <c r="B127" s="18" t="str">
        <f aca="false">TRIM(A127)</f>
        <v>مهسا عبدی پور</v>
      </c>
      <c r="C127" s="18" t="str">
        <f aca="false">VLOOKUP(B127,Company!B:E,3,0)</f>
        <v>رازی</v>
      </c>
      <c r="D127" s="18" t="str">
        <f aca="false">VLOOKUP(B127,Company!B:E,2,0)</f>
        <v>عصر</v>
      </c>
      <c r="E127" s="18" t="str">
        <f aca="false" t="array" ref="E127:E127">IFERROR(INDEX('Team Leads'!$B:$D, MATCH(C127,'Team Leads'!$A:$A,0), MATCH(D127,'Team Leads'!$B$1:$D$1,0)), "")</f>
        <v>امیررضا فلاح</v>
      </c>
      <c r="F127" s="18" t="n">
        <f aca="false">VLOOKUP(B127,'Operator Bugs'!A:P,16,0)</f>
        <v>0</v>
      </c>
      <c r="G127" s="18" t="n">
        <f aca="false">IFERROR(VLOOKUP(B127,'6-week1'!B:D,2,0),0)</f>
        <v>114</v>
      </c>
      <c r="H127" s="18" t="n">
        <f aca="false">IFERROR(VLOOKUP(B127,'6-week1'!B:D,3,0),"-")</f>
        <v>31</v>
      </c>
      <c r="I127" s="18" t="n">
        <f aca="false">IF(G127&gt;179,5,IF(G127&gt;149,4,IF(G127&gt;119,3,IF(G127&gt;89,2,IF(G127&gt;59,1,IF(G127&lt;=59,0))))))</f>
        <v>2</v>
      </c>
      <c r="J127" s="18" t="n">
        <f aca="false">IF(H127&gt;39,1,IF(H127&gt;32,2,IF(H127&gt;26,3,IF(H127&gt;20,4,IF(H127&lt;=20,5)))))</f>
        <v>3</v>
      </c>
      <c r="K127" s="15" t="n">
        <f aca="false">AVERAGE(I127:J127)</f>
        <v>2.5</v>
      </c>
      <c r="L127" s="19" t="n">
        <f aca="false">IFERROR(VLOOKUP(B127,'6-week2'!B:D,2,0),0)</f>
        <v>100</v>
      </c>
      <c r="M127" s="19" t="n">
        <f aca="false">IFERROR(VLOOKUP(B127,'6-week2'!B:D,3,0),0)</f>
        <v>25</v>
      </c>
      <c r="N127" s="19" t="n">
        <f aca="false">IF(L127&gt;179,5,IF(L127&gt;149,4,IF(L127&gt;119,3,IF(L127&gt;89,2,IF(L127&gt;59,1,IF(L127&lt;=59,0))))))</f>
        <v>2</v>
      </c>
      <c r="O127" s="19" t="n">
        <f aca="false">IF(M127&gt;39,1,IF(M127&gt;32,2,IF(M127&gt;26,3,IF(M127&gt;20,4,IF(M127&lt;=20,5)))))</f>
        <v>4</v>
      </c>
      <c r="P127" s="19" t="n">
        <f aca="false">AVERAGE(N127,O127)</f>
        <v>3</v>
      </c>
      <c r="Q127" s="19" t="n">
        <f aca="false">IFERROR(VLOOKUP(B127,'6-week1'!B:F,5,0),0)</f>
        <v>0</v>
      </c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</row>
    <row r="128" customFormat="false" ht="18" hidden="false" customHeight="true" outlineLevel="0" collapsed="false">
      <c r="A128" s="18" t="s">
        <v>173</v>
      </c>
      <c r="B128" s="18" t="str">
        <f aca="false">TRIM(A128)</f>
        <v>مهشید حمیدی</v>
      </c>
      <c r="C128" s="18" t="str">
        <f aca="false">VLOOKUP(B128,Company!B:E,3,0)</f>
        <v>تعاون</v>
      </c>
      <c r="D128" s="18" t="str">
        <f aca="false">VLOOKUP(B128,Company!B:E,2,0)</f>
        <v>عصر</v>
      </c>
      <c r="E128" s="18" t="str">
        <f aca="false" t="array" ref="E128:E128">IFERROR(INDEX('Team Leads'!$B:$D, MATCH(C128,'Team Leads'!$A:$A,0), MATCH(D128,'Team Leads'!$B$1:$D$1,0)), "")</f>
        <v>علیرضا زمانیان</v>
      </c>
      <c r="F128" s="18" t="n">
        <f aca="false">VLOOKUP(B128,'Operator Bugs'!A:P,16,0)</f>
        <v>0</v>
      </c>
      <c r="G128" s="18" t="n">
        <f aca="false">IFERROR(VLOOKUP(B128,'6-week1'!B:D,2,0),0)</f>
        <v>97</v>
      </c>
      <c r="H128" s="18" t="n">
        <f aca="false">IFERROR(VLOOKUP(B128,'6-week1'!B:D,3,0),"-")</f>
        <v>29</v>
      </c>
      <c r="I128" s="18" t="n">
        <f aca="false">IF(G128&gt;179,5,IF(G128&gt;149,4,IF(G128&gt;119,3,IF(G128&gt;89,2,IF(G128&gt;59,1,IF(G128&lt;=59,0))))))</f>
        <v>2</v>
      </c>
      <c r="J128" s="18" t="n">
        <f aca="false">IF(H128&gt;39,1,IF(H128&gt;32,2,IF(H128&gt;26,3,IF(H128&gt;20,4,IF(H128&lt;=20,5)))))</f>
        <v>3</v>
      </c>
      <c r="K128" s="15" t="n">
        <f aca="false">AVERAGE(I128:J128)</f>
        <v>2.5</v>
      </c>
      <c r="L128" s="19" t="n">
        <f aca="false">IFERROR(VLOOKUP(B128,'6-week2'!B:D,2,0),0)</f>
        <v>99</v>
      </c>
      <c r="M128" s="19" t="n">
        <f aca="false">IFERROR(VLOOKUP(B128,'6-week2'!B:D,3,0),0)</f>
        <v>22</v>
      </c>
      <c r="N128" s="19" t="n">
        <f aca="false">IF(L128&gt;179,5,IF(L128&gt;149,4,IF(L128&gt;119,3,IF(L128&gt;89,2,IF(L128&gt;59,1,IF(L128&lt;=59,0))))))</f>
        <v>2</v>
      </c>
      <c r="O128" s="19" t="n">
        <f aca="false">IF(M128&gt;39,1,IF(M128&gt;32,2,IF(M128&gt;26,3,IF(M128&gt;20,4,IF(M128&lt;=20,5)))))</f>
        <v>4</v>
      </c>
      <c r="P128" s="19" t="n">
        <f aca="false">AVERAGE(N128,O128)</f>
        <v>3</v>
      </c>
      <c r="Q128" s="19" t="n">
        <f aca="false">IFERROR(VLOOKUP(B128,'6-week1'!B:F,5,0),0)</f>
        <v>0</v>
      </c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</row>
    <row r="129" customFormat="false" ht="18" hidden="false" customHeight="true" outlineLevel="0" collapsed="false">
      <c r="A129" s="18" t="s">
        <v>174</v>
      </c>
      <c r="B129" s="18" t="str">
        <f aca="false">TRIM(A129)</f>
        <v>نرگس خزلی</v>
      </c>
      <c r="C129" s="18" t="str">
        <f aca="false">VLOOKUP(B129,Company!B:E,3,0)</f>
        <v>ایران</v>
      </c>
      <c r="D129" s="18" t="str">
        <f aca="false">VLOOKUP(B129,Company!B:E,2,0)</f>
        <v>صبح</v>
      </c>
      <c r="E129" s="18" t="str">
        <f aca="false" t="array" ref="E129:E129">IFERROR(INDEX('Team Leads'!$B:$D, MATCH(C129,'Team Leads'!$A:$A,0), MATCH(D129,'Team Leads'!$B$1:$D$1,0)), "")</f>
        <v>مهدی فراهانی</v>
      </c>
      <c r="F129" s="18" t="n">
        <f aca="false">VLOOKUP(B129,'Operator Bugs'!A:P,16,0)</f>
        <v>0</v>
      </c>
      <c r="G129" s="18" t="n">
        <f aca="false">IFERROR(VLOOKUP(B129,'6-week1'!B:D,2,0),0)</f>
        <v>102</v>
      </c>
      <c r="H129" s="18" t="n">
        <f aca="false">IFERROR(VLOOKUP(B129,'6-week1'!B:D,3,0),"-")</f>
        <v>27</v>
      </c>
      <c r="I129" s="18" t="n">
        <f aca="false">IF(G129&gt;179,5,IF(G129&gt;149,4,IF(G129&gt;119,3,IF(G129&gt;89,2,IF(G129&gt;59,1,IF(G129&lt;=59,0))))))</f>
        <v>2</v>
      </c>
      <c r="J129" s="18" t="n">
        <f aca="false">IF(H129&gt;39,1,IF(H129&gt;32,2,IF(H129&gt;26,3,IF(H129&gt;20,4,IF(H129&lt;=20,5)))))</f>
        <v>3</v>
      </c>
      <c r="K129" s="15" t="n">
        <f aca="false">AVERAGE(I129:J129)</f>
        <v>2.5</v>
      </c>
      <c r="L129" s="19" t="n">
        <f aca="false">IFERROR(VLOOKUP(B129,'6-week2'!B:D,2,0),0)</f>
        <v>173</v>
      </c>
      <c r="M129" s="19" t="n">
        <f aca="false">IFERROR(VLOOKUP(B129,'6-week2'!B:D,3,0),0)</f>
        <v>24</v>
      </c>
      <c r="N129" s="19" t="n">
        <f aca="false">IF(L129&gt;179,5,IF(L129&gt;149,4,IF(L129&gt;119,3,IF(L129&gt;89,2,IF(L129&gt;59,1,IF(L129&lt;=59,0))))))</f>
        <v>4</v>
      </c>
      <c r="O129" s="19" t="n">
        <f aca="false">IF(M129&gt;39,1,IF(M129&gt;32,2,IF(M129&gt;26,3,IF(M129&gt;20,4,IF(M129&lt;=20,5)))))</f>
        <v>4</v>
      </c>
      <c r="P129" s="19" t="n">
        <f aca="false">AVERAGE(N129,O129)</f>
        <v>4</v>
      </c>
      <c r="Q129" s="19" t="n">
        <f aca="false">IFERROR(VLOOKUP(B129,'6-week1'!B:F,5,0),0)</f>
        <v>0</v>
      </c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</row>
    <row r="130" customFormat="false" ht="18" hidden="false" customHeight="true" outlineLevel="0" collapsed="false">
      <c r="A130" s="18" t="s">
        <v>175</v>
      </c>
      <c r="B130" s="18" t="str">
        <f aca="false">TRIM(A130)</f>
        <v>نسترن نیک کار</v>
      </c>
      <c r="C130" s="18" t="str">
        <f aca="false">VLOOKUP(B130,Company!B:E,3,0)</f>
        <v>سینا</v>
      </c>
      <c r="D130" s="18" t="str">
        <f aca="false">VLOOKUP(B130,Company!B:E,2,0)</f>
        <v>عصر</v>
      </c>
      <c r="E130" s="18" t="str">
        <f aca="false" t="array" ref="E130:E130">IFERROR(INDEX('Team Leads'!$B:$D, MATCH(C130,'Team Leads'!$A:$A,0), MATCH(D130,'Team Leads'!$B$1:$D$1,0)), "")</f>
        <v>مهدی ایازی</v>
      </c>
      <c r="F130" s="18" t="n">
        <f aca="false">VLOOKUP(B130,'Operator Bugs'!A:P,16,0)</f>
        <v>0</v>
      </c>
      <c r="G130" s="18" t="n">
        <f aca="false">IFERROR(VLOOKUP(B130,'6-week1'!B:D,2,0),0)</f>
        <v>137</v>
      </c>
      <c r="H130" s="18" t="n">
        <f aca="false">IFERROR(VLOOKUP(B130,'6-week1'!B:D,3,0),"-")</f>
        <v>33</v>
      </c>
      <c r="I130" s="18" t="n">
        <f aca="false">IF(G130&gt;179,5,IF(G130&gt;149,4,IF(G130&gt;119,3,IF(G130&gt;89,2,IF(G130&gt;59,1,IF(G130&lt;=59,0))))))</f>
        <v>3</v>
      </c>
      <c r="J130" s="18" t="n">
        <f aca="false">IF(H130&gt;39,1,IF(H130&gt;32,2,IF(H130&gt;26,3,IF(H130&gt;20,4,IF(H130&lt;=20,5)))))</f>
        <v>2</v>
      </c>
      <c r="K130" s="15" t="n">
        <f aca="false">AVERAGE(I130:J130)</f>
        <v>2.5</v>
      </c>
      <c r="L130" s="19" t="n">
        <f aca="false">IFERROR(VLOOKUP(B130,'6-week2'!B:D,2,0),0)</f>
        <v>246</v>
      </c>
      <c r="M130" s="19" t="n">
        <f aca="false">IFERROR(VLOOKUP(B130,'6-week2'!B:D,3,0),0)</f>
        <v>30</v>
      </c>
      <c r="N130" s="19" t="n">
        <f aca="false">IF(L130&gt;179,5,IF(L130&gt;149,4,IF(L130&gt;119,3,IF(L130&gt;89,2,IF(L130&gt;59,1,IF(L130&lt;=59,0))))))</f>
        <v>5</v>
      </c>
      <c r="O130" s="19" t="n">
        <f aca="false">IF(M130&gt;39,1,IF(M130&gt;32,2,IF(M130&gt;26,3,IF(M130&gt;20,4,IF(M130&lt;=20,5)))))</f>
        <v>3</v>
      </c>
      <c r="P130" s="19" t="n">
        <f aca="false">AVERAGE(N130,O130)</f>
        <v>4</v>
      </c>
      <c r="Q130" s="19" t="n">
        <f aca="false">IFERROR(VLOOKUP(B130,'6-week1'!B:F,5,0),0)</f>
        <v>0</v>
      </c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</row>
    <row r="131" customFormat="false" ht="18" hidden="false" customHeight="true" outlineLevel="0" collapsed="false">
      <c r="A131" s="18" t="s">
        <v>176</v>
      </c>
      <c r="B131" s="18" t="str">
        <f aca="false">TRIM(A131)</f>
        <v>همایون فرحدل</v>
      </c>
      <c r="C131" s="18" t="str">
        <f aca="false">VLOOKUP(B131,Company!B:E,3,0)</f>
        <v>رازی</v>
      </c>
      <c r="D131" s="18" t="str">
        <f aca="false">VLOOKUP(B131,Company!B:E,2,0)</f>
        <v>صبح</v>
      </c>
      <c r="E131" s="18" t="str">
        <f aca="false" t="array" ref="E131:E131">IFERROR(INDEX('Team Leads'!$B:$D, MATCH(C131,'Team Leads'!$A:$A,0), MATCH(D131,'Team Leads'!$B$1:$D$1,0)), "")</f>
        <v>آتنا مالمیر</v>
      </c>
      <c r="F131" s="18" t="n">
        <f aca="false">VLOOKUP(B131,'Operator Bugs'!A:P,16,0)</f>
        <v>0</v>
      </c>
      <c r="G131" s="18" t="n">
        <f aca="false">IFERROR(VLOOKUP(B131,'6-week1'!B:D,2,0),0)</f>
        <v>98</v>
      </c>
      <c r="H131" s="18" t="n">
        <f aca="false">IFERROR(VLOOKUP(B131,'6-week1'!B:D,3,0),"-")</f>
        <v>28</v>
      </c>
      <c r="I131" s="18" t="n">
        <f aca="false">IF(G131&gt;179,5,IF(G131&gt;149,4,IF(G131&gt;119,3,IF(G131&gt;89,2,IF(G131&gt;59,1,IF(G131&lt;=59,0))))))</f>
        <v>2</v>
      </c>
      <c r="J131" s="18" t="n">
        <f aca="false">IF(H131&gt;39,1,IF(H131&gt;32,2,IF(H131&gt;26,3,IF(H131&gt;20,4,IF(H131&lt;=20,5)))))</f>
        <v>3</v>
      </c>
      <c r="K131" s="15" t="n">
        <f aca="false">AVERAGE(I131:J131)</f>
        <v>2.5</v>
      </c>
      <c r="L131" s="19" t="n">
        <f aca="false">IFERROR(VLOOKUP(B131,'6-week2'!B:D,2,0),0)</f>
        <v>109</v>
      </c>
      <c r="M131" s="19" t="n">
        <f aca="false">IFERROR(VLOOKUP(B131,'6-week2'!B:D,3,0),0)</f>
        <v>36</v>
      </c>
      <c r="N131" s="19" t="n">
        <f aca="false">IF(L131&gt;179,5,IF(L131&gt;149,4,IF(L131&gt;119,3,IF(L131&gt;89,2,IF(L131&gt;59,1,IF(L131&lt;=59,0))))))</f>
        <v>2</v>
      </c>
      <c r="O131" s="19" t="n">
        <f aca="false">IF(M131&gt;39,1,IF(M131&gt;32,2,IF(M131&gt;26,3,IF(M131&gt;20,4,IF(M131&lt;=20,5)))))</f>
        <v>2</v>
      </c>
      <c r="P131" s="19" t="n">
        <f aca="false">AVERAGE(N131,O131)</f>
        <v>2</v>
      </c>
      <c r="Q131" s="19" t="n">
        <f aca="false">IFERROR(VLOOKUP(B131,'6-week1'!B:F,5,0),0)</f>
        <v>0</v>
      </c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</row>
    <row r="132" customFormat="false" ht="18" hidden="false" customHeight="true" outlineLevel="0" collapsed="false">
      <c r="A132" s="18" t="s">
        <v>177</v>
      </c>
      <c r="B132" s="18" t="str">
        <f aca="false">TRIM(A132)</f>
        <v>یلدا نعمتی</v>
      </c>
      <c r="C132" s="18" t="str">
        <f aca="false">VLOOKUP(B132,Company!B:E,3,0)</f>
        <v>سینا</v>
      </c>
      <c r="D132" s="18" t="str">
        <f aca="false">VLOOKUP(B132,Company!B:E,2,0)</f>
        <v>صبح</v>
      </c>
      <c r="E132" s="18" t="str">
        <f aca="false" t="array" ref="E132:E132">IFERROR(INDEX('Team Leads'!$B:$D, MATCH(C132,'Team Leads'!$A:$A,0), MATCH(D132,'Team Leads'!$B$1:$D$1,0)), "")</f>
        <v>فاطمه دهقانپور</v>
      </c>
      <c r="F132" s="18" t="n">
        <f aca="false">VLOOKUP(B132,'Operator Bugs'!A:P,16,0)</f>
        <v>0</v>
      </c>
      <c r="G132" s="18" t="n">
        <f aca="false">IFERROR(VLOOKUP(B132,'6-week1'!B:D,2,0),0)</f>
        <v>146</v>
      </c>
      <c r="H132" s="18" t="n">
        <f aca="false">IFERROR(VLOOKUP(B132,'6-week1'!B:D,3,0),"-")</f>
        <v>35</v>
      </c>
      <c r="I132" s="18" t="n">
        <f aca="false">IF(G132&gt;179,5,IF(G132&gt;149,4,IF(G132&gt;119,3,IF(G132&gt;89,2,IF(G132&gt;59,1,IF(G132&lt;=59,0))))))</f>
        <v>3</v>
      </c>
      <c r="J132" s="18" t="n">
        <f aca="false">IF(H132&gt;39,1,IF(H132&gt;32,2,IF(H132&gt;26,3,IF(H132&gt;20,4,IF(H132&lt;=20,5)))))</f>
        <v>2</v>
      </c>
      <c r="K132" s="15" t="n">
        <f aca="false">AVERAGE(I132:J132)</f>
        <v>2.5</v>
      </c>
      <c r="L132" s="19" t="n">
        <f aca="false">IFERROR(VLOOKUP(B132,'6-week2'!B:D,2,0),0)</f>
        <v>175</v>
      </c>
      <c r="M132" s="19" t="n">
        <f aca="false">IFERROR(VLOOKUP(B132,'6-week2'!B:D,3,0),0)</f>
        <v>36</v>
      </c>
      <c r="N132" s="19" t="n">
        <f aca="false">IF(L132&gt;179,5,IF(L132&gt;149,4,IF(L132&gt;119,3,IF(L132&gt;89,2,IF(L132&gt;59,1,IF(L132&lt;=59,0))))))</f>
        <v>4</v>
      </c>
      <c r="O132" s="19" t="n">
        <f aca="false">IF(M132&gt;39,1,IF(M132&gt;32,2,IF(M132&gt;26,3,IF(M132&gt;20,4,IF(M132&lt;=20,5)))))</f>
        <v>2</v>
      </c>
      <c r="P132" s="19" t="n">
        <f aca="false">AVERAGE(N132,O132)</f>
        <v>3</v>
      </c>
      <c r="Q132" s="19" t="n">
        <f aca="false">IFERROR(VLOOKUP(B132,'6-week1'!B:F,5,0),0)</f>
        <v>0</v>
      </c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</row>
    <row r="133" customFormat="false" ht="18" hidden="false" customHeight="true" outlineLevel="0" collapsed="false">
      <c r="A133" s="15"/>
      <c r="B133" s="15" t="s">
        <v>178</v>
      </c>
      <c r="C133" s="18" t="str">
        <f aca="false">VLOOKUP(B133,Company!B:E,3,0)</f>
        <v>سنتر</v>
      </c>
      <c r="D133" s="18" t="str">
        <f aca="false">VLOOKUP(B133,Company!B:E,2,0)</f>
        <v>صبح</v>
      </c>
      <c r="E133" s="18" t="str">
        <f aca="false" t="array" ref="E133:E133">IFERROR(INDEX('Team Leads'!$B:$D, MATCH(C133,'Team Leads'!$A:$A,0), MATCH(D133,'Team Leads'!$B$1:$D$1,0)), "")</f>
        <v>مریم ایزدی - شاهین شهریاری</v>
      </c>
      <c r="F133" s="18" t="n">
        <f aca="false">VLOOKUP(B133,'Operator Bugs'!A:P,16,0)</f>
        <v>0</v>
      </c>
      <c r="G133" s="18" t="n">
        <f aca="false">IFERROR(VLOOKUP(B133,'6-week1'!B:D,2,0),0)</f>
        <v>85</v>
      </c>
      <c r="H133" s="18" t="n">
        <f aca="false">IFERROR(VLOOKUP(B133,'6-week1'!B:D,3,0),"-")</f>
        <v>23</v>
      </c>
      <c r="I133" s="18" t="n">
        <f aca="false">IF(G133&gt;179,5,IF(G133&gt;149,4,IF(G133&gt;119,3,IF(G133&gt;89,2,IF(G133&gt;59,1,IF(G133&lt;=59,0))))))</f>
        <v>1</v>
      </c>
      <c r="J133" s="18" t="n">
        <f aca="false">IF(H133&gt;39,1,IF(H133&gt;32,2,IF(H133&gt;26,3,IF(H133&gt;20,4,IF(H133&lt;=20,5)))))</f>
        <v>4</v>
      </c>
      <c r="K133" s="15" t="n">
        <f aca="false">AVERAGE(I133:J133)</f>
        <v>2.5</v>
      </c>
      <c r="L133" s="19" t="n">
        <f aca="false">IFERROR(VLOOKUP(B133,'6-week2'!B:D,2,0),0)</f>
        <v>117</v>
      </c>
      <c r="M133" s="19" t="n">
        <f aca="false">IFERROR(VLOOKUP(B133,'6-week2'!B:D,3,0),0)</f>
        <v>22</v>
      </c>
      <c r="N133" s="19" t="n">
        <f aca="false">IF(L133&gt;179,5,IF(L133&gt;149,4,IF(L133&gt;119,3,IF(L133&gt;89,2,IF(L133&gt;59,1,IF(L133&lt;=59,0))))))</f>
        <v>2</v>
      </c>
      <c r="O133" s="19" t="n">
        <f aca="false">IF(M133&gt;39,1,IF(M133&gt;32,2,IF(M133&gt;26,3,IF(M133&gt;20,4,IF(M133&lt;=20,5)))))</f>
        <v>4</v>
      </c>
      <c r="P133" s="19" t="n">
        <f aca="false">AVERAGE(N133,O133)</f>
        <v>3</v>
      </c>
      <c r="Q133" s="19" t="n">
        <f aca="false">IFERROR(VLOOKUP(B133,'6-week1'!B:F,5,0),0)</f>
        <v>0</v>
      </c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</row>
    <row r="134" customFormat="false" ht="18" hidden="false" customHeight="true" outlineLevel="0" collapsed="false">
      <c r="A134" s="18" t="s">
        <v>179</v>
      </c>
      <c r="B134" s="18" t="str">
        <f aca="false">TRIM(A134)</f>
        <v>آروین کیخسروی</v>
      </c>
      <c r="C134" s="18" t="str">
        <f aca="false">VLOOKUP(B134,Company!B:E,3,0)</f>
        <v>رازی</v>
      </c>
      <c r="D134" s="18" t="str">
        <f aca="false">VLOOKUP(B134,Company!B:E,2,0)</f>
        <v>صبح</v>
      </c>
      <c r="E134" s="18" t="str">
        <f aca="false" t="array" ref="E134:E134">IFERROR(INDEX('Team Leads'!$B:$D, MATCH(C134,'Team Leads'!$A:$A,0), MATCH(D134,'Team Leads'!$B$1:$D$1,0)), "")</f>
        <v>آتنا مالمیر</v>
      </c>
      <c r="F134" s="18" t="n">
        <f aca="false">VLOOKUP(B134,'Operator Bugs'!A:P,16,0)</f>
        <v>0</v>
      </c>
      <c r="G134" s="18" t="n">
        <f aca="false">IFERROR(VLOOKUP(B134,'6-week1'!B:D,2,0),0)</f>
        <v>54</v>
      </c>
      <c r="H134" s="18" t="n">
        <f aca="false">IFERROR(VLOOKUP(B134,'6-week1'!B:D,3,0),"-")</f>
        <v>25</v>
      </c>
      <c r="I134" s="18" t="n">
        <f aca="false">IF(G134&gt;179,5,IF(G134&gt;149,4,IF(G134&gt;119,3,IF(G134&gt;89,2,IF(G134&gt;59,1,IF(G134&lt;=59,0))))))</f>
        <v>0</v>
      </c>
      <c r="J134" s="18" t="n">
        <f aca="false">IF(H134&gt;39,1,IF(H134&gt;32,2,IF(H134&gt;26,3,IF(H134&gt;20,4,IF(H134&lt;=20,5)))))</f>
        <v>4</v>
      </c>
      <c r="K134" s="15" t="n">
        <f aca="false">AVERAGE(I134:J134)</f>
        <v>2</v>
      </c>
      <c r="L134" s="19" t="n">
        <f aca="false">IFERROR(VLOOKUP(B134,'6-week2'!B:D,2,0),0)</f>
        <v>97</v>
      </c>
      <c r="M134" s="19" t="n">
        <f aca="false">IFERROR(VLOOKUP(B134,'6-week2'!B:D,3,0),0)</f>
        <v>24</v>
      </c>
      <c r="N134" s="19" t="n">
        <f aca="false">IF(L134&gt;179,5,IF(L134&gt;149,4,IF(L134&gt;119,3,IF(L134&gt;89,2,IF(L134&gt;59,1,IF(L134&lt;=59,0))))))</f>
        <v>2</v>
      </c>
      <c r="O134" s="19" t="n">
        <f aca="false">IF(M134&gt;39,1,IF(M134&gt;32,2,IF(M134&gt;26,3,IF(M134&gt;20,4,IF(M134&lt;=20,5)))))</f>
        <v>4</v>
      </c>
      <c r="P134" s="19" t="n">
        <f aca="false">AVERAGE(N134,O134)</f>
        <v>3</v>
      </c>
      <c r="Q134" s="19" t="n">
        <f aca="false">IFERROR(VLOOKUP(B134,'6-week1'!B:F,5,0),0)</f>
        <v>0</v>
      </c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</row>
    <row r="135" customFormat="false" ht="18" hidden="false" customHeight="true" outlineLevel="0" collapsed="false">
      <c r="A135" s="18" t="s">
        <v>180</v>
      </c>
      <c r="B135" s="18" t="str">
        <f aca="false">TRIM(A135)</f>
        <v>آزاده محبی</v>
      </c>
      <c r="C135" s="18" t="str">
        <f aca="false">VLOOKUP(B135,Company!B:E,3,0)</f>
        <v>ایران</v>
      </c>
      <c r="D135" s="18" t="str">
        <f aca="false">VLOOKUP(B135,Company!B:E,2,0)</f>
        <v>عصر</v>
      </c>
      <c r="E135" s="18" t="str">
        <f aca="false" t="array" ref="E135:E135">IFERROR(INDEX('Team Leads'!$B:$D, MATCH(C135,'Team Leads'!$A:$A,0), MATCH(D135,'Team Leads'!$B$1:$D$1,0)), "")</f>
        <v>علیرضا زمانیان</v>
      </c>
      <c r="F135" s="18" t="n">
        <f aca="false">VLOOKUP(B135,'Operator Bugs'!A:P,16,0)</f>
        <v>0</v>
      </c>
      <c r="G135" s="18" t="n">
        <f aca="false">IFERROR(VLOOKUP(B135,'6-week1'!B:D,2,0),0)</f>
        <v>77</v>
      </c>
      <c r="H135" s="18" t="n">
        <f aca="false">IFERROR(VLOOKUP(B135,'6-week1'!B:D,3,0),"-")</f>
        <v>30</v>
      </c>
      <c r="I135" s="18" t="n">
        <f aca="false">IF(G135&gt;179,5,IF(G135&gt;149,4,IF(G135&gt;119,3,IF(G135&gt;89,2,IF(G135&gt;59,1,IF(G135&lt;=59,0))))))</f>
        <v>1</v>
      </c>
      <c r="J135" s="18" t="n">
        <f aca="false">IF(H135&gt;39,1,IF(H135&gt;32,2,IF(H135&gt;26,3,IF(H135&gt;20,4,IF(H135&lt;=20,5)))))</f>
        <v>3</v>
      </c>
      <c r="K135" s="15" t="n">
        <f aca="false">AVERAGE(I135:J135)</f>
        <v>2</v>
      </c>
      <c r="L135" s="19" t="n">
        <f aca="false">IFERROR(VLOOKUP(B135,'6-week2'!B:D,2,0),0)</f>
        <v>136</v>
      </c>
      <c r="M135" s="19" t="n">
        <f aca="false">IFERROR(VLOOKUP(B135,'6-week2'!B:D,3,0),0)</f>
        <v>31</v>
      </c>
      <c r="N135" s="19" t="n">
        <f aca="false">IF(L135&gt;179,5,IF(L135&gt;149,4,IF(L135&gt;119,3,IF(L135&gt;89,2,IF(L135&gt;59,1,IF(L135&lt;=59,0))))))</f>
        <v>3</v>
      </c>
      <c r="O135" s="19" t="n">
        <f aca="false">IF(M135&gt;39,1,IF(M135&gt;32,2,IF(M135&gt;26,3,IF(M135&gt;20,4,IF(M135&lt;=20,5)))))</f>
        <v>3</v>
      </c>
      <c r="P135" s="19" t="n">
        <f aca="false">AVERAGE(N135,O135)</f>
        <v>3</v>
      </c>
      <c r="Q135" s="19" t="n">
        <f aca="false">IFERROR(VLOOKUP(B135,'6-week1'!B:F,5,0),0)</f>
        <v>0</v>
      </c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</row>
    <row r="136" customFormat="false" ht="18" hidden="false" customHeight="true" outlineLevel="0" collapsed="false">
      <c r="A136" s="18" t="s">
        <v>181</v>
      </c>
      <c r="B136" s="18" t="str">
        <f aca="false">TRIM(A136)</f>
        <v>الهه دریکوند</v>
      </c>
      <c r="C136" s="18" t="str">
        <f aca="false">VLOOKUP(B136,Company!B:E,3,0)</f>
        <v>ایران</v>
      </c>
      <c r="D136" s="18" t="str">
        <f aca="false">VLOOKUP(B136,Company!B:E,2,0)</f>
        <v>عصر</v>
      </c>
      <c r="E136" s="18" t="str">
        <f aca="false" t="array" ref="E136:E136">IFERROR(INDEX('Team Leads'!$B:$D, MATCH(C136,'Team Leads'!$A:$A,0), MATCH(D136,'Team Leads'!$B$1:$D$1,0)), "")</f>
        <v>علیرضا زمانیان</v>
      </c>
      <c r="F136" s="18" t="n">
        <f aca="false">VLOOKUP(B136,'Operator Bugs'!A:P,16,0)</f>
        <v>0</v>
      </c>
      <c r="G136" s="18" t="n">
        <f aca="false">IFERROR(VLOOKUP(B136,'6-week1'!B:D,2,0),0)</f>
        <v>83</v>
      </c>
      <c r="H136" s="18" t="n">
        <f aca="false">IFERROR(VLOOKUP(B136,'6-week1'!B:D,3,0),"-")</f>
        <v>29</v>
      </c>
      <c r="I136" s="18" t="n">
        <f aca="false">IF(G136&gt;179,5,IF(G136&gt;149,4,IF(G136&gt;119,3,IF(G136&gt;89,2,IF(G136&gt;59,1,IF(G136&lt;=59,0))))))</f>
        <v>1</v>
      </c>
      <c r="J136" s="18" t="n">
        <f aca="false">IF(H136&gt;39,1,IF(H136&gt;32,2,IF(H136&gt;26,3,IF(H136&gt;20,4,IF(H136&lt;=20,5)))))</f>
        <v>3</v>
      </c>
      <c r="K136" s="15" t="n">
        <f aca="false">AVERAGE(I136:J136)</f>
        <v>2</v>
      </c>
      <c r="L136" s="19" t="n">
        <f aca="false">IFERROR(VLOOKUP(B136,'6-week2'!B:D,2,0),0)</f>
        <v>91</v>
      </c>
      <c r="M136" s="19" t="n">
        <f aca="false">IFERROR(VLOOKUP(B136,'6-week2'!B:D,3,0),0)</f>
        <v>30</v>
      </c>
      <c r="N136" s="19" t="n">
        <f aca="false">IF(L136&gt;179,5,IF(L136&gt;149,4,IF(L136&gt;119,3,IF(L136&gt;89,2,IF(L136&gt;59,1,IF(L136&lt;=59,0))))))</f>
        <v>2</v>
      </c>
      <c r="O136" s="19" t="n">
        <f aca="false">IF(M136&gt;39,1,IF(M136&gt;32,2,IF(M136&gt;26,3,IF(M136&gt;20,4,IF(M136&lt;=20,5)))))</f>
        <v>3</v>
      </c>
      <c r="P136" s="19" t="n">
        <f aca="false">AVERAGE(N136,O136)</f>
        <v>2.5</v>
      </c>
      <c r="Q136" s="19" t="n">
        <f aca="false">IFERROR(VLOOKUP(B136,'6-week1'!B:F,5,0),0)</f>
        <v>0</v>
      </c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</row>
    <row r="137" customFormat="false" ht="18" hidden="false" customHeight="true" outlineLevel="0" collapsed="false">
      <c r="A137" s="18" t="s">
        <v>182</v>
      </c>
      <c r="B137" s="18" t="str">
        <f aca="false">TRIM(A137)</f>
        <v>امیر حسین گل محمدی</v>
      </c>
      <c r="C137" s="18" t="str">
        <f aca="false">VLOOKUP(B137,Company!B:E,3,0)</f>
        <v>ایران</v>
      </c>
      <c r="D137" s="18" t="str">
        <f aca="false">VLOOKUP(B137,Company!B:E,2,0)</f>
        <v>صبح</v>
      </c>
      <c r="E137" s="18" t="str">
        <f aca="false" t="array" ref="E137:E137">IFERROR(INDEX('Team Leads'!$B:$D, MATCH(C137,'Team Leads'!$A:$A,0), MATCH(D137,'Team Leads'!$B$1:$D$1,0)), "")</f>
        <v>مهدی فراهانی</v>
      </c>
      <c r="F137" s="18" t="n">
        <f aca="false">VLOOKUP(B137,'Operator Bugs'!A:P,16,0)</f>
        <v>0</v>
      </c>
      <c r="G137" s="18" t="n">
        <f aca="false">IFERROR(VLOOKUP(B137,'6-week1'!B:D,2,0),0)</f>
        <v>77</v>
      </c>
      <c r="H137" s="18" t="n">
        <f aca="false">IFERROR(VLOOKUP(B137,'6-week1'!B:D,3,0),"-")</f>
        <v>27</v>
      </c>
      <c r="I137" s="18" t="n">
        <f aca="false">IF(G137&gt;179,5,IF(G137&gt;149,4,IF(G137&gt;119,3,IF(G137&gt;89,2,IF(G137&gt;59,1,IF(G137&lt;=59,0))))))</f>
        <v>1</v>
      </c>
      <c r="J137" s="18" t="n">
        <f aca="false">IF(H137&gt;39,1,IF(H137&gt;32,2,IF(H137&gt;26,3,IF(H137&gt;20,4,IF(H137&lt;=20,5)))))</f>
        <v>3</v>
      </c>
      <c r="K137" s="15" t="n">
        <f aca="false">AVERAGE(I137:J137)</f>
        <v>2</v>
      </c>
      <c r="L137" s="19" t="n">
        <f aca="false">IFERROR(VLOOKUP(B137,'6-week2'!B:D,2,0),0)</f>
        <v>75</v>
      </c>
      <c r="M137" s="19" t="n">
        <f aca="false">IFERROR(VLOOKUP(B137,'6-week2'!B:D,3,0),0)</f>
        <v>23</v>
      </c>
      <c r="N137" s="19" t="n">
        <f aca="false">IF(L137&gt;179,5,IF(L137&gt;149,4,IF(L137&gt;119,3,IF(L137&gt;89,2,IF(L137&gt;59,1,IF(L137&lt;=59,0))))))</f>
        <v>1</v>
      </c>
      <c r="O137" s="19" t="n">
        <f aca="false">IF(M137&gt;39,1,IF(M137&gt;32,2,IF(M137&gt;26,3,IF(M137&gt;20,4,IF(M137&lt;=20,5)))))</f>
        <v>4</v>
      </c>
      <c r="P137" s="19" t="n">
        <f aca="false">AVERAGE(N137,O137)</f>
        <v>2.5</v>
      </c>
      <c r="Q137" s="19" t="n">
        <f aca="false">IFERROR(VLOOKUP(B137,'6-week1'!B:F,5,0),0)</f>
        <v>0</v>
      </c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</row>
    <row r="138" customFormat="false" ht="18" hidden="false" customHeight="true" outlineLevel="0" collapsed="false">
      <c r="A138" s="18" t="s">
        <v>183</v>
      </c>
      <c r="B138" s="18" t="str">
        <f aca="false">TRIM(A138)</f>
        <v>امیر قربانی</v>
      </c>
      <c r="C138" s="18" t="str">
        <f aca="false">VLOOKUP(B138,Company!B:E,3,0)</f>
        <v>رازی</v>
      </c>
      <c r="D138" s="18" t="str">
        <f aca="false">VLOOKUP(B138,Company!B:E,2,0)</f>
        <v>عصر</v>
      </c>
      <c r="E138" s="18" t="str">
        <f aca="false" t="array" ref="E138:E138">IFERROR(INDEX('Team Leads'!$B:$D, MATCH(C138,'Team Leads'!$A:$A,0), MATCH(D138,'Team Leads'!$B$1:$D$1,0)), "")</f>
        <v>امیررضا فلاح</v>
      </c>
      <c r="F138" s="18" t="n">
        <f aca="false">VLOOKUP(B138,'Operator Bugs'!A:P,16,0)</f>
        <v>0</v>
      </c>
      <c r="G138" s="18" t="n">
        <f aca="false">IFERROR(VLOOKUP(B138,'6-week1'!B:D,2,0),0)</f>
        <v>59</v>
      </c>
      <c r="H138" s="18" t="n">
        <f aca="false">IFERROR(VLOOKUP(B138,'6-week1'!B:D,3,0),"-")</f>
        <v>24</v>
      </c>
      <c r="I138" s="18" t="n">
        <f aca="false">IF(G138&gt;179,5,IF(G138&gt;149,4,IF(G138&gt;119,3,IF(G138&gt;89,2,IF(G138&gt;59,1,IF(G138&lt;=59,0))))))</f>
        <v>0</v>
      </c>
      <c r="J138" s="18" t="n">
        <f aca="false">IF(H138&gt;39,1,IF(H138&gt;32,2,IF(H138&gt;26,3,IF(H138&gt;20,4,IF(H138&lt;=20,5)))))</f>
        <v>4</v>
      </c>
      <c r="K138" s="15" t="n">
        <f aca="false">AVERAGE(I138:J138)</f>
        <v>2</v>
      </c>
      <c r="L138" s="19" t="n">
        <f aca="false">IFERROR(VLOOKUP(B138,'6-week2'!B:D,2,0),0)</f>
        <v>64</v>
      </c>
      <c r="M138" s="19" t="n">
        <f aca="false">IFERROR(VLOOKUP(B138,'6-week2'!B:D,3,0),0)</f>
        <v>23</v>
      </c>
      <c r="N138" s="19" t="n">
        <f aca="false">IF(L138&gt;179,5,IF(L138&gt;149,4,IF(L138&gt;119,3,IF(L138&gt;89,2,IF(L138&gt;59,1,IF(L138&lt;=59,0))))))</f>
        <v>1</v>
      </c>
      <c r="O138" s="19" t="n">
        <f aca="false">IF(M138&gt;39,1,IF(M138&gt;32,2,IF(M138&gt;26,3,IF(M138&gt;20,4,IF(M138&lt;=20,5)))))</f>
        <v>4</v>
      </c>
      <c r="P138" s="19" t="n">
        <f aca="false">AVERAGE(N138,O138)</f>
        <v>2.5</v>
      </c>
      <c r="Q138" s="19" t="n">
        <f aca="false">IFERROR(VLOOKUP(B138,'6-week1'!B:F,5,0),0)</f>
        <v>0</v>
      </c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</row>
    <row r="139" customFormat="false" ht="18" hidden="false" customHeight="true" outlineLevel="0" collapsed="false">
      <c r="A139" s="18" t="s">
        <v>184</v>
      </c>
      <c r="B139" s="18" t="str">
        <f aca="false">TRIM(A139)</f>
        <v>امیرحسین کاروند</v>
      </c>
      <c r="C139" s="18" t="str">
        <f aca="false">VLOOKUP(B139,Company!B:E,3,0)</f>
        <v>تعاون</v>
      </c>
      <c r="D139" s="18" t="str">
        <f aca="false">VLOOKUP(B139,Company!B:E,2,0)</f>
        <v>عصر</v>
      </c>
      <c r="E139" s="18" t="str">
        <f aca="false" t="array" ref="E139:E139">IFERROR(INDEX('Team Leads'!$B:$D, MATCH(C139,'Team Leads'!$A:$A,0), MATCH(D139,'Team Leads'!$B$1:$D$1,0)), "")</f>
        <v>علیرضا زمانیان</v>
      </c>
      <c r="F139" s="18" t="n">
        <f aca="false">VLOOKUP(B139,'Operator Bugs'!A:P,16,0)</f>
        <v>0</v>
      </c>
      <c r="G139" s="18" t="n">
        <f aca="false">IFERROR(VLOOKUP(B139,'6-week1'!B:D,2,0),0)</f>
        <v>46</v>
      </c>
      <c r="H139" s="18" t="n">
        <f aca="false">IFERROR(VLOOKUP(B139,'6-week1'!B:D,3,0),"-")</f>
        <v>25</v>
      </c>
      <c r="I139" s="18" t="n">
        <f aca="false">IF(G139&gt;179,5,IF(G139&gt;149,4,IF(G139&gt;119,3,IF(G139&gt;89,2,IF(G139&gt;59,1,IF(G139&lt;=59,0))))))</f>
        <v>0</v>
      </c>
      <c r="J139" s="18" t="n">
        <f aca="false">IF(H139&gt;39,1,IF(H139&gt;32,2,IF(H139&gt;26,3,IF(H139&gt;20,4,IF(H139&lt;=20,5)))))</f>
        <v>4</v>
      </c>
      <c r="K139" s="15" t="n">
        <f aca="false">AVERAGE(I139:J139)</f>
        <v>2</v>
      </c>
      <c r="L139" s="19" t="n">
        <f aca="false">IFERROR(VLOOKUP(B139,'6-week2'!B:D,2,0),0)</f>
        <v>0</v>
      </c>
      <c r="M139" s="19" t="n">
        <f aca="false">IFERROR(VLOOKUP(B139,'6-week2'!B:D,3,0),0)</f>
        <v>0</v>
      </c>
      <c r="N139" s="19" t="n">
        <f aca="false">IF(L139&gt;179,5,IF(L139&gt;149,4,IF(L139&gt;119,3,IF(L139&gt;89,2,IF(L139&gt;59,1,IF(L139&lt;=59,0))))))</f>
        <v>0</v>
      </c>
      <c r="O139" s="19" t="n">
        <f aca="false">IF(M139&gt;39,1,IF(M139&gt;32,2,IF(M139&gt;26,3,IF(M139&gt;20,4,IF(M139&lt;=20,5)))))</f>
        <v>5</v>
      </c>
      <c r="P139" s="19" t="n">
        <f aca="false">AVERAGE(N139,O139)</f>
        <v>2.5</v>
      </c>
      <c r="Q139" s="19" t="n">
        <f aca="false">IFERROR(VLOOKUP(B139,'6-week1'!B:F,5,0),0)</f>
        <v>0</v>
      </c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</row>
    <row r="140" customFormat="false" ht="18" hidden="false" customHeight="true" outlineLevel="0" collapsed="false">
      <c r="A140" s="18" t="s">
        <v>185</v>
      </c>
      <c r="B140" s="18" t="str">
        <f aca="false">TRIM(A140)</f>
        <v>امیرمحمد بادکوبه</v>
      </c>
      <c r="C140" s="18" t="str">
        <f aca="false">VLOOKUP(B140,Company!B:E,3,0)</f>
        <v>سینا</v>
      </c>
      <c r="D140" s="18" t="str">
        <f aca="false">VLOOKUP(B140,Company!B:E,2,0)</f>
        <v>صبح</v>
      </c>
      <c r="E140" s="18" t="str">
        <f aca="false" t="array" ref="E140:E140">IFERROR(INDEX('Team Leads'!$B:$D, MATCH(C140,'Team Leads'!$A:$A,0), MATCH(D140,'Team Leads'!$B$1:$D$1,0)), "")</f>
        <v>فاطمه دهقانپور</v>
      </c>
      <c r="F140" s="18" t="n">
        <f aca="false">VLOOKUP(B140,'Operator Bugs'!A:P,16,0)</f>
        <v>0</v>
      </c>
      <c r="G140" s="18" t="n">
        <f aca="false">IFERROR(VLOOKUP(B140,'6-week1'!B:D,2,0),0)</f>
        <v>61</v>
      </c>
      <c r="H140" s="18" t="n">
        <f aca="false">IFERROR(VLOOKUP(B140,'6-week1'!B:D,3,0),"-")</f>
        <v>32</v>
      </c>
      <c r="I140" s="18" t="n">
        <f aca="false">IF(G140&gt;179,5,IF(G140&gt;149,4,IF(G140&gt;119,3,IF(G140&gt;89,2,IF(G140&gt;59,1,IF(G140&lt;=59,0))))))</f>
        <v>1</v>
      </c>
      <c r="J140" s="18" t="n">
        <f aca="false">IF(H140&gt;39,1,IF(H140&gt;32,2,IF(H140&gt;26,3,IF(H140&gt;20,4,IF(H140&lt;=20,5)))))</f>
        <v>3</v>
      </c>
      <c r="K140" s="15" t="n">
        <f aca="false">AVERAGE(I140:J140)</f>
        <v>2</v>
      </c>
      <c r="L140" s="19" t="n">
        <f aca="false">IFERROR(VLOOKUP(B140,'6-week2'!B:D,2,0),0)</f>
        <v>106</v>
      </c>
      <c r="M140" s="19" t="n">
        <f aca="false">IFERROR(VLOOKUP(B140,'6-week2'!B:D,3,0),0)</f>
        <v>26</v>
      </c>
      <c r="N140" s="19" t="n">
        <f aca="false">IF(L140&gt;179,5,IF(L140&gt;149,4,IF(L140&gt;119,3,IF(L140&gt;89,2,IF(L140&gt;59,1,IF(L140&lt;=59,0))))))</f>
        <v>2</v>
      </c>
      <c r="O140" s="19" t="n">
        <f aca="false">IF(M140&gt;39,1,IF(M140&gt;32,2,IF(M140&gt;26,3,IF(M140&gt;20,4,IF(M140&lt;=20,5)))))</f>
        <v>4</v>
      </c>
      <c r="P140" s="19" t="n">
        <f aca="false">AVERAGE(N140,O140)</f>
        <v>3</v>
      </c>
      <c r="Q140" s="19" t="n">
        <f aca="false">IFERROR(VLOOKUP(B140,'6-week1'!B:F,5,0),0)</f>
        <v>0</v>
      </c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</row>
    <row r="141" customFormat="false" ht="18" hidden="false" customHeight="true" outlineLevel="0" collapsed="false">
      <c r="A141" s="18" t="s">
        <v>186</v>
      </c>
      <c r="B141" s="18" t="str">
        <f aca="false">TRIM(A141)</f>
        <v>حمید قربانی</v>
      </c>
      <c r="C141" s="18" t="str">
        <f aca="false">VLOOKUP(B141,Company!B:E,3,0)</f>
        <v>سینا</v>
      </c>
      <c r="D141" s="18" t="str">
        <f aca="false">VLOOKUP(B141,Company!B:E,2,0)</f>
        <v>عصر</v>
      </c>
      <c r="E141" s="18" t="str">
        <f aca="false" t="array" ref="E141:E141">IFERROR(INDEX('Team Leads'!$B:$D, MATCH(C141,'Team Leads'!$A:$A,0), MATCH(D141,'Team Leads'!$B$1:$D$1,0)), "")</f>
        <v>مهدی ایازی</v>
      </c>
      <c r="F141" s="18" t="n">
        <f aca="false">VLOOKUP(B141,'Operator Bugs'!A:P,16,0)</f>
        <v>0</v>
      </c>
      <c r="G141" s="18" t="n">
        <f aca="false">IFERROR(VLOOKUP(B141,'6-week1'!B:D,2,0),0)</f>
        <v>42</v>
      </c>
      <c r="H141" s="18" t="n">
        <f aca="false">IFERROR(VLOOKUP(B141,'6-week1'!B:D,3,0),"-")</f>
        <v>22</v>
      </c>
      <c r="I141" s="18" t="n">
        <f aca="false">IF(G141&gt;179,5,IF(G141&gt;149,4,IF(G141&gt;119,3,IF(G141&gt;89,2,IF(G141&gt;59,1,IF(G141&lt;=59,0))))))</f>
        <v>0</v>
      </c>
      <c r="J141" s="18" t="n">
        <f aca="false">IF(H141&gt;39,1,IF(H141&gt;32,2,IF(H141&gt;26,3,IF(H141&gt;20,4,IF(H141&lt;=20,5)))))</f>
        <v>4</v>
      </c>
      <c r="K141" s="15" t="n">
        <f aca="false">AVERAGE(I141:J141)</f>
        <v>2</v>
      </c>
      <c r="L141" s="19" t="n">
        <f aca="false">IFERROR(VLOOKUP(B141,'6-week2'!B:D,2,0),0)</f>
        <v>39</v>
      </c>
      <c r="M141" s="19" t="n">
        <f aca="false">IFERROR(VLOOKUP(B141,'6-week2'!B:D,3,0),0)</f>
        <v>32</v>
      </c>
      <c r="N141" s="19" t="n">
        <f aca="false">IF(L141&gt;179,5,IF(L141&gt;149,4,IF(L141&gt;119,3,IF(L141&gt;89,2,IF(L141&gt;59,1,IF(L141&lt;=59,0))))))</f>
        <v>0</v>
      </c>
      <c r="O141" s="19" t="n">
        <f aca="false">IF(M141&gt;39,1,IF(M141&gt;32,2,IF(M141&gt;26,3,IF(M141&gt;20,4,IF(M141&lt;=20,5)))))</f>
        <v>3</v>
      </c>
      <c r="P141" s="19" t="n">
        <f aca="false">AVERAGE(N141,O141)</f>
        <v>1.5</v>
      </c>
      <c r="Q141" s="19" t="n">
        <f aca="false">IFERROR(VLOOKUP(B141,'6-week1'!B:F,5,0),0)</f>
        <v>0</v>
      </c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</row>
    <row r="142" customFormat="false" ht="18" hidden="false" customHeight="true" outlineLevel="0" collapsed="false">
      <c r="A142" s="18" t="s">
        <v>187</v>
      </c>
      <c r="B142" s="18" t="str">
        <f aca="false">TRIM(A142)</f>
        <v>حنانه خیرالهی</v>
      </c>
      <c r="C142" s="18" t="str">
        <f aca="false">VLOOKUP(B142,Company!B:E,3,0)</f>
        <v>سینا</v>
      </c>
      <c r="D142" s="18" t="str">
        <f aca="false">VLOOKUP(B142,Company!B:E,2,0)</f>
        <v>صبح</v>
      </c>
      <c r="E142" s="18" t="str">
        <f aca="false" t="array" ref="E142:E142">IFERROR(INDEX('Team Leads'!$B:$D, MATCH(C142,'Team Leads'!$A:$A,0), MATCH(D142,'Team Leads'!$B$1:$D$1,0)), "")</f>
        <v>فاطمه دهقانپور</v>
      </c>
      <c r="F142" s="18" t="n">
        <f aca="false">VLOOKUP(B142,'Operator Bugs'!A:P,16,0)</f>
        <v>0</v>
      </c>
      <c r="G142" s="18" t="n">
        <f aca="false">IFERROR(VLOOKUP(B142,'6-week1'!B:D,2,0),0)</f>
        <v>28</v>
      </c>
      <c r="H142" s="18" t="n">
        <f aca="false">IFERROR(VLOOKUP(B142,'6-week1'!B:D,3,0),"-")</f>
        <v>22</v>
      </c>
      <c r="I142" s="18" t="n">
        <f aca="false">IF(G142&gt;179,5,IF(G142&gt;149,4,IF(G142&gt;119,3,IF(G142&gt;89,2,IF(G142&gt;59,1,IF(G142&lt;=59,0))))))</f>
        <v>0</v>
      </c>
      <c r="J142" s="18" t="n">
        <f aca="false">IF(H142&gt;39,1,IF(H142&gt;32,2,IF(H142&gt;26,3,IF(H142&gt;20,4,IF(H142&lt;=20,5)))))</f>
        <v>4</v>
      </c>
      <c r="K142" s="15" t="n">
        <f aca="false">AVERAGE(I142:J142)</f>
        <v>2</v>
      </c>
      <c r="L142" s="19" t="n">
        <f aca="false">IFERROR(VLOOKUP(B142,'6-week2'!B:D,2,0),0)</f>
        <v>0</v>
      </c>
      <c r="M142" s="19" t="n">
        <f aca="false">IFERROR(VLOOKUP(B142,'6-week2'!B:D,3,0),0)</f>
        <v>0</v>
      </c>
      <c r="N142" s="19" t="n">
        <f aca="false">IF(L142&gt;179,5,IF(L142&gt;149,4,IF(L142&gt;119,3,IF(L142&gt;89,2,IF(L142&gt;59,1,IF(L142&lt;=59,0))))))</f>
        <v>0</v>
      </c>
      <c r="O142" s="19" t="n">
        <f aca="false">IF(M142&gt;39,1,IF(M142&gt;32,2,IF(M142&gt;26,3,IF(M142&gt;20,4,IF(M142&lt;=20,5)))))</f>
        <v>5</v>
      </c>
      <c r="P142" s="19" t="n">
        <f aca="false">AVERAGE(N142,O142)</f>
        <v>2.5</v>
      </c>
      <c r="Q142" s="19" t="n">
        <f aca="false">IFERROR(VLOOKUP(B142,'6-week1'!B:F,5,0),0)</f>
        <v>0</v>
      </c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</row>
    <row r="143" customFormat="false" ht="18" hidden="false" customHeight="true" outlineLevel="0" collapsed="false">
      <c r="A143" s="18" t="s">
        <v>188</v>
      </c>
      <c r="B143" s="18" t="str">
        <f aca="false">TRIM(A143)</f>
        <v>رویا نادرالوارس</v>
      </c>
      <c r="C143" s="18" t="str">
        <f aca="false">VLOOKUP(B143,Company!B:E,3,0)</f>
        <v>رازی</v>
      </c>
      <c r="D143" s="18" t="str">
        <f aca="false">VLOOKUP(B143,Company!B:E,2,0)</f>
        <v>عصر</v>
      </c>
      <c r="E143" s="18" t="str">
        <f aca="false" t="array" ref="E143:E143">IFERROR(INDEX('Team Leads'!$B:$D, MATCH(C143,'Team Leads'!$A:$A,0), MATCH(D143,'Team Leads'!$B$1:$D$1,0)), "")</f>
        <v>امیررضا فلاح</v>
      </c>
      <c r="F143" s="18" t="n">
        <f aca="false">VLOOKUP(B143,'Operator Bugs'!A:P,16,0)</f>
        <v>0</v>
      </c>
      <c r="G143" s="18" t="n">
        <f aca="false">IFERROR(VLOOKUP(B143,'6-week1'!B:D,2,0),0)</f>
        <v>69</v>
      </c>
      <c r="H143" s="18" t="n">
        <f aca="false">IFERROR(VLOOKUP(B143,'6-week1'!B:D,3,0),"-")</f>
        <v>29</v>
      </c>
      <c r="I143" s="18" t="n">
        <f aca="false">IF(G143&gt;179,5,IF(G143&gt;149,4,IF(G143&gt;119,3,IF(G143&gt;89,2,IF(G143&gt;59,1,IF(G143&lt;=59,0))))))</f>
        <v>1</v>
      </c>
      <c r="J143" s="18" t="n">
        <f aca="false">IF(H143&gt;39,1,IF(H143&gt;32,2,IF(H143&gt;26,3,IF(H143&gt;20,4,IF(H143&lt;=20,5)))))</f>
        <v>3</v>
      </c>
      <c r="K143" s="15" t="n">
        <f aca="false">AVERAGE(I143:J143)</f>
        <v>2</v>
      </c>
      <c r="L143" s="19" t="n">
        <f aca="false">IFERROR(VLOOKUP(B143,'6-week2'!B:D,2,0),0)</f>
        <v>98</v>
      </c>
      <c r="M143" s="19" t="n">
        <f aca="false">IFERROR(VLOOKUP(B143,'6-week2'!B:D,3,0),0)</f>
        <v>25</v>
      </c>
      <c r="N143" s="19" t="n">
        <f aca="false">IF(L143&gt;179,5,IF(L143&gt;149,4,IF(L143&gt;119,3,IF(L143&gt;89,2,IF(L143&gt;59,1,IF(L143&lt;=59,0))))))</f>
        <v>2</v>
      </c>
      <c r="O143" s="19" t="n">
        <f aca="false">IF(M143&gt;39,1,IF(M143&gt;32,2,IF(M143&gt;26,3,IF(M143&gt;20,4,IF(M143&lt;=20,5)))))</f>
        <v>4</v>
      </c>
      <c r="P143" s="19" t="n">
        <f aca="false">AVERAGE(N143,O143)</f>
        <v>3</v>
      </c>
      <c r="Q143" s="19" t="n">
        <f aca="false">IFERROR(VLOOKUP(B143,'6-week1'!B:F,5,0),0)</f>
        <v>0</v>
      </c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</row>
    <row r="144" customFormat="false" ht="18" hidden="false" customHeight="true" outlineLevel="0" collapsed="false">
      <c r="A144" s="18" t="s">
        <v>189</v>
      </c>
      <c r="B144" s="18" t="str">
        <f aca="false">TRIM(A144)</f>
        <v>زهره صفری</v>
      </c>
      <c r="C144" s="18" t="str">
        <f aca="false">VLOOKUP(B144,Company!B:E,3,0)</f>
        <v>سینا</v>
      </c>
      <c r="D144" s="18" t="str">
        <f aca="false">VLOOKUP(B144,Company!B:E,2,0)</f>
        <v>صبح</v>
      </c>
      <c r="E144" s="18" t="str">
        <f aca="false" t="array" ref="E144:E144">IFERROR(INDEX('Team Leads'!$B:$D, MATCH(C144,'Team Leads'!$A:$A,0), MATCH(D144,'Team Leads'!$B$1:$D$1,0)), "")</f>
        <v>فاطمه دهقانپور</v>
      </c>
      <c r="F144" s="18" t="n">
        <f aca="false">VLOOKUP(B144,'Operator Bugs'!A:P,16,0)</f>
        <v>0</v>
      </c>
      <c r="G144" s="18" t="n">
        <f aca="false">IFERROR(VLOOKUP(B144,'6-week1'!B:D,2,0),0)</f>
        <v>99</v>
      </c>
      <c r="H144" s="18" t="n">
        <f aca="false">IFERROR(VLOOKUP(B144,'6-week1'!B:D,3,0),"-")</f>
        <v>35</v>
      </c>
      <c r="I144" s="18" t="n">
        <f aca="false">IF(G144&gt;179,5,IF(G144&gt;149,4,IF(G144&gt;119,3,IF(G144&gt;89,2,IF(G144&gt;59,1,IF(G144&lt;=59,0))))))</f>
        <v>2</v>
      </c>
      <c r="J144" s="18" t="n">
        <f aca="false">IF(H144&gt;39,1,IF(H144&gt;32,2,IF(H144&gt;26,3,IF(H144&gt;20,4,IF(H144&lt;=20,5)))))</f>
        <v>2</v>
      </c>
      <c r="K144" s="15" t="n">
        <f aca="false">AVERAGE(I144:J144)</f>
        <v>2</v>
      </c>
      <c r="L144" s="19" t="n">
        <f aca="false">IFERROR(VLOOKUP(B144,'6-week2'!B:D,2,0),0)</f>
        <v>153</v>
      </c>
      <c r="M144" s="19" t="n">
        <f aca="false">IFERROR(VLOOKUP(B144,'6-week2'!B:D,3,0),0)</f>
        <v>39</v>
      </c>
      <c r="N144" s="19" t="n">
        <f aca="false">IF(L144&gt;179,5,IF(L144&gt;149,4,IF(L144&gt;119,3,IF(L144&gt;89,2,IF(L144&gt;59,1,IF(L144&lt;=59,0))))))</f>
        <v>4</v>
      </c>
      <c r="O144" s="19" t="n">
        <f aca="false">IF(M144&gt;39,1,IF(M144&gt;32,2,IF(M144&gt;26,3,IF(M144&gt;20,4,IF(M144&lt;=20,5)))))</f>
        <v>2</v>
      </c>
      <c r="P144" s="19" t="n">
        <f aca="false">AVERAGE(N144,O144)</f>
        <v>3</v>
      </c>
      <c r="Q144" s="19" t="n">
        <f aca="false">IFERROR(VLOOKUP(B144,'6-week1'!B:F,5,0),0)</f>
        <v>0</v>
      </c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</row>
    <row r="145" customFormat="false" ht="18" hidden="false" customHeight="true" outlineLevel="0" collapsed="false">
      <c r="A145" s="18" t="s">
        <v>190</v>
      </c>
      <c r="B145" s="18" t="str">
        <f aca="false">TRIM(A145)</f>
        <v>سارا غفاری</v>
      </c>
      <c r="C145" s="18" t="str">
        <f aca="false">VLOOKUP(B145,Company!B:E,3,0)</f>
        <v>تعاون</v>
      </c>
      <c r="D145" s="18" t="str">
        <f aca="false">VLOOKUP(B145,Company!B:E,2,0)</f>
        <v>عصر</v>
      </c>
      <c r="E145" s="18" t="str">
        <f aca="false" t="array" ref="E145:E145">IFERROR(INDEX('Team Leads'!$B:$D, MATCH(C145,'Team Leads'!$A:$A,0), MATCH(D145,'Team Leads'!$B$1:$D$1,0)), "")</f>
        <v>علیرضا زمانیان</v>
      </c>
      <c r="F145" s="18" t="n">
        <f aca="false">VLOOKUP(B145,'Operator Bugs'!A:P,16,0)</f>
        <v>0</v>
      </c>
      <c r="G145" s="18" t="n">
        <f aca="false">IFERROR(VLOOKUP(B145,'6-week1'!B:D,2,0),0)</f>
        <v>89</v>
      </c>
      <c r="H145" s="18" t="n">
        <f aca="false">IFERROR(VLOOKUP(B145,'6-week1'!B:D,3,0),"-")</f>
        <v>31</v>
      </c>
      <c r="I145" s="18" t="n">
        <f aca="false">IF(G145&gt;179,5,IF(G145&gt;149,4,IF(G145&gt;119,3,IF(G145&gt;89,2,IF(G145&gt;59,1,IF(G145&lt;=59,0))))))</f>
        <v>1</v>
      </c>
      <c r="J145" s="18" t="n">
        <f aca="false">IF(H145&gt;39,1,IF(H145&gt;32,2,IF(H145&gt;26,3,IF(H145&gt;20,4,IF(H145&lt;=20,5)))))</f>
        <v>3</v>
      </c>
      <c r="K145" s="15" t="n">
        <f aca="false">AVERAGE(I145:J145)</f>
        <v>2</v>
      </c>
      <c r="L145" s="19" t="n">
        <f aca="false">IFERROR(VLOOKUP(B145,'6-week2'!B:D,2,0),0)</f>
        <v>163</v>
      </c>
      <c r="M145" s="19" t="n">
        <f aca="false">IFERROR(VLOOKUP(B145,'6-week2'!B:D,3,0),0)</f>
        <v>49</v>
      </c>
      <c r="N145" s="19" t="n">
        <f aca="false">IF(L145&gt;179,5,IF(L145&gt;149,4,IF(L145&gt;119,3,IF(L145&gt;89,2,IF(L145&gt;59,1,IF(L145&lt;=59,0))))))</f>
        <v>4</v>
      </c>
      <c r="O145" s="19" t="n">
        <f aca="false">IF(M145&gt;39,1,IF(M145&gt;32,2,IF(M145&gt;26,3,IF(M145&gt;20,4,IF(M145&lt;=20,5)))))</f>
        <v>1</v>
      </c>
      <c r="P145" s="19" t="n">
        <f aca="false">AVERAGE(N145,O145)</f>
        <v>2.5</v>
      </c>
      <c r="Q145" s="19" t="n">
        <f aca="false">IFERROR(VLOOKUP(B145,'6-week1'!B:F,5,0),0)</f>
        <v>0</v>
      </c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</row>
    <row r="146" customFormat="false" ht="18" hidden="false" customHeight="true" outlineLevel="0" collapsed="false">
      <c r="A146" s="18" t="s">
        <v>191</v>
      </c>
      <c r="B146" s="18" t="str">
        <f aca="false">TRIM(A146)</f>
        <v>سبا نصرالهی</v>
      </c>
      <c r="C146" s="18" t="str">
        <f aca="false">VLOOKUP(B146,Company!B:E,3,0)</f>
        <v>سینا</v>
      </c>
      <c r="D146" s="18" t="str">
        <f aca="false">VLOOKUP(B146,Company!B:E,2,0)</f>
        <v>عصر</v>
      </c>
      <c r="E146" s="18" t="str">
        <f aca="false" t="array" ref="E146:E146">IFERROR(INDEX('Team Leads'!$B:$D, MATCH(C146,'Team Leads'!$A:$A,0), MATCH(D146,'Team Leads'!$B$1:$D$1,0)), "")</f>
        <v>مهدی ایازی</v>
      </c>
      <c r="F146" s="18" t="n">
        <f aca="false">VLOOKUP(B146,'Operator Bugs'!A:P,16,0)</f>
        <v>0</v>
      </c>
      <c r="G146" s="18" t="n">
        <f aca="false">IFERROR(VLOOKUP(B146,'6-week1'!B:D,2,0),0)</f>
        <v>102</v>
      </c>
      <c r="H146" s="18" t="n">
        <f aca="false">IFERROR(VLOOKUP(B146,'6-week1'!B:D,3,0),"-")</f>
        <v>33</v>
      </c>
      <c r="I146" s="18" t="n">
        <f aca="false">IF(G146&gt;179,5,IF(G146&gt;149,4,IF(G146&gt;119,3,IF(G146&gt;89,2,IF(G146&gt;59,1,IF(G146&lt;=59,0))))))</f>
        <v>2</v>
      </c>
      <c r="J146" s="18" t="n">
        <f aca="false">IF(H146&gt;39,1,IF(H146&gt;32,2,IF(H146&gt;26,3,IF(H146&gt;20,4,IF(H146&lt;=20,5)))))</f>
        <v>2</v>
      </c>
      <c r="K146" s="15" t="n">
        <f aca="false">AVERAGE(I146:J146)</f>
        <v>2</v>
      </c>
      <c r="L146" s="19" t="n">
        <f aca="false">IFERROR(VLOOKUP(B146,'6-week2'!B:D,2,0),0)</f>
        <v>139</v>
      </c>
      <c r="M146" s="19" t="n">
        <f aca="false">IFERROR(VLOOKUP(B146,'6-week2'!B:D,3,0),0)</f>
        <v>34</v>
      </c>
      <c r="N146" s="19" t="n">
        <f aca="false">IF(L146&gt;179,5,IF(L146&gt;149,4,IF(L146&gt;119,3,IF(L146&gt;89,2,IF(L146&gt;59,1,IF(L146&lt;=59,0))))))</f>
        <v>3</v>
      </c>
      <c r="O146" s="19" t="n">
        <f aca="false">IF(M146&gt;39,1,IF(M146&gt;32,2,IF(M146&gt;26,3,IF(M146&gt;20,4,IF(M146&lt;=20,5)))))</f>
        <v>2</v>
      </c>
      <c r="P146" s="19" t="n">
        <f aca="false">AVERAGE(N146,O146)</f>
        <v>2.5</v>
      </c>
      <c r="Q146" s="19" t="n">
        <f aca="false">IFERROR(VLOOKUP(B146,'6-week1'!B:F,5,0),0)</f>
        <v>0</v>
      </c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</row>
    <row r="147" customFormat="false" ht="18" hidden="false" customHeight="true" outlineLevel="0" collapsed="false">
      <c r="A147" s="18" t="s">
        <v>192</v>
      </c>
      <c r="B147" s="18" t="str">
        <f aca="false">TRIM(A147)</f>
        <v>سپیده عبدی پور</v>
      </c>
      <c r="C147" s="18" t="str">
        <f aca="false">VLOOKUP(B147,Company!B:E,3,0)</f>
        <v>تعاون</v>
      </c>
      <c r="D147" s="18" t="str">
        <f aca="false">VLOOKUP(B147,Company!B:E,2,0)</f>
        <v>عصر</v>
      </c>
      <c r="E147" s="18" t="str">
        <f aca="false" t="array" ref="E147:E147">IFERROR(INDEX('Team Leads'!$B:$D, MATCH(C147,'Team Leads'!$A:$A,0), MATCH(D147,'Team Leads'!$B$1:$D$1,0)), "")</f>
        <v>علیرضا زمانیان</v>
      </c>
      <c r="F147" s="18" t="n">
        <f aca="false">VLOOKUP(B147,'Operator Bugs'!A:P,16,0)</f>
        <v>0</v>
      </c>
      <c r="G147" s="18" t="n">
        <f aca="false">IFERROR(VLOOKUP(B147,'6-week1'!B:D,2,0),0)</f>
        <v>66</v>
      </c>
      <c r="H147" s="18" t="n">
        <f aca="false">IFERROR(VLOOKUP(B147,'6-week1'!B:D,3,0),"-")</f>
        <v>29</v>
      </c>
      <c r="I147" s="18" t="n">
        <f aca="false">IF(G147&gt;179,5,IF(G147&gt;149,4,IF(G147&gt;119,3,IF(G147&gt;89,2,IF(G147&gt;59,1,IF(G147&lt;=59,0))))))</f>
        <v>1</v>
      </c>
      <c r="J147" s="18" t="n">
        <f aca="false">IF(H147&gt;39,1,IF(H147&gt;32,2,IF(H147&gt;26,3,IF(H147&gt;20,4,IF(H147&lt;=20,5)))))</f>
        <v>3</v>
      </c>
      <c r="K147" s="15" t="n">
        <f aca="false">AVERAGE(I147:J147)</f>
        <v>2</v>
      </c>
      <c r="L147" s="19" t="n">
        <f aca="false">IFERROR(VLOOKUP(B147,'6-week2'!B:D,2,0),0)</f>
        <v>56</v>
      </c>
      <c r="M147" s="19" t="n">
        <f aca="false">IFERROR(VLOOKUP(B147,'6-week2'!B:D,3,0),0)</f>
        <v>32</v>
      </c>
      <c r="N147" s="19" t="n">
        <f aca="false">IF(L147&gt;179,5,IF(L147&gt;149,4,IF(L147&gt;119,3,IF(L147&gt;89,2,IF(L147&gt;59,1,IF(L147&lt;=59,0))))))</f>
        <v>0</v>
      </c>
      <c r="O147" s="19" t="n">
        <f aca="false">IF(M147&gt;39,1,IF(M147&gt;32,2,IF(M147&gt;26,3,IF(M147&gt;20,4,IF(M147&lt;=20,5)))))</f>
        <v>3</v>
      </c>
      <c r="P147" s="19" t="n">
        <f aca="false">AVERAGE(N147,O147)</f>
        <v>1.5</v>
      </c>
      <c r="Q147" s="19" t="n">
        <f aca="false">IFERROR(VLOOKUP(B147,'6-week1'!B:F,5,0),0)</f>
        <v>0</v>
      </c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</row>
    <row r="148" customFormat="false" ht="18" hidden="false" customHeight="true" outlineLevel="0" collapsed="false">
      <c r="A148" s="18" t="s">
        <v>193</v>
      </c>
      <c r="B148" s="18" t="str">
        <f aca="false">TRIM(A148)</f>
        <v>سعید براری</v>
      </c>
      <c r="C148" s="18" t="str">
        <f aca="false">VLOOKUP(B148,Company!B:E,3,0)</f>
        <v>تعاون</v>
      </c>
      <c r="D148" s="18" t="str">
        <f aca="false">VLOOKUP(B148,Company!B:E,2,0)</f>
        <v>صبح</v>
      </c>
      <c r="E148" s="18" t="str">
        <f aca="false" t="array" ref="E148:E148">IFERROR(INDEX('Team Leads'!$B:$D, MATCH(C148,'Team Leads'!$A:$A,0), MATCH(D148,'Team Leads'!$B$1:$D$1,0)), "")</f>
        <v>مهدی فراهانی</v>
      </c>
      <c r="F148" s="18" t="n">
        <f aca="false">VLOOKUP(B148,'Operator Bugs'!A:P,16,0)</f>
        <v>0</v>
      </c>
      <c r="G148" s="18" t="n">
        <f aca="false">IFERROR(VLOOKUP(B148,'6-week1'!B:D,2,0),0)</f>
        <v>51</v>
      </c>
      <c r="H148" s="18" t="n">
        <f aca="false">IFERROR(VLOOKUP(B148,'6-week1'!B:D,3,0),"-")</f>
        <v>24</v>
      </c>
      <c r="I148" s="18" t="n">
        <f aca="false">IF(G148&gt;179,5,IF(G148&gt;149,4,IF(G148&gt;119,3,IF(G148&gt;89,2,IF(G148&gt;59,1,IF(G148&lt;=59,0))))))</f>
        <v>0</v>
      </c>
      <c r="J148" s="18" t="n">
        <f aca="false">IF(H148&gt;39,1,IF(H148&gt;32,2,IF(H148&gt;26,3,IF(H148&gt;20,4,IF(H148&lt;=20,5)))))</f>
        <v>4</v>
      </c>
      <c r="K148" s="15" t="n">
        <f aca="false">AVERAGE(I148:J148)</f>
        <v>2</v>
      </c>
      <c r="L148" s="19" t="n">
        <f aca="false">IFERROR(VLOOKUP(B148,'6-week2'!B:D,2,0),0)</f>
        <v>50</v>
      </c>
      <c r="M148" s="19" t="n">
        <f aca="false">IFERROR(VLOOKUP(B148,'6-week2'!B:D,3,0),0)</f>
        <v>25</v>
      </c>
      <c r="N148" s="19" t="n">
        <f aca="false">IF(L148&gt;179,5,IF(L148&gt;149,4,IF(L148&gt;119,3,IF(L148&gt;89,2,IF(L148&gt;59,1,IF(L148&lt;=59,0))))))</f>
        <v>0</v>
      </c>
      <c r="O148" s="19" t="n">
        <f aca="false">IF(M148&gt;39,1,IF(M148&gt;32,2,IF(M148&gt;26,3,IF(M148&gt;20,4,IF(M148&lt;=20,5)))))</f>
        <v>4</v>
      </c>
      <c r="P148" s="19" t="n">
        <f aca="false">AVERAGE(N148,O148)</f>
        <v>2</v>
      </c>
      <c r="Q148" s="19" t="n">
        <f aca="false">IFERROR(VLOOKUP(B148,'6-week1'!B:F,5,0),0)</f>
        <v>0</v>
      </c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</row>
    <row r="149" customFormat="false" ht="18" hidden="false" customHeight="true" outlineLevel="0" collapsed="false">
      <c r="A149" s="18" t="s">
        <v>194</v>
      </c>
      <c r="B149" s="18" t="str">
        <f aca="false">TRIM(A149)</f>
        <v>سعید عزیزی میرحسنی</v>
      </c>
      <c r="C149" s="18" t="str">
        <f aca="false">VLOOKUP(B149,Company!B:E,3,0)</f>
        <v>سینا</v>
      </c>
      <c r="D149" s="18" t="str">
        <f aca="false">VLOOKUP(B149,Company!B:E,2,0)</f>
        <v>صبح</v>
      </c>
      <c r="E149" s="18" t="str">
        <f aca="false" t="array" ref="E149:E149">IFERROR(INDEX('Team Leads'!$B:$D, MATCH(C149,'Team Leads'!$A:$A,0), MATCH(D149,'Team Leads'!$B$1:$D$1,0)), "")</f>
        <v>فاطمه دهقانپور</v>
      </c>
      <c r="F149" s="18" t="n">
        <f aca="false">VLOOKUP(B149,'Operator Bugs'!A:P,16,0)</f>
        <v>0</v>
      </c>
      <c r="G149" s="18" t="n">
        <f aca="false">IFERROR(VLOOKUP(B149,'6-week1'!B:D,2,0),0)</f>
        <v>93</v>
      </c>
      <c r="H149" s="18" t="n">
        <f aca="false">IFERROR(VLOOKUP(B149,'6-week1'!B:D,3,0),"-")</f>
        <v>34</v>
      </c>
      <c r="I149" s="18" t="n">
        <f aca="false">IF(G149&gt;179,5,IF(G149&gt;149,4,IF(G149&gt;119,3,IF(G149&gt;89,2,IF(G149&gt;59,1,IF(G149&lt;=59,0))))))</f>
        <v>2</v>
      </c>
      <c r="J149" s="18" t="n">
        <f aca="false">IF(H149&gt;39,1,IF(H149&gt;32,2,IF(H149&gt;26,3,IF(H149&gt;20,4,IF(H149&lt;=20,5)))))</f>
        <v>2</v>
      </c>
      <c r="K149" s="15" t="n">
        <f aca="false">AVERAGE(I149:J149)</f>
        <v>2</v>
      </c>
      <c r="L149" s="19" t="n">
        <f aca="false">IFERROR(VLOOKUP(B149,'6-week2'!B:D,2,0),0)</f>
        <v>138</v>
      </c>
      <c r="M149" s="19" t="n">
        <f aca="false">IFERROR(VLOOKUP(B149,'6-week2'!B:D,3,0),0)</f>
        <v>26</v>
      </c>
      <c r="N149" s="19" t="n">
        <f aca="false">IF(L149&gt;179,5,IF(L149&gt;149,4,IF(L149&gt;119,3,IF(L149&gt;89,2,IF(L149&gt;59,1,IF(L149&lt;=59,0))))))</f>
        <v>3</v>
      </c>
      <c r="O149" s="19" t="n">
        <f aca="false">IF(M149&gt;39,1,IF(M149&gt;32,2,IF(M149&gt;26,3,IF(M149&gt;20,4,IF(M149&lt;=20,5)))))</f>
        <v>4</v>
      </c>
      <c r="P149" s="19" t="n">
        <f aca="false">AVERAGE(N149,O149)</f>
        <v>3.5</v>
      </c>
      <c r="Q149" s="19" t="n">
        <f aca="false">IFERROR(VLOOKUP(B149,'6-week1'!B:F,5,0),0)</f>
        <v>0</v>
      </c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</row>
    <row r="150" customFormat="false" ht="18" hidden="false" customHeight="true" outlineLevel="0" collapsed="false">
      <c r="A150" s="18" t="s">
        <v>195</v>
      </c>
      <c r="B150" s="18" t="str">
        <f aca="false">TRIM(A150)</f>
        <v>سید امیررضا فیض آبادی</v>
      </c>
      <c r="C150" s="18" t="str">
        <f aca="false">VLOOKUP(B150,Company!B:E,3,0)</f>
        <v>سینا</v>
      </c>
      <c r="D150" s="18" t="str">
        <f aca="false">VLOOKUP(B150,Company!B:E,2,0)</f>
        <v>صبح</v>
      </c>
      <c r="E150" s="18" t="str">
        <f aca="false" t="array" ref="E150:E150">IFERROR(INDEX('Team Leads'!$B:$D, MATCH(C150,'Team Leads'!$A:$A,0), MATCH(D150,'Team Leads'!$B$1:$D$1,0)), "")</f>
        <v>فاطمه دهقانپور</v>
      </c>
      <c r="F150" s="18" t="n">
        <f aca="false">VLOOKUP(B150,'Operator Bugs'!A:P,16,0)</f>
        <v>0</v>
      </c>
      <c r="G150" s="18" t="n">
        <f aca="false">IFERROR(VLOOKUP(B150,'6-week1'!B:D,2,0),0)</f>
        <v>63</v>
      </c>
      <c r="H150" s="18" t="n">
        <f aca="false">IFERROR(VLOOKUP(B150,'6-week1'!B:D,3,0),"-")</f>
        <v>27</v>
      </c>
      <c r="I150" s="18" t="n">
        <f aca="false">IF(G150&gt;179,5,IF(G150&gt;149,4,IF(G150&gt;119,3,IF(G150&gt;89,2,IF(G150&gt;59,1,IF(G150&lt;=59,0))))))</f>
        <v>1</v>
      </c>
      <c r="J150" s="18" t="n">
        <f aca="false">IF(H150&gt;39,1,IF(H150&gt;32,2,IF(H150&gt;26,3,IF(H150&gt;20,4,IF(H150&lt;=20,5)))))</f>
        <v>3</v>
      </c>
      <c r="K150" s="15" t="n">
        <f aca="false">AVERAGE(I150:J150)</f>
        <v>2</v>
      </c>
      <c r="L150" s="19" t="n">
        <f aca="false">IFERROR(VLOOKUP(B150,'6-week2'!B:D,2,0),0)</f>
        <v>58</v>
      </c>
      <c r="M150" s="19" t="n">
        <f aca="false">IFERROR(VLOOKUP(B150,'6-week2'!B:D,3,0),0)</f>
        <v>29</v>
      </c>
      <c r="N150" s="19" t="n">
        <f aca="false">IF(L150&gt;179,5,IF(L150&gt;149,4,IF(L150&gt;119,3,IF(L150&gt;89,2,IF(L150&gt;59,1,IF(L150&lt;=59,0))))))</f>
        <v>0</v>
      </c>
      <c r="O150" s="19" t="n">
        <f aca="false">IF(M150&gt;39,1,IF(M150&gt;32,2,IF(M150&gt;26,3,IF(M150&gt;20,4,IF(M150&lt;=20,5)))))</f>
        <v>3</v>
      </c>
      <c r="P150" s="19" t="n">
        <f aca="false">AVERAGE(N150,O150)</f>
        <v>1.5</v>
      </c>
      <c r="Q150" s="19" t="n">
        <f aca="false">IFERROR(VLOOKUP(B150,'6-week1'!B:F,5,0),0)</f>
        <v>0</v>
      </c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</row>
    <row r="151" customFormat="false" ht="18" hidden="false" customHeight="true" outlineLevel="0" collapsed="false">
      <c r="A151" s="18" t="s">
        <v>196</v>
      </c>
      <c r="B151" s="18" t="str">
        <f aca="false">TRIM(A151)</f>
        <v>شاهین صباحی</v>
      </c>
      <c r="C151" s="18" t="str">
        <f aca="false">VLOOKUP(B151,Company!B:E,3,0)</f>
        <v>رازی</v>
      </c>
      <c r="D151" s="18" t="str">
        <f aca="false">VLOOKUP(B151,Company!B:E,2,0)</f>
        <v>صبح</v>
      </c>
      <c r="E151" s="18" t="str">
        <f aca="false" t="array" ref="E151:E151">IFERROR(INDEX('Team Leads'!$B:$D, MATCH(C151,'Team Leads'!$A:$A,0), MATCH(D151,'Team Leads'!$B$1:$D$1,0)), "")</f>
        <v>آتنا مالمیر</v>
      </c>
      <c r="F151" s="18" t="n">
        <f aca="false">VLOOKUP(B151,'Operator Bugs'!A:P,16,0)</f>
        <v>0</v>
      </c>
      <c r="G151" s="18" t="n">
        <f aca="false">IFERROR(VLOOKUP(B151,'6-week1'!B:D,2,0),0)</f>
        <v>54</v>
      </c>
      <c r="H151" s="18" t="n">
        <f aca="false">IFERROR(VLOOKUP(B151,'6-week1'!B:D,3,0),"-")</f>
        <v>26</v>
      </c>
      <c r="I151" s="18" t="n">
        <f aca="false">IF(G151&gt;179,5,IF(G151&gt;149,4,IF(G151&gt;119,3,IF(G151&gt;89,2,IF(G151&gt;59,1,IF(G151&lt;=59,0))))))</f>
        <v>0</v>
      </c>
      <c r="J151" s="18" t="n">
        <f aca="false">IF(H151&gt;39,1,IF(H151&gt;32,2,IF(H151&gt;26,3,IF(H151&gt;20,4,IF(H151&lt;=20,5)))))</f>
        <v>4</v>
      </c>
      <c r="K151" s="15" t="n">
        <f aca="false">AVERAGE(I151:J151)</f>
        <v>2</v>
      </c>
      <c r="L151" s="19" t="n">
        <f aca="false">IFERROR(VLOOKUP(B151,'6-week2'!B:D,2,0),0)</f>
        <v>79</v>
      </c>
      <c r="M151" s="19" t="n">
        <f aca="false">IFERROR(VLOOKUP(B151,'6-week2'!B:D,3,0),0)</f>
        <v>31</v>
      </c>
      <c r="N151" s="19" t="n">
        <f aca="false">IF(L151&gt;179,5,IF(L151&gt;149,4,IF(L151&gt;119,3,IF(L151&gt;89,2,IF(L151&gt;59,1,IF(L151&lt;=59,0))))))</f>
        <v>1</v>
      </c>
      <c r="O151" s="19" t="n">
        <f aca="false">IF(M151&gt;39,1,IF(M151&gt;32,2,IF(M151&gt;26,3,IF(M151&gt;20,4,IF(M151&lt;=20,5)))))</f>
        <v>3</v>
      </c>
      <c r="P151" s="19" t="n">
        <f aca="false">AVERAGE(N151,O151)</f>
        <v>2</v>
      </c>
      <c r="Q151" s="19" t="n">
        <f aca="false">IFERROR(VLOOKUP(B151,'6-week1'!B:F,5,0),0)</f>
        <v>0</v>
      </c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</row>
    <row r="152" customFormat="false" ht="18" hidden="false" customHeight="true" outlineLevel="0" collapsed="false">
      <c r="A152" s="18" t="s">
        <v>197</v>
      </c>
      <c r="B152" s="18" t="str">
        <f aca="false">TRIM(A152)</f>
        <v>عباس نصیری</v>
      </c>
      <c r="C152" s="18" t="str">
        <f aca="false">VLOOKUP(B152,Company!B:E,3,0)</f>
        <v>ایران</v>
      </c>
      <c r="D152" s="18" t="str">
        <f aca="false">VLOOKUP(B152,Company!B:E,2,0)</f>
        <v>صبح</v>
      </c>
      <c r="E152" s="18" t="str">
        <f aca="false" t="array" ref="E152:E152">IFERROR(INDEX('Team Leads'!$B:$D, MATCH(C152,'Team Leads'!$A:$A,0), MATCH(D152,'Team Leads'!$B$1:$D$1,0)), "")</f>
        <v>مهدی فراهانی</v>
      </c>
      <c r="F152" s="18" t="n">
        <f aca="false">VLOOKUP(B152,'Operator Bugs'!A:P,16,0)</f>
        <v>0</v>
      </c>
      <c r="G152" s="18" t="n">
        <f aca="false">IFERROR(VLOOKUP(B152,'6-week1'!B:D,2,0),0)</f>
        <v>86</v>
      </c>
      <c r="H152" s="18" t="n">
        <f aca="false">IFERROR(VLOOKUP(B152,'6-week1'!B:D,3,0),"-")</f>
        <v>28</v>
      </c>
      <c r="I152" s="18" t="n">
        <f aca="false">IF(G152&gt;179,5,IF(G152&gt;149,4,IF(G152&gt;119,3,IF(G152&gt;89,2,IF(G152&gt;59,1,IF(G152&lt;=59,0))))))</f>
        <v>1</v>
      </c>
      <c r="J152" s="18" t="n">
        <f aca="false">IF(H152&gt;39,1,IF(H152&gt;32,2,IF(H152&gt;26,3,IF(H152&gt;20,4,IF(H152&lt;=20,5)))))</f>
        <v>3</v>
      </c>
      <c r="K152" s="15" t="n">
        <f aca="false">AVERAGE(I152:J152)</f>
        <v>2</v>
      </c>
      <c r="L152" s="19" t="n">
        <f aca="false">IFERROR(VLOOKUP(B152,'6-week2'!B:D,2,0),0)</f>
        <v>92</v>
      </c>
      <c r="M152" s="19" t="n">
        <f aca="false">IFERROR(VLOOKUP(B152,'6-week2'!B:D,3,0),0)</f>
        <v>21</v>
      </c>
      <c r="N152" s="19" t="n">
        <f aca="false">IF(L152&gt;179,5,IF(L152&gt;149,4,IF(L152&gt;119,3,IF(L152&gt;89,2,IF(L152&gt;59,1,IF(L152&lt;=59,0))))))</f>
        <v>2</v>
      </c>
      <c r="O152" s="19" t="n">
        <f aca="false">IF(M152&gt;39,1,IF(M152&gt;32,2,IF(M152&gt;26,3,IF(M152&gt;20,4,IF(M152&lt;=20,5)))))</f>
        <v>4</v>
      </c>
      <c r="P152" s="19" t="n">
        <f aca="false">AVERAGE(N152,O152)</f>
        <v>3</v>
      </c>
      <c r="Q152" s="19" t="n">
        <f aca="false">IFERROR(VLOOKUP(B152,'6-week1'!B:F,5,0),0)</f>
        <v>0</v>
      </c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</row>
    <row r="153" customFormat="false" ht="18" hidden="false" customHeight="true" outlineLevel="0" collapsed="false">
      <c r="A153" s="18" t="s">
        <v>198</v>
      </c>
      <c r="B153" s="18" t="str">
        <f aca="false">TRIM(A153)</f>
        <v>فاطمه خوشرودی</v>
      </c>
      <c r="C153" s="18" t="str">
        <f aca="false">VLOOKUP(B153,Company!B:E,3,0)</f>
        <v>رازی</v>
      </c>
      <c r="D153" s="18" t="str">
        <f aca="false">VLOOKUP(B153,Company!B:E,2,0)</f>
        <v>صبح</v>
      </c>
      <c r="E153" s="18" t="str">
        <f aca="false" t="array" ref="E153:E153">IFERROR(INDEX('Team Leads'!$B:$D, MATCH(C153,'Team Leads'!$A:$A,0), MATCH(D153,'Team Leads'!$B$1:$D$1,0)), "")</f>
        <v>آتنا مالمیر</v>
      </c>
      <c r="F153" s="18" t="n">
        <f aca="false">VLOOKUP(B153,'Operator Bugs'!A:P,16,0)</f>
        <v>0</v>
      </c>
      <c r="G153" s="18" t="n">
        <f aca="false">IFERROR(VLOOKUP(B153,'6-week1'!B:D,2,0),0)</f>
        <v>127</v>
      </c>
      <c r="H153" s="18" t="n">
        <f aca="false">IFERROR(VLOOKUP(B153,'6-week1'!B:D,3,0),"-")</f>
        <v>41</v>
      </c>
      <c r="I153" s="18" t="n">
        <f aca="false">IF(G153&gt;179,5,IF(G153&gt;149,4,IF(G153&gt;119,3,IF(G153&gt;89,2,IF(G153&gt;59,1,IF(G153&lt;=59,0))))))</f>
        <v>3</v>
      </c>
      <c r="J153" s="18" t="n">
        <f aca="false">IF(H153&gt;39,1,IF(H153&gt;32,2,IF(H153&gt;26,3,IF(H153&gt;20,4,IF(H153&lt;=20,5)))))</f>
        <v>1</v>
      </c>
      <c r="K153" s="15" t="n">
        <f aca="false">AVERAGE(I153:J153)</f>
        <v>2</v>
      </c>
      <c r="L153" s="19" t="n">
        <f aca="false">IFERROR(VLOOKUP(B153,'6-week2'!B:D,2,0),0)</f>
        <v>169</v>
      </c>
      <c r="M153" s="19" t="n">
        <f aca="false">IFERROR(VLOOKUP(B153,'6-week2'!B:D,3,0),0)</f>
        <v>33</v>
      </c>
      <c r="N153" s="19" t="n">
        <f aca="false">IF(L153&gt;179,5,IF(L153&gt;149,4,IF(L153&gt;119,3,IF(L153&gt;89,2,IF(L153&gt;59,1,IF(L153&lt;=59,0))))))</f>
        <v>4</v>
      </c>
      <c r="O153" s="19" t="n">
        <f aca="false">IF(M153&gt;39,1,IF(M153&gt;32,2,IF(M153&gt;26,3,IF(M153&gt;20,4,IF(M153&lt;=20,5)))))</f>
        <v>2</v>
      </c>
      <c r="P153" s="19" t="n">
        <f aca="false">AVERAGE(N153,O153)</f>
        <v>3</v>
      </c>
      <c r="Q153" s="19" t="n">
        <f aca="false">IFERROR(VLOOKUP(B153,'6-week1'!B:F,5,0),0)</f>
        <v>0</v>
      </c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</row>
    <row r="154" customFormat="false" ht="18" hidden="false" customHeight="true" outlineLevel="0" collapsed="false">
      <c r="A154" s="18" t="s">
        <v>199</v>
      </c>
      <c r="B154" s="18" t="str">
        <f aca="false">TRIM(A154)</f>
        <v>فربد طاهر پور</v>
      </c>
      <c r="C154" s="18" t="str">
        <f aca="false">VLOOKUP(B154,Company!B:E,3,0)</f>
        <v>هوشمند فردا</v>
      </c>
      <c r="D154" s="18" t="str">
        <f aca="false">VLOOKUP(B154,Company!B:E,2,0)</f>
        <v>صبح</v>
      </c>
      <c r="E154" s="18" t="str">
        <f aca="false" t="array" ref="E154:E154">IFERROR(INDEX('Team Leads'!$B:$D, MATCH(C154,'Team Leads'!$A:$A,0), MATCH(D154,'Team Leads'!$B$1:$D$1,0)), "")</f>
        <v>فاطمه دهقانپور</v>
      </c>
      <c r="F154" s="18" t="n">
        <f aca="false">VLOOKUP(B154,'Operator Bugs'!A:P,16,0)</f>
        <v>0</v>
      </c>
      <c r="G154" s="18" t="n">
        <f aca="false">IFERROR(VLOOKUP(B154,'6-week1'!B:D,2,0),0)</f>
        <v>101</v>
      </c>
      <c r="H154" s="18" t="n">
        <f aca="false">IFERROR(VLOOKUP(B154,'6-week1'!B:D,3,0),"-")</f>
        <v>33</v>
      </c>
      <c r="I154" s="18" t="n">
        <f aca="false">IF(G154&gt;179,5,IF(G154&gt;149,4,IF(G154&gt;119,3,IF(G154&gt;89,2,IF(G154&gt;59,1,IF(G154&lt;=59,0))))))</f>
        <v>2</v>
      </c>
      <c r="J154" s="18" t="n">
        <f aca="false">IF(H154&gt;39,1,IF(H154&gt;32,2,IF(H154&gt;26,3,IF(H154&gt;20,4,IF(H154&lt;=20,5)))))</f>
        <v>2</v>
      </c>
      <c r="K154" s="15" t="n">
        <f aca="false">AVERAGE(I154:J154)</f>
        <v>2</v>
      </c>
      <c r="L154" s="19" t="n">
        <f aca="false">IFERROR(VLOOKUP(B154,'6-week2'!B:D,2,0),0)</f>
        <v>158</v>
      </c>
      <c r="M154" s="19" t="n">
        <f aca="false">IFERROR(VLOOKUP(B154,'6-week2'!B:D,3,0),0)</f>
        <v>32</v>
      </c>
      <c r="N154" s="19" t="n">
        <f aca="false">IF(L154&gt;179,5,IF(L154&gt;149,4,IF(L154&gt;119,3,IF(L154&gt;89,2,IF(L154&gt;59,1,IF(L154&lt;=59,0))))))</f>
        <v>4</v>
      </c>
      <c r="O154" s="19" t="n">
        <f aca="false">IF(M154&gt;39,1,IF(M154&gt;32,2,IF(M154&gt;26,3,IF(M154&gt;20,4,IF(M154&lt;=20,5)))))</f>
        <v>3</v>
      </c>
      <c r="P154" s="19" t="n">
        <f aca="false">AVERAGE(N154,O154)</f>
        <v>3.5</v>
      </c>
      <c r="Q154" s="19" t="n">
        <f aca="false">IFERROR(VLOOKUP(B154,'6-week1'!B:F,5,0),0)</f>
        <v>0</v>
      </c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</row>
    <row r="155" customFormat="false" ht="18" hidden="false" customHeight="true" outlineLevel="0" collapsed="false">
      <c r="A155" s="18" t="s">
        <v>200</v>
      </c>
      <c r="B155" s="18" t="str">
        <f aca="false">TRIM(A155)</f>
        <v>فرناز اشجع</v>
      </c>
      <c r="C155" s="18" t="str">
        <f aca="false">VLOOKUP(B155,Company!B:E,3,0)</f>
        <v>سینا</v>
      </c>
      <c r="D155" s="18" t="str">
        <f aca="false">VLOOKUP(B155,Company!B:E,2,0)</f>
        <v>صبح</v>
      </c>
      <c r="E155" s="18" t="str">
        <f aca="false" t="array" ref="E155:E155">IFERROR(INDEX('Team Leads'!$B:$D, MATCH(C155,'Team Leads'!$A:$A,0), MATCH(D155,'Team Leads'!$B$1:$D$1,0)), "")</f>
        <v>فاطمه دهقانپور</v>
      </c>
      <c r="F155" s="18" t="n">
        <f aca="false">VLOOKUP(B155,'Operator Bugs'!A:P,16,0)</f>
        <v>0</v>
      </c>
      <c r="G155" s="18" t="n">
        <f aca="false">IFERROR(VLOOKUP(B155,'6-week1'!B:D,2,0),0)</f>
        <v>81</v>
      </c>
      <c r="H155" s="18" t="n">
        <f aca="false">IFERROR(VLOOKUP(B155,'6-week1'!B:D,3,0),"-")</f>
        <v>27</v>
      </c>
      <c r="I155" s="18" t="n">
        <f aca="false">IF(G155&gt;179,5,IF(G155&gt;149,4,IF(G155&gt;119,3,IF(G155&gt;89,2,IF(G155&gt;59,1,IF(G155&lt;=59,0))))))</f>
        <v>1</v>
      </c>
      <c r="J155" s="18" t="n">
        <f aca="false">IF(H155&gt;39,1,IF(H155&gt;32,2,IF(H155&gt;26,3,IF(H155&gt;20,4,IF(H155&lt;=20,5)))))</f>
        <v>3</v>
      </c>
      <c r="K155" s="15" t="n">
        <f aca="false">AVERAGE(I155:J155)</f>
        <v>2</v>
      </c>
      <c r="L155" s="19" t="n">
        <f aca="false">IFERROR(VLOOKUP(B155,'6-week2'!B:D,2,0),0)</f>
        <v>107</v>
      </c>
      <c r="M155" s="19" t="n">
        <f aca="false">IFERROR(VLOOKUP(B155,'6-week2'!B:D,3,0),0)</f>
        <v>27</v>
      </c>
      <c r="N155" s="19" t="n">
        <f aca="false">IF(L155&gt;179,5,IF(L155&gt;149,4,IF(L155&gt;119,3,IF(L155&gt;89,2,IF(L155&gt;59,1,IF(L155&lt;=59,0))))))</f>
        <v>2</v>
      </c>
      <c r="O155" s="19" t="n">
        <f aca="false">IF(M155&gt;39,1,IF(M155&gt;32,2,IF(M155&gt;26,3,IF(M155&gt;20,4,IF(M155&lt;=20,5)))))</f>
        <v>3</v>
      </c>
      <c r="P155" s="19" t="n">
        <f aca="false">AVERAGE(N155,O155)</f>
        <v>2.5</v>
      </c>
      <c r="Q155" s="19" t="n">
        <f aca="false">IFERROR(VLOOKUP(B155,'6-week1'!B:F,5,0),0)</f>
        <v>0</v>
      </c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</row>
    <row r="156" customFormat="false" ht="18" hidden="false" customHeight="true" outlineLevel="0" collapsed="false">
      <c r="A156" s="18" t="s">
        <v>201</v>
      </c>
      <c r="B156" s="18" t="str">
        <f aca="false">TRIM(A156)</f>
        <v>لیلی خالقی</v>
      </c>
      <c r="C156" s="18" t="str">
        <f aca="false">VLOOKUP(B156,Company!B:E,3,0)</f>
        <v>رازی</v>
      </c>
      <c r="D156" s="18" t="str">
        <f aca="false">VLOOKUP(B156,Company!B:E,2,0)</f>
        <v>صبح</v>
      </c>
      <c r="E156" s="18" t="str">
        <f aca="false" t="array" ref="E156:E156">IFERROR(INDEX('Team Leads'!$B:$D, MATCH(C156,'Team Leads'!$A:$A,0), MATCH(D156,'Team Leads'!$B$1:$D$1,0)), "")</f>
        <v>آتنا مالمیر</v>
      </c>
      <c r="F156" s="18" t="n">
        <f aca="false">VLOOKUP(B156,'Operator Bugs'!A:P,16,0)</f>
        <v>0</v>
      </c>
      <c r="G156" s="18" t="n">
        <f aca="false">IFERROR(VLOOKUP(B156,'6-week1'!B:D,2,0),0)</f>
        <v>81</v>
      </c>
      <c r="H156" s="18" t="n">
        <f aca="false">IFERROR(VLOOKUP(B156,'6-week1'!B:D,3,0),"-")</f>
        <v>28</v>
      </c>
      <c r="I156" s="18" t="n">
        <f aca="false">IF(G156&gt;179,5,IF(G156&gt;149,4,IF(G156&gt;119,3,IF(G156&gt;89,2,IF(G156&gt;59,1,IF(G156&lt;=59,0))))))</f>
        <v>1</v>
      </c>
      <c r="J156" s="18" t="n">
        <f aca="false">IF(H156&gt;39,1,IF(H156&gt;32,2,IF(H156&gt;26,3,IF(H156&gt;20,4,IF(H156&lt;=20,5)))))</f>
        <v>3</v>
      </c>
      <c r="K156" s="15" t="n">
        <f aca="false">AVERAGE(I156:J156)</f>
        <v>2</v>
      </c>
      <c r="L156" s="19" t="n">
        <f aca="false">IFERROR(VLOOKUP(B156,'6-week2'!B:D,2,0),0)</f>
        <v>99</v>
      </c>
      <c r="M156" s="19" t="n">
        <f aca="false">IFERROR(VLOOKUP(B156,'6-week2'!B:D,3,0),0)</f>
        <v>33</v>
      </c>
      <c r="N156" s="19" t="n">
        <f aca="false">IF(L156&gt;179,5,IF(L156&gt;149,4,IF(L156&gt;119,3,IF(L156&gt;89,2,IF(L156&gt;59,1,IF(L156&lt;=59,0))))))</f>
        <v>2</v>
      </c>
      <c r="O156" s="19" t="n">
        <f aca="false">IF(M156&gt;39,1,IF(M156&gt;32,2,IF(M156&gt;26,3,IF(M156&gt;20,4,IF(M156&lt;=20,5)))))</f>
        <v>2</v>
      </c>
      <c r="P156" s="19" t="n">
        <f aca="false">AVERAGE(N156,O156)</f>
        <v>2</v>
      </c>
      <c r="Q156" s="19" t="n">
        <f aca="false">IFERROR(VLOOKUP(B156,'6-week1'!B:F,5,0),0)</f>
        <v>0</v>
      </c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</row>
    <row r="157" customFormat="false" ht="18" hidden="false" customHeight="true" outlineLevel="0" collapsed="false">
      <c r="A157" s="18" t="s">
        <v>202</v>
      </c>
      <c r="B157" s="18" t="str">
        <f aca="false">TRIM(A157)</f>
        <v>ماهرخ باوکان</v>
      </c>
      <c r="C157" s="18" t="str">
        <f aca="false">VLOOKUP(B157,Company!B:E,3,0)</f>
        <v>ایران</v>
      </c>
      <c r="D157" s="18" t="str">
        <f aca="false">VLOOKUP(B157,Company!B:E,2,0)</f>
        <v>صبح</v>
      </c>
      <c r="E157" s="18" t="str">
        <f aca="false" t="array" ref="E157:E157">IFERROR(INDEX('Team Leads'!$B:$D, MATCH(C157,'Team Leads'!$A:$A,0), MATCH(D157,'Team Leads'!$B$1:$D$1,0)), "")</f>
        <v>مهدی فراهانی</v>
      </c>
      <c r="F157" s="18" t="n">
        <f aca="false">VLOOKUP(B157,'Operator Bugs'!A:P,16,0)</f>
        <v>0</v>
      </c>
      <c r="G157" s="18" t="n">
        <f aca="false">IFERROR(VLOOKUP(B157,'6-week1'!B:D,2,0),0)</f>
        <v>87</v>
      </c>
      <c r="H157" s="18" t="n">
        <f aca="false">IFERROR(VLOOKUP(B157,'6-week1'!B:D,3,0),"-")</f>
        <v>32</v>
      </c>
      <c r="I157" s="18" t="n">
        <f aca="false">IF(G157&gt;179,5,IF(G157&gt;149,4,IF(G157&gt;119,3,IF(G157&gt;89,2,IF(G157&gt;59,1,IF(G157&lt;=59,0))))))</f>
        <v>1</v>
      </c>
      <c r="J157" s="18" t="n">
        <f aca="false">IF(H157&gt;39,1,IF(H157&gt;32,2,IF(H157&gt;26,3,IF(H157&gt;20,4,IF(H157&lt;=20,5)))))</f>
        <v>3</v>
      </c>
      <c r="K157" s="15" t="n">
        <f aca="false">AVERAGE(I157:J157)</f>
        <v>2</v>
      </c>
      <c r="L157" s="19" t="n">
        <f aca="false">IFERROR(VLOOKUP(B157,'6-week2'!B:D,2,0),0)</f>
        <v>140</v>
      </c>
      <c r="M157" s="19" t="n">
        <f aca="false">IFERROR(VLOOKUP(B157,'6-week2'!B:D,3,0),0)</f>
        <v>32</v>
      </c>
      <c r="N157" s="19" t="n">
        <f aca="false">IF(L157&gt;179,5,IF(L157&gt;149,4,IF(L157&gt;119,3,IF(L157&gt;89,2,IF(L157&gt;59,1,IF(L157&lt;=59,0))))))</f>
        <v>3</v>
      </c>
      <c r="O157" s="19" t="n">
        <f aca="false">IF(M157&gt;39,1,IF(M157&gt;32,2,IF(M157&gt;26,3,IF(M157&gt;20,4,IF(M157&lt;=20,5)))))</f>
        <v>3</v>
      </c>
      <c r="P157" s="19" t="n">
        <f aca="false">AVERAGE(N157,O157)</f>
        <v>3</v>
      </c>
      <c r="Q157" s="19" t="n">
        <f aca="false">IFERROR(VLOOKUP(B157,'6-week1'!B:F,5,0),0)</f>
        <v>0</v>
      </c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</row>
    <row r="158" customFormat="false" ht="18" hidden="false" customHeight="true" outlineLevel="0" collapsed="false">
      <c r="A158" s="18" t="s">
        <v>203</v>
      </c>
      <c r="B158" s="18" t="str">
        <f aca="false">TRIM(A158)</f>
        <v>مجتبی درزی</v>
      </c>
      <c r="C158" s="18" t="str">
        <f aca="false">VLOOKUP(B158,Company!B:E,3,0)</f>
        <v>رازی</v>
      </c>
      <c r="D158" s="18" t="str">
        <f aca="false">VLOOKUP(B158,Company!B:E,2,0)</f>
        <v>عصر</v>
      </c>
      <c r="E158" s="18" t="str">
        <f aca="false" t="array" ref="E158:E158">IFERROR(INDEX('Team Leads'!$B:$D, MATCH(C158,'Team Leads'!$A:$A,0), MATCH(D158,'Team Leads'!$B$1:$D$1,0)), "")</f>
        <v>امیررضا فلاح</v>
      </c>
      <c r="F158" s="18" t="n">
        <f aca="false">VLOOKUP(B158,'Operator Bugs'!A:P,16,0)</f>
        <v>0</v>
      </c>
      <c r="G158" s="18" t="n">
        <f aca="false">IFERROR(VLOOKUP(B158,'6-week1'!B:D,2,0),0)</f>
        <v>103</v>
      </c>
      <c r="H158" s="18" t="n">
        <f aca="false">IFERROR(VLOOKUP(B158,'6-week1'!B:D,3,0),"-")</f>
        <v>33</v>
      </c>
      <c r="I158" s="18" t="n">
        <f aca="false">IF(G158&gt;179,5,IF(G158&gt;149,4,IF(G158&gt;119,3,IF(G158&gt;89,2,IF(G158&gt;59,1,IF(G158&lt;=59,0))))))</f>
        <v>2</v>
      </c>
      <c r="J158" s="18" t="n">
        <f aca="false">IF(H158&gt;39,1,IF(H158&gt;32,2,IF(H158&gt;26,3,IF(H158&gt;20,4,IF(H158&lt;=20,5)))))</f>
        <v>2</v>
      </c>
      <c r="K158" s="15" t="n">
        <f aca="false">AVERAGE(I158:J158)</f>
        <v>2</v>
      </c>
      <c r="L158" s="19" t="n">
        <f aca="false">IFERROR(VLOOKUP(B158,'6-week2'!B:D,2,0),0)</f>
        <v>92</v>
      </c>
      <c r="M158" s="19" t="n">
        <f aca="false">IFERROR(VLOOKUP(B158,'6-week2'!B:D,3,0),0)</f>
        <v>16</v>
      </c>
      <c r="N158" s="19" t="n">
        <f aca="false">IF(L158&gt;179,5,IF(L158&gt;149,4,IF(L158&gt;119,3,IF(L158&gt;89,2,IF(L158&gt;59,1,IF(L158&lt;=59,0))))))</f>
        <v>2</v>
      </c>
      <c r="O158" s="19" t="n">
        <f aca="false">IF(M158&gt;39,1,IF(M158&gt;32,2,IF(M158&gt;26,3,IF(M158&gt;20,4,IF(M158&lt;=20,5)))))</f>
        <v>5</v>
      </c>
      <c r="P158" s="19" t="n">
        <f aca="false">AVERAGE(N158,O158)</f>
        <v>3.5</v>
      </c>
      <c r="Q158" s="19" t="n">
        <f aca="false">IFERROR(VLOOKUP(B158,'6-week1'!B:F,5,0),0)</f>
        <v>0</v>
      </c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</row>
    <row r="159" customFormat="false" ht="18" hidden="false" customHeight="true" outlineLevel="0" collapsed="false">
      <c r="A159" s="18" t="s">
        <v>204</v>
      </c>
      <c r="B159" s="18" t="str">
        <f aca="false">TRIM(A159)</f>
        <v>مجتبی رفیع زاده بنادک</v>
      </c>
      <c r="C159" s="18" t="str">
        <f aca="false">VLOOKUP(B159,Company!B:E,3,0)</f>
        <v>سینا</v>
      </c>
      <c r="D159" s="18" t="str">
        <f aca="false">VLOOKUP(B159,Company!B:E,2,0)</f>
        <v>صبح</v>
      </c>
      <c r="E159" s="18" t="str">
        <f aca="false" t="array" ref="E159:E159">IFERROR(INDEX('Team Leads'!$B:$D, MATCH(C159,'Team Leads'!$A:$A,0), MATCH(D159,'Team Leads'!$B$1:$D$1,0)), "")</f>
        <v>فاطمه دهقانپور</v>
      </c>
      <c r="F159" s="18" t="n">
        <f aca="false">VLOOKUP(B159,'Operator Bugs'!A:P,16,0)</f>
        <v>0</v>
      </c>
      <c r="G159" s="18" t="n">
        <f aca="false">IFERROR(VLOOKUP(B159,'6-week1'!B:D,2,0),0)</f>
        <v>65</v>
      </c>
      <c r="H159" s="18" t="n">
        <f aca="false">IFERROR(VLOOKUP(B159,'6-week1'!B:D,3,0),"-")</f>
        <v>28</v>
      </c>
      <c r="I159" s="18" t="n">
        <f aca="false">IF(G159&gt;179,5,IF(G159&gt;149,4,IF(G159&gt;119,3,IF(G159&gt;89,2,IF(G159&gt;59,1,IF(G159&lt;=59,0))))))</f>
        <v>1</v>
      </c>
      <c r="J159" s="18" t="n">
        <f aca="false">IF(H159&gt;39,1,IF(H159&gt;32,2,IF(H159&gt;26,3,IF(H159&gt;20,4,IF(H159&lt;=20,5)))))</f>
        <v>3</v>
      </c>
      <c r="K159" s="15" t="n">
        <f aca="false">AVERAGE(I159:J159)</f>
        <v>2</v>
      </c>
      <c r="L159" s="19" t="n">
        <f aca="false">IFERROR(VLOOKUP(B159,'6-week2'!B:D,2,0),0)</f>
        <v>112</v>
      </c>
      <c r="M159" s="19" t="n">
        <f aca="false">IFERROR(VLOOKUP(B159,'6-week2'!B:D,3,0),0)</f>
        <v>31</v>
      </c>
      <c r="N159" s="19" t="n">
        <f aca="false">IF(L159&gt;179,5,IF(L159&gt;149,4,IF(L159&gt;119,3,IF(L159&gt;89,2,IF(L159&gt;59,1,IF(L159&lt;=59,0))))))</f>
        <v>2</v>
      </c>
      <c r="O159" s="19" t="n">
        <f aca="false">IF(M159&gt;39,1,IF(M159&gt;32,2,IF(M159&gt;26,3,IF(M159&gt;20,4,IF(M159&lt;=20,5)))))</f>
        <v>3</v>
      </c>
      <c r="P159" s="19" t="n">
        <f aca="false">AVERAGE(N159,O159)</f>
        <v>2.5</v>
      </c>
      <c r="Q159" s="19" t="n">
        <f aca="false">IFERROR(VLOOKUP(B159,'6-week1'!B:F,5,0),0)</f>
        <v>0</v>
      </c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</row>
    <row r="160" customFormat="false" ht="18" hidden="false" customHeight="true" outlineLevel="0" collapsed="false">
      <c r="A160" s="18" t="s">
        <v>205</v>
      </c>
      <c r="B160" s="18" t="str">
        <f aca="false">TRIM(A160)</f>
        <v>مرکز صدور کاظمی | فائزه ابراهیمی</v>
      </c>
      <c r="C160" s="18" t="str">
        <f aca="false">VLOOKUP(B160,Company!B:E,3,0)</f>
        <v>سنتر</v>
      </c>
      <c r="D160" s="18" t="str">
        <f aca="false">VLOOKUP(B160,Company!B:E,2,0)</f>
        <v>صبح</v>
      </c>
      <c r="E160" s="18" t="str">
        <f aca="false" t="array" ref="E160:E160">IFERROR(INDEX('Team Leads'!$B:$D, MATCH(C160,'Team Leads'!$A:$A,0), MATCH(D160,'Team Leads'!$B$1:$D$1,0)), "")</f>
        <v>مریم ایزدی - شاهین شهریاری</v>
      </c>
      <c r="F160" s="18" t="n">
        <f aca="false">VLOOKUP(B160,'Operator Bugs'!A:P,16,0)</f>
        <v>0</v>
      </c>
      <c r="G160" s="18" t="n">
        <f aca="false">IFERROR(VLOOKUP(B160,'6-week1'!B:D,2,0),0)</f>
        <v>65</v>
      </c>
      <c r="H160" s="18" t="n">
        <f aca="false">IFERROR(VLOOKUP(B160,'6-week1'!B:D,3,0),"-")</f>
        <v>28</v>
      </c>
      <c r="I160" s="18" t="n">
        <f aca="false">IF(G160&gt;179,5,IF(G160&gt;149,4,IF(G160&gt;119,3,IF(G160&gt;89,2,IF(G160&gt;59,1,IF(G160&lt;=59,0))))))</f>
        <v>1</v>
      </c>
      <c r="J160" s="18" t="n">
        <f aca="false">IF(H160&gt;39,1,IF(H160&gt;32,2,IF(H160&gt;26,3,IF(H160&gt;20,4,IF(H160&lt;=20,5)))))</f>
        <v>3</v>
      </c>
      <c r="K160" s="15" t="n">
        <f aca="false">AVERAGE(I160:J160)</f>
        <v>2</v>
      </c>
      <c r="L160" s="19" t="n">
        <f aca="false">IFERROR(VLOOKUP(B160,'6-week2'!B:D,2,0),0)</f>
        <v>105</v>
      </c>
      <c r="M160" s="19" t="n">
        <f aca="false">IFERROR(VLOOKUP(B160,'6-week2'!B:D,3,0),0)</f>
        <v>34</v>
      </c>
      <c r="N160" s="19" t="n">
        <f aca="false">IF(L160&gt;179,5,IF(L160&gt;149,4,IF(L160&gt;119,3,IF(L160&gt;89,2,IF(L160&gt;59,1,IF(L160&lt;=59,0))))))</f>
        <v>2</v>
      </c>
      <c r="O160" s="19" t="n">
        <f aca="false">IF(M160&gt;39,1,IF(M160&gt;32,2,IF(M160&gt;26,3,IF(M160&gt;20,4,IF(M160&lt;=20,5)))))</f>
        <v>2</v>
      </c>
      <c r="P160" s="19" t="n">
        <f aca="false">AVERAGE(N160,O160)</f>
        <v>2</v>
      </c>
      <c r="Q160" s="19" t="n">
        <f aca="false">IFERROR(VLOOKUP(B160,'6-week1'!B:F,5,0),0)</f>
        <v>0</v>
      </c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</row>
    <row r="161" customFormat="false" ht="18" hidden="false" customHeight="true" outlineLevel="0" collapsed="false">
      <c r="A161" s="18" t="s">
        <v>206</v>
      </c>
      <c r="B161" s="18" t="str">
        <f aca="false">TRIM(A161)</f>
        <v>مرکز صدور مجید رضوانی</v>
      </c>
      <c r="C161" s="18" t="str">
        <f aca="false">VLOOKUP(B161,Company!B:E,3,0)</f>
        <v>سنتر</v>
      </c>
      <c r="D161" s="18" t="str">
        <f aca="false">VLOOKUP(B161,Company!B:E,2,0)</f>
        <v>اکانت آموزشی</v>
      </c>
      <c r="E161" s="18" t="str">
        <f aca="false" t="array" ref="E161:E161">IFERROR(INDEX('Team Leads'!$B:$D, MATCH(C161,'Team Leads'!$A:$A,0), MATCH(D161,'Team Leads'!$B$1:$D$1,0)), "")</f>
        <v>شاهین شهریاری</v>
      </c>
      <c r="F161" s="18" t="n">
        <f aca="false">VLOOKUP(B161,'Operator Bugs'!A:P,16,0)</f>
        <v>0</v>
      </c>
      <c r="G161" s="18" t="n">
        <f aca="false">IFERROR(VLOOKUP(B161,'6-week1'!B:D,2,0),0)</f>
        <v>6</v>
      </c>
      <c r="H161" s="18" t="n">
        <f aca="false">IFERROR(VLOOKUP(B161,'6-week1'!B:D,3,0),"-")</f>
        <v>23</v>
      </c>
      <c r="I161" s="18" t="n">
        <f aca="false">IF(G161&gt;179,5,IF(G161&gt;149,4,IF(G161&gt;119,3,IF(G161&gt;89,2,IF(G161&gt;59,1,IF(G161&lt;=59,0))))))</f>
        <v>0</v>
      </c>
      <c r="J161" s="18" t="n">
        <f aca="false">IF(H161&gt;39,1,IF(H161&gt;32,2,IF(H161&gt;26,3,IF(H161&gt;20,4,IF(H161&lt;=20,5)))))</f>
        <v>4</v>
      </c>
      <c r="K161" s="15" t="n">
        <f aca="false">AVERAGE(I161:J161)</f>
        <v>2</v>
      </c>
      <c r="L161" s="19" t="n">
        <f aca="false">IFERROR(VLOOKUP(B161,'6-week2'!B:D,2,0),0)</f>
        <v>0</v>
      </c>
      <c r="M161" s="19" t="n">
        <f aca="false">IFERROR(VLOOKUP(B161,'6-week2'!B:D,3,0),0)</f>
        <v>0</v>
      </c>
      <c r="N161" s="19" t="n">
        <f aca="false">IF(L161&gt;179,5,IF(L161&gt;149,4,IF(L161&gt;119,3,IF(L161&gt;89,2,IF(L161&gt;59,1,IF(L161&lt;=59,0))))))</f>
        <v>0</v>
      </c>
      <c r="O161" s="19" t="n">
        <f aca="false">IF(M161&gt;39,1,IF(M161&gt;32,2,IF(M161&gt;26,3,IF(M161&gt;20,4,IF(M161&lt;=20,5)))))</f>
        <v>5</v>
      </c>
      <c r="P161" s="19" t="n">
        <f aca="false">AVERAGE(N161,O161)</f>
        <v>2.5</v>
      </c>
      <c r="Q161" s="19" t="n">
        <f aca="false">IFERROR(VLOOKUP(B161,'6-week1'!B:F,5,0),0)</f>
        <v>0</v>
      </c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</row>
    <row r="162" customFormat="false" ht="18" hidden="false" customHeight="true" outlineLevel="0" collapsed="false">
      <c r="A162" s="18" t="s">
        <v>207</v>
      </c>
      <c r="B162" s="18" t="str">
        <f aca="false">TRIM(A162)</f>
        <v>مریم محمدی</v>
      </c>
      <c r="C162" s="18" t="str">
        <f aca="false">VLOOKUP(B162,Company!B:E,3,0)</f>
        <v>دی</v>
      </c>
      <c r="D162" s="18" t="str">
        <f aca="false">VLOOKUP(B162,Company!B:E,2,0)</f>
        <v>صبح</v>
      </c>
      <c r="E162" s="18" t="str">
        <f aca="false" t="array" ref="E162:E162">IFERROR(INDEX('Team Leads'!$B:$D, MATCH(C162,'Team Leads'!$A:$A,0), MATCH(D162,'Team Leads'!$B$1:$D$1,0)), "")</f>
        <v>مهدی فراهانی</v>
      </c>
      <c r="F162" s="18" t="n">
        <f aca="false">VLOOKUP(B162,'Operator Bugs'!A:P,16,0)</f>
        <v>0</v>
      </c>
      <c r="G162" s="18" t="n">
        <f aca="false">IFERROR(VLOOKUP(B162,'6-week1'!B:D,2,0),0)</f>
        <v>103</v>
      </c>
      <c r="H162" s="18" t="n">
        <f aca="false">IFERROR(VLOOKUP(B162,'6-week1'!B:D,3,0),"-")</f>
        <v>33</v>
      </c>
      <c r="I162" s="18" t="n">
        <f aca="false">IF(G162&gt;179,5,IF(G162&gt;149,4,IF(G162&gt;119,3,IF(G162&gt;89,2,IF(G162&gt;59,1,IF(G162&lt;=59,0))))))</f>
        <v>2</v>
      </c>
      <c r="J162" s="18" t="n">
        <f aca="false">IF(H162&gt;39,1,IF(H162&gt;32,2,IF(H162&gt;26,3,IF(H162&gt;20,4,IF(H162&lt;=20,5)))))</f>
        <v>2</v>
      </c>
      <c r="K162" s="15" t="n">
        <f aca="false">AVERAGE(I162:J162)</f>
        <v>2</v>
      </c>
      <c r="L162" s="19" t="n">
        <f aca="false">IFERROR(VLOOKUP(B162,'6-week2'!B:D,2,0),0)</f>
        <v>121</v>
      </c>
      <c r="M162" s="19" t="n">
        <f aca="false">IFERROR(VLOOKUP(B162,'6-week2'!B:D,3,0),0)</f>
        <v>41</v>
      </c>
      <c r="N162" s="19" t="n">
        <f aca="false">IF(L162&gt;179,5,IF(L162&gt;149,4,IF(L162&gt;119,3,IF(L162&gt;89,2,IF(L162&gt;59,1,IF(L162&lt;=59,0))))))</f>
        <v>3</v>
      </c>
      <c r="O162" s="19" t="n">
        <f aca="false">IF(M162&gt;39,1,IF(M162&gt;32,2,IF(M162&gt;26,3,IF(M162&gt;20,4,IF(M162&lt;=20,5)))))</f>
        <v>1</v>
      </c>
      <c r="P162" s="19" t="n">
        <f aca="false">AVERAGE(N162,O162)</f>
        <v>2</v>
      </c>
      <c r="Q162" s="19" t="n">
        <f aca="false">IFERROR(VLOOKUP(B162,'6-week1'!B:F,5,0),0)</f>
        <v>0</v>
      </c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</row>
    <row r="163" customFormat="false" ht="18" hidden="false" customHeight="true" outlineLevel="0" collapsed="false">
      <c r="A163" s="18" t="s">
        <v>208</v>
      </c>
      <c r="B163" s="18" t="str">
        <f aca="false">TRIM(A163)</f>
        <v>ملیکا جعفریان</v>
      </c>
      <c r="C163" s="18" t="str">
        <f aca="false">VLOOKUP(B163,Company!B:E,3,0)</f>
        <v>رازی</v>
      </c>
      <c r="D163" s="18" t="str">
        <f aca="false">VLOOKUP(B163,Company!B:E,2,0)</f>
        <v>صبح</v>
      </c>
      <c r="E163" s="18" t="str">
        <f aca="false" t="array" ref="E163:E163">IFERROR(INDEX('Team Leads'!$B:$D, MATCH(C163,'Team Leads'!$A:$A,0), MATCH(D163,'Team Leads'!$B$1:$D$1,0)), "")</f>
        <v>آتنا مالمیر</v>
      </c>
      <c r="F163" s="18" t="n">
        <f aca="false">VLOOKUP(B163,'Operator Bugs'!A:P,16,0)</f>
        <v>0</v>
      </c>
      <c r="G163" s="18" t="n">
        <f aca="false">IFERROR(VLOOKUP(B163,'6-week1'!B:D,2,0),0)</f>
        <v>61</v>
      </c>
      <c r="H163" s="18" t="n">
        <f aca="false">IFERROR(VLOOKUP(B163,'6-week1'!B:D,3,0),"-")</f>
        <v>30</v>
      </c>
      <c r="I163" s="18" t="n">
        <f aca="false">IF(G163&gt;179,5,IF(G163&gt;149,4,IF(G163&gt;119,3,IF(G163&gt;89,2,IF(G163&gt;59,1,IF(G163&lt;=59,0))))))</f>
        <v>1</v>
      </c>
      <c r="J163" s="18" t="n">
        <f aca="false">IF(H163&gt;39,1,IF(H163&gt;32,2,IF(H163&gt;26,3,IF(H163&gt;20,4,IF(H163&lt;=20,5)))))</f>
        <v>3</v>
      </c>
      <c r="K163" s="15" t="n">
        <f aca="false">AVERAGE(I163:J163)</f>
        <v>2</v>
      </c>
      <c r="L163" s="19" t="n">
        <f aca="false">IFERROR(VLOOKUP(B163,'6-week2'!B:D,2,0),0)</f>
        <v>92</v>
      </c>
      <c r="M163" s="19" t="n">
        <f aca="false">IFERROR(VLOOKUP(B163,'6-week2'!B:D,3,0),0)</f>
        <v>24</v>
      </c>
      <c r="N163" s="19" t="n">
        <f aca="false">IF(L163&gt;179,5,IF(L163&gt;149,4,IF(L163&gt;119,3,IF(L163&gt;89,2,IF(L163&gt;59,1,IF(L163&lt;=59,0))))))</f>
        <v>2</v>
      </c>
      <c r="O163" s="19" t="n">
        <f aca="false">IF(M163&gt;39,1,IF(M163&gt;32,2,IF(M163&gt;26,3,IF(M163&gt;20,4,IF(M163&lt;=20,5)))))</f>
        <v>4</v>
      </c>
      <c r="P163" s="19" t="n">
        <f aca="false">AVERAGE(N163,O163)</f>
        <v>3</v>
      </c>
      <c r="Q163" s="19" t="n">
        <f aca="false">IFERROR(VLOOKUP(B163,'6-week1'!B:F,5,0),0)</f>
        <v>0</v>
      </c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</row>
    <row r="164" customFormat="false" ht="18" hidden="false" customHeight="true" outlineLevel="0" collapsed="false">
      <c r="A164" s="18" t="s">
        <v>209</v>
      </c>
      <c r="B164" s="18" t="str">
        <f aca="false">TRIM(A164)</f>
        <v>مهدی سالاری</v>
      </c>
      <c r="C164" s="18" t="str">
        <f aca="false">VLOOKUP(B164,Company!B:E,3,0)</f>
        <v>رازی</v>
      </c>
      <c r="D164" s="18" t="str">
        <f aca="false">VLOOKUP(B164,Company!B:E,2,0)</f>
        <v>عصر</v>
      </c>
      <c r="E164" s="18" t="str">
        <f aca="false" t="array" ref="E164:E164">IFERROR(INDEX('Team Leads'!$B:$D, MATCH(C164,'Team Leads'!$A:$A,0), MATCH(D164,'Team Leads'!$B$1:$D$1,0)), "")</f>
        <v>امیررضا فلاح</v>
      </c>
      <c r="F164" s="18" t="n">
        <f aca="false">VLOOKUP(B164,'Operator Bugs'!A:P,16,0)</f>
        <v>0</v>
      </c>
      <c r="G164" s="18" t="n">
        <f aca="false">IFERROR(VLOOKUP(B164,'6-week1'!B:D,2,0),0)</f>
        <v>44</v>
      </c>
      <c r="H164" s="18" t="n">
        <f aca="false">IFERROR(VLOOKUP(B164,'6-week1'!B:D,3,0),"-")</f>
        <v>22</v>
      </c>
      <c r="I164" s="18" t="n">
        <f aca="false">IF(G164&gt;179,5,IF(G164&gt;149,4,IF(G164&gt;119,3,IF(G164&gt;89,2,IF(G164&gt;59,1,IF(G164&lt;=59,0))))))</f>
        <v>0</v>
      </c>
      <c r="J164" s="18" t="n">
        <f aca="false">IF(H164&gt;39,1,IF(H164&gt;32,2,IF(H164&gt;26,3,IF(H164&gt;20,4,IF(H164&lt;=20,5)))))</f>
        <v>4</v>
      </c>
      <c r="K164" s="15" t="n">
        <f aca="false">AVERAGE(I164:J164)</f>
        <v>2</v>
      </c>
      <c r="L164" s="19" t="n">
        <f aca="false">IFERROR(VLOOKUP(B164,'6-week2'!B:D,2,0),0)</f>
        <v>27</v>
      </c>
      <c r="M164" s="19" t="n">
        <f aca="false">IFERROR(VLOOKUP(B164,'6-week2'!B:D,3,0),0)</f>
        <v>16</v>
      </c>
      <c r="N164" s="19" t="n">
        <f aca="false">IF(L164&gt;179,5,IF(L164&gt;149,4,IF(L164&gt;119,3,IF(L164&gt;89,2,IF(L164&gt;59,1,IF(L164&lt;=59,0))))))</f>
        <v>0</v>
      </c>
      <c r="O164" s="19" t="n">
        <f aca="false">IF(M164&gt;39,1,IF(M164&gt;32,2,IF(M164&gt;26,3,IF(M164&gt;20,4,IF(M164&lt;=20,5)))))</f>
        <v>5</v>
      </c>
      <c r="P164" s="19" t="n">
        <f aca="false">AVERAGE(N164,O164)</f>
        <v>2.5</v>
      </c>
      <c r="Q164" s="19" t="n">
        <f aca="false">IFERROR(VLOOKUP(B164,'6-week1'!B:F,5,0),0)</f>
        <v>0</v>
      </c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</row>
    <row r="165" customFormat="false" ht="18" hidden="false" customHeight="true" outlineLevel="0" collapsed="false">
      <c r="A165" s="18" t="s">
        <v>210</v>
      </c>
      <c r="B165" s="18" t="str">
        <f aca="false">TRIM(A165)</f>
        <v>مهدیه داودی</v>
      </c>
      <c r="C165" s="18" t="str">
        <f aca="false">VLOOKUP(B165,Company!B:E,3,0)</f>
        <v>تعاون</v>
      </c>
      <c r="D165" s="18" t="str">
        <f aca="false">VLOOKUP(B165,Company!B:E,2,0)</f>
        <v>عصر</v>
      </c>
      <c r="E165" s="18" t="str">
        <f aca="false" t="array" ref="E165:E165">IFERROR(INDEX('Team Leads'!$B:$D, MATCH(C165,'Team Leads'!$A:$A,0), MATCH(D165,'Team Leads'!$B$1:$D$1,0)), "")</f>
        <v>علیرضا زمانیان</v>
      </c>
      <c r="F165" s="18" t="n">
        <f aca="false">VLOOKUP(B165,'Operator Bugs'!A:P,16,0)</f>
        <v>0</v>
      </c>
      <c r="G165" s="18" t="n">
        <f aca="false">IFERROR(VLOOKUP(B165,'6-week1'!B:D,2,0),0)</f>
        <v>68</v>
      </c>
      <c r="H165" s="18" t="n">
        <f aca="false">IFERROR(VLOOKUP(B165,'6-week1'!B:D,3,0),"-")</f>
        <v>29</v>
      </c>
      <c r="I165" s="18" t="n">
        <f aca="false">IF(G165&gt;179,5,IF(G165&gt;149,4,IF(G165&gt;119,3,IF(G165&gt;89,2,IF(G165&gt;59,1,IF(G165&lt;=59,0))))))</f>
        <v>1</v>
      </c>
      <c r="J165" s="18" t="n">
        <f aca="false">IF(H165&gt;39,1,IF(H165&gt;32,2,IF(H165&gt;26,3,IF(H165&gt;20,4,IF(H165&lt;=20,5)))))</f>
        <v>3</v>
      </c>
      <c r="K165" s="15" t="n">
        <f aca="false">AVERAGE(I165:J165)</f>
        <v>2</v>
      </c>
      <c r="L165" s="19" t="n">
        <f aca="false">IFERROR(VLOOKUP(B165,'6-week2'!B:D,2,0),0)</f>
        <v>90</v>
      </c>
      <c r="M165" s="19" t="n">
        <f aca="false">IFERROR(VLOOKUP(B165,'6-week2'!B:D,3,0),0)</f>
        <v>21</v>
      </c>
      <c r="N165" s="19" t="n">
        <f aca="false">IF(L165&gt;179,5,IF(L165&gt;149,4,IF(L165&gt;119,3,IF(L165&gt;89,2,IF(L165&gt;59,1,IF(L165&lt;=59,0))))))</f>
        <v>2</v>
      </c>
      <c r="O165" s="19" t="n">
        <f aca="false">IF(M165&gt;39,1,IF(M165&gt;32,2,IF(M165&gt;26,3,IF(M165&gt;20,4,IF(M165&lt;=20,5)))))</f>
        <v>4</v>
      </c>
      <c r="P165" s="19" t="n">
        <f aca="false">AVERAGE(N165,O165)</f>
        <v>3</v>
      </c>
      <c r="Q165" s="19" t="n">
        <f aca="false">IFERROR(VLOOKUP(B165,'6-week1'!B:F,5,0),0)</f>
        <v>0</v>
      </c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</row>
    <row r="166" customFormat="false" ht="18" hidden="false" customHeight="true" outlineLevel="0" collapsed="false">
      <c r="A166" s="18" t="s">
        <v>211</v>
      </c>
      <c r="B166" s="18" t="str">
        <f aca="false">TRIM(A166)</f>
        <v>مهناز کبریتی</v>
      </c>
      <c r="C166" s="18" t="str">
        <f aca="false">VLOOKUP(B166,Company!B:E,3,0)</f>
        <v>سینا</v>
      </c>
      <c r="D166" s="18" t="str">
        <f aca="false">VLOOKUP(B166,Company!B:E,2,0)</f>
        <v>صبح</v>
      </c>
      <c r="E166" s="18" t="str">
        <f aca="false" t="array" ref="E166:E166">IFERROR(INDEX('Team Leads'!$B:$D, MATCH(C166,'Team Leads'!$A:$A,0), MATCH(D166,'Team Leads'!$B$1:$D$1,0)), "")</f>
        <v>فاطمه دهقانپور</v>
      </c>
      <c r="F166" s="18" t="n">
        <f aca="false">VLOOKUP(B166,'Operator Bugs'!A:P,16,0)</f>
        <v>0</v>
      </c>
      <c r="G166" s="18" t="n">
        <f aca="false">IFERROR(VLOOKUP(B166,'6-week1'!B:D,2,0),0)</f>
        <v>80</v>
      </c>
      <c r="H166" s="18" t="n">
        <f aca="false">IFERROR(VLOOKUP(B166,'6-week1'!B:D,3,0),"-")</f>
        <v>30</v>
      </c>
      <c r="I166" s="18" t="n">
        <f aca="false">IF(G166&gt;179,5,IF(G166&gt;149,4,IF(G166&gt;119,3,IF(G166&gt;89,2,IF(G166&gt;59,1,IF(G166&lt;=59,0))))))</f>
        <v>1</v>
      </c>
      <c r="J166" s="18" t="n">
        <f aca="false">IF(H166&gt;39,1,IF(H166&gt;32,2,IF(H166&gt;26,3,IF(H166&gt;20,4,IF(H166&lt;=20,5)))))</f>
        <v>3</v>
      </c>
      <c r="K166" s="15" t="n">
        <f aca="false">AVERAGE(I166:J166)</f>
        <v>2</v>
      </c>
      <c r="L166" s="19" t="n">
        <f aca="false">IFERROR(VLOOKUP(B166,'6-week2'!B:D,2,0),0)</f>
        <v>118</v>
      </c>
      <c r="M166" s="19" t="n">
        <f aca="false">IFERROR(VLOOKUP(B166,'6-week2'!B:D,3,0),0)</f>
        <v>25</v>
      </c>
      <c r="N166" s="19" t="n">
        <f aca="false">IF(L166&gt;179,5,IF(L166&gt;149,4,IF(L166&gt;119,3,IF(L166&gt;89,2,IF(L166&gt;59,1,IF(L166&lt;=59,0))))))</f>
        <v>2</v>
      </c>
      <c r="O166" s="19" t="n">
        <f aca="false">IF(M166&gt;39,1,IF(M166&gt;32,2,IF(M166&gt;26,3,IF(M166&gt;20,4,IF(M166&lt;=20,5)))))</f>
        <v>4</v>
      </c>
      <c r="P166" s="19" t="n">
        <f aca="false">AVERAGE(N166,O166)</f>
        <v>3</v>
      </c>
      <c r="Q166" s="19" t="n">
        <f aca="false">IFERROR(VLOOKUP(B166,'6-week1'!B:F,5,0),0)</f>
        <v>0</v>
      </c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</row>
    <row r="167" customFormat="false" ht="18" hidden="false" customHeight="true" outlineLevel="0" collapsed="false">
      <c r="A167" s="18" t="s">
        <v>212</v>
      </c>
      <c r="B167" s="18" t="str">
        <f aca="false">TRIM(A167)</f>
        <v>مینا صفرپور</v>
      </c>
      <c r="C167" s="18" t="str">
        <f aca="false">VLOOKUP(B167,Company!B:E,3,0)</f>
        <v>ایران</v>
      </c>
      <c r="D167" s="18" t="str">
        <f aca="false">VLOOKUP(B167,Company!B:E,2,0)</f>
        <v>صبح</v>
      </c>
      <c r="E167" s="18" t="str">
        <f aca="false" t="array" ref="E167:E167">IFERROR(INDEX('Team Leads'!$B:$D, MATCH(C167,'Team Leads'!$A:$A,0), MATCH(D167,'Team Leads'!$B$1:$D$1,0)), "")</f>
        <v>مهدی فراهانی</v>
      </c>
      <c r="F167" s="18" t="n">
        <f aca="false">VLOOKUP(B167,'Operator Bugs'!A:P,16,0)</f>
        <v>0</v>
      </c>
      <c r="G167" s="18" t="n">
        <f aca="false">IFERROR(VLOOKUP(B167,'6-week1'!B:D,2,0),0)</f>
        <v>84</v>
      </c>
      <c r="H167" s="18" t="n">
        <f aca="false">IFERROR(VLOOKUP(B167,'6-week1'!B:D,3,0),"-")</f>
        <v>29</v>
      </c>
      <c r="I167" s="18" t="n">
        <f aca="false">IF(G167&gt;179,5,IF(G167&gt;149,4,IF(G167&gt;119,3,IF(G167&gt;89,2,IF(G167&gt;59,1,IF(G167&lt;=59,0))))))</f>
        <v>1</v>
      </c>
      <c r="J167" s="18" t="n">
        <f aca="false">IF(H167&gt;39,1,IF(H167&gt;32,2,IF(H167&gt;26,3,IF(H167&gt;20,4,IF(H167&lt;=20,5)))))</f>
        <v>3</v>
      </c>
      <c r="K167" s="15" t="n">
        <f aca="false">AVERAGE(I167:J167)</f>
        <v>2</v>
      </c>
      <c r="L167" s="19" t="n">
        <f aca="false">IFERROR(VLOOKUP(B167,'6-week2'!B:D,2,0),0)</f>
        <v>59</v>
      </c>
      <c r="M167" s="19" t="n">
        <f aca="false">IFERROR(VLOOKUP(B167,'6-week2'!B:D,3,0),0)</f>
        <v>25</v>
      </c>
      <c r="N167" s="19" t="n">
        <f aca="false">IF(L167&gt;179,5,IF(L167&gt;149,4,IF(L167&gt;119,3,IF(L167&gt;89,2,IF(L167&gt;59,1,IF(L167&lt;=59,0))))))</f>
        <v>0</v>
      </c>
      <c r="O167" s="19" t="n">
        <f aca="false">IF(M167&gt;39,1,IF(M167&gt;32,2,IF(M167&gt;26,3,IF(M167&gt;20,4,IF(M167&lt;=20,5)))))</f>
        <v>4</v>
      </c>
      <c r="P167" s="19" t="n">
        <f aca="false">AVERAGE(N167,O167)</f>
        <v>2</v>
      </c>
      <c r="Q167" s="19" t="n">
        <f aca="false">IFERROR(VLOOKUP(B167,'6-week1'!B:F,5,0),0)</f>
        <v>0</v>
      </c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</row>
    <row r="168" customFormat="false" ht="18" hidden="false" customHeight="true" outlineLevel="0" collapsed="false">
      <c r="A168" s="18" t="s">
        <v>213</v>
      </c>
      <c r="B168" s="18" t="str">
        <f aca="false">TRIM(A168)</f>
        <v>نگین سالاریان نژاد</v>
      </c>
      <c r="C168" s="18" t="str">
        <f aca="false">VLOOKUP(B168,Company!B:E,3,0)</f>
        <v>رازی</v>
      </c>
      <c r="D168" s="18" t="str">
        <f aca="false">VLOOKUP(B168,Company!B:E,2,0)</f>
        <v>عصر</v>
      </c>
      <c r="E168" s="18" t="str">
        <f aca="false" t="array" ref="E168:E168">IFERROR(INDEX('Team Leads'!$B:$D, MATCH(C168,'Team Leads'!$A:$A,0), MATCH(D168,'Team Leads'!$B$1:$D$1,0)), "")</f>
        <v>امیررضا فلاح</v>
      </c>
      <c r="F168" s="18" t="n">
        <f aca="false">VLOOKUP(B168,'Operator Bugs'!A:P,16,0)</f>
        <v>0</v>
      </c>
      <c r="G168" s="18" t="n">
        <f aca="false">IFERROR(VLOOKUP(B168,'6-week1'!B:D,2,0),0)</f>
        <v>73</v>
      </c>
      <c r="H168" s="18" t="n">
        <f aca="false">IFERROR(VLOOKUP(B168,'6-week1'!B:D,3,0),"-")</f>
        <v>32</v>
      </c>
      <c r="I168" s="18" t="n">
        <f aca="false">IF(G168&gt;179,5,IF(G168&gt;149,4,IF(G168&gt;119,3,IF(G168&gt;89,2,IF(G168&gt;59,1,IF(G168&lt;=59,0))))))</f>
        <v>1</v>
      </c>
      <c r="J168" s="18" t="n">
        <f aca="false">IF(H168&gt;39,1,IF(H168&gt;32,2,IF(H168&gt;26,3,IF(H168&gt;20,4,IF(H168&lt;=20,5)))))</f>
        <v>3</v>
      </c>
      <c r="K168" s="15" t="n">
        <f aca="false">AVERAGE(I168:J168)</f>
        <v>2</v>
      </c>
      <c r="L168" s="19" t="n">
        <f aca="false">IFERROR(VLOOKUP(B168,'6-week2'!B:D,2,0),0)</f>
        <v>61</v>
      </c>
      <c r="M168" s="19" t="n">
        <f aca="false">IFERROR(VLOOKUP(B168,'6-week2'!B:D,3,0),0)</f>
        <v>23</v>
      </c>
      <c r="N168" s="19" t="n">
        <f aca="false">IF(L168&gt;179,5,IF(L168&gt;149,4,IF(L168&gt;119,3,IF(L168&gt;89,2,IF(L168&gt;59,1,IF(L168&lt;=59,0))))))</f>
        <v>1</v>
      </c>
      <c r="O168" s="19" t="n">
        <f aca="false">IF(M168&gt;39,1,IF(M168&gt;32,2,IF(M168&gt;26,3,IF(M168&gt;20,4,IF(M168&lt;=20,5)))))</f>
        <v>4</v>
      </c>
      <c r="P168" s="19" t="n">
        <f aca="false">AVERAGE(N168,O168)</f>
        <v>2.5</v>
      </c>
      <c r="Q168" s="19" t="n">
        <f aca="false">IFERROR(VLOOKUP(B168,'6-week1'!B:F,5,0),0)</f>
        <v>0</v>
      </c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</row>
    <row r="169" customFormat="false" ht="18" hidden="false" customHeight="true" outlineLevel="0" collapsed="false">
      <c r="A169" s="18" t="s">
        <v>214</v>
      </c>
      <c r="B169" s="18" t="str">
        <f aca="false">TRIM(A169)</f>
        <v>هاجر کمالی</v>
      </c>
      <c r="C169" s="18" t="str">
        <f aca="false">VLOOKUP(B169,Company!B:E,3,0)</f>
        <v>رازی</v>
      </c>
      <c r="D169" s="18" t="str">
        <f aca="false">VLOOKUP(B169,Company!B:E,2,0)</f>
        <v>عصر</v>
      </c>
      <c r="E169" s="18" t="str">
        <f aca="false" t="array" ref="E169:E169">IFERROR(INDEX('Team Leads'!$B:$D, MATCH(C169,'Team Leads'!$A:$A,0), MATCH(D169,'Team Leads'!$B$1:$D$1,0)), "")</f>
        <v>امیررضا فلاح</v>
      </c>
      <c r="F169" s="18" t="n">
        <f aca="false">VLOOKUP(B169,'Operator Bugs'!A:P,16,0)</f>
        <v>0</v>
      </c>
      <c r="G169" s="18" t="n">
        <f aca="false">IFERROR(VLOOKUP(B169,'6-week1'!B:D,2,0),0)</f>
        <v>81</v>
      </c>
      <c r="H169" s="18" t="n">
        <f aca="false">IFERROR(VLOOKUP(B169,'6-week1'!B:D,3,0),"-")</f>
        <v>29</v>
      </c>
      <c r="I169" s="18" t="n">
        <f aca="false">IF(G169&gt;179,5,IF(G169&gt;149,4,IF(G169&gt;119,3,IF(G169&gt;89,2,IF(G169&gt;59,1,IF(G169&lt;=59,0))))))</f>
        <v>1</v>
      </c>
      <c r="J169" s="18" t="n">
        <f aca="false">IF(H169&gt;39,1,IF(H169&gt;32,2,IF(H169&gt;26,3,IF(H169&gt;20,4,IF(H169&lt;=20,5)))))</f>
        <v>3</v>
      </c>
      <c r="K169" s="15" t="n">
        <f aca="false">AVERAGE(I169:J169)</f>
        <v>2</v>
      </c>
      <c r="L169" s="19" t="n">
        <f aca="false">IFERROR(VLOOKUP(B169,'6-week2'!B:D,2,0),0)</f>
        <v>75</v>
      </c>
      <c r="M169" s="19" t="n">
        <f aca="false">IFERROR(VLOOKUP(B169,'6-week2'!B:D,3,0),0)</f>
        <v>24</v>
      </c>
      <c r="N169" s="19" t="n">
        <f aca="false">IF(L169&gt;179,5,IF(L169&gt;149,4,IF(L169&gt;119,3,IF(L169&gt;89,2,IF(L169&gt;59,1,IF(L169&lt;=59,0))))))</f>
        <v>1</v>
      </c>
      <c r="O169" s="19" t="n">
        <f aca="false">IF(M169&gt;39,1,IF(M169&gt;32,2,IF(M169&gt;26,3,IF(M169&gt;20,4,IF(M169&lt;=20,5)))))</f>
        <v>4</v>
      </c>
      <c r="P169" s="19" t="n">
        <f aca="false">AVERAGE(N169,O169)</f>
        <v>2.5</v>
      </c>
      <c r="Q169" s="19" t="n">
        <f aca="false">IFERROR(VLOOKUP(B169,'6-week1'!B:F,5,0),0)</f>
        <v>0</v>
      </c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</row>
    <row r="170" customFormat="false" ht="18" hidden="false" customHeight="true" outlineLevel="0" collapsed="false">
      <c r="A170" s="18" t="s">
        <v>215</v>
      </c>
      <c r="B170" s="18" t="str">
        <f aca="false">TRIM(A170)</f>
        <v>یاسین صحرایی</v>
      </c>
      <c r="C170" s="18" t="str">
        <f aca="false">VLOOKUP(B170,Company!B:E,3,0)</f>
        <v>رازی</v>
      </c>
      <c r="D170" s="18" t="str">
        <f aca="false">VLOOKUP(B170,Company!B:E,2,0)</f>
        <v>صبح</v>
      </c>
      <c r="E170" s="18" t="str">
        <f aca="false" t="array" ref="E170:E170">IFERROR(INDEX('Team Leads'!$B:$D, MATCH(C170,'Team Leads'!$A:$A,0), MATCH(D170,'Team Leads'!$B$1:$D$1,0)), "")</f>
        <v>آتنا مالمیر</v>
      </c>
      <c r="F170" s="18" t="n">
        <f aca="false">VLOOKUP(B170,'Operator Bugs'!A:P,16,0)</f>
        <v>0</v>
      </c>
      <c r="G170" s="18" t="n">
        <f aca="false">IFERROR(VLOOKUP(B170,'6-week1'!B:D,2,0),0)</f>
        <v>60</v>
      </c>
      <c r="H170" s="18" t="n">
        <f aca="false">IFERROR(VLOOKUP(B170,'6-week1'!B:D,3,0),"-")</f>
        <v>31</v>
      </c>
      <c r="I170" s="18" t="n">
        <f aca="false">IF(G170&gt;179,5,IF(G170&gt;149,4,IF(G170&gt;119,3,IF(G170&gt;89,2,IF(G170&gt;59,1,IF(G170&lt;=59,0))))))</f>
        <v>1</v>
      </c>
      <c r="J170" s="18" t="n">
        <f aca="false">IF(H170&gt;39,1,IF(H170&gt;32,2,IF(H170&gt;26,3,IF(H170&gt;20,4,IF(H170&lt;=20,5)))))</f>
        <v>3</v>
      </c>
      <c r="K170" s="15" t="n">
        <f aca="false">AVERAGE(I170:J170)</f>
        <v>2</v>
      </c>
      <c r="L170" s="19" t="n">
        <f aca="false">IFERROR(VLOOKUP(B170,'6-week2'!B:D,2,0),0)</f>
        <v>193</v>
      </c>
      <c r="M170" s="19" t="n">
        <f aca="false">IFERROR(VLOOKUP(B170,'6-week2'!B:D,3,0),0)</f>
        <v>19</v>
      </c>
      <c r="N170" s="19" t="n">
        <f aca="false">IF(L170&gt;179,5,IF(L170&gt;149,4,IF(L170&gt;119,3,IF(L170&gt;89,2,IF(L170&gt;59,1,IF(L170&lt;=59,0))))))</f>
        <v>5</v>
      </c>
      <c r="O170" s="19" t="n">
        <f aca="false">IF(M170&gt;39,1,IF(M170&gt;32,2,IF(M170&gt;26,3,IF(M170&gt;20,4,IF(M170&lt;=20,5)))))</f>
        <v>5</v>
      </c>
      <c r="P170" s="19" t="n">
        <f aca="false">AVERAGE(N170,O170)</f>
        <v>5</v>
      </c>
      <c r="Q170" s="19" t="n">
        <f aca="false">IFERROR(VLOOKUP(B170,'6-week1'!B:F,5,0),0)</f>
        <v>0</v>
      </c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</row>
    <row r="171" customFormat="false" ht="18" hidden="false" customHeight="true" outlineLevel="0" collapsed="false">
      <c r="A171" s="15"/>
      <c r="B171" s="15" t="s">
        <v>216</v>
      </c>
      <c r="C171" s="18" t="str">
        <f aca="false">VLOOKUP(B171,Company!B:E,3,0)</f>
        <v>سنتر</v>
      </c>
      <c r="D171" s="18" t="str">
        <f aca="false">VLOOKUP(B171,Company!B:E,2,0)</f>
        <v>صبح</v>
      </c>
      <c r="E171" s="18" t="str">
        <f aca="false" t="array" ref="E171:E171">IFERROR(INDEX('Team Leads'!$B:$D, MATCH(C171,'Team Leads'!$A:$A,0), MATCH(D171,'Team Leads'!$B$1:$D$1,0)), "")</f>
        <v>مریم ایزدی - شاهین شهریاری</v>
      </c>
      <c r="F171" s="18" t="n">
        <f aca="false">VLOOKUP(B171,'Operator Bugs'!A:P,16,0)</f>
        <v>0</v>
      </c>
      <c r="G171" s="18" t="n">
        <f aca="false">IFERROR(VLOOKUP(B171,'6-week1'!B:D,2,0),0)</f>
        <v>74</v>
      </c>
      <c r="H171" s="18" t="n">
        <f aca="false">IFERROR(VLOOKUP(B171,'6-week1'!B:D,3,0),"-")</f>
        <v>29</v>
      </c>
      <c r="I171" s="18" t="n">
        <f aca="false">IF(G171&gt;179,5,IF(G171&gt;149,4,IF(G171&gt;119,3,IF(G171&gt;89,2,IF(G171&gt;59,1,IF(G171&lt;=59,0))))))</f>
        <v>1</v>
      </c>
      <c r="J171" s="18" t="n">
        <f aca="false">IF(H171&gt;39,1,IF(H171&gt;32,2,IF(H171&gt;26,3,IF(H171&gt;20,4,IF(H171&lt;=20,5)))))</f>
        <v>3</v>
      </c>
      <c r="K171" s="15" t="n">
        <f aca="false">AVERAGE(I171:J171)</f>
        <v>2</v>
      </c>
      <c r="L171" s="19" t="n">
        <f aca="false">IFERROR(VLOOKUP(B171,'6-week2'!B:D,2,0),0)</f>
        <v>0</v>
      </c>
      <c r="M171" s="19" t="n">
        <f aca="false">IFERROR(VLOOKUP(B171,'6-week2'!B:D,3,0),0)</f>
        <v>0</v>
      </c>
      <c r="N171" s="19" t="n">
        <f aca="false">IF(L171&gt;179,5,IF(L171&gt;149,4,IF(L171&gt;119,3,IF(L171&gt;89,2,IF(L171&gt;59,1,IF(L171&lt;=59,0))))))</f>
        <v>0</v>
      </c>
      <c r="O171" s="19" t="n">
        <f aca="false">IF(M171&gt;39,1,IF(M171&gt;32,2,IF(M171&gt;26,3,IF(M171&gt;20,4,IF(M171&lt;=20,5)))))</f>
        <v>5</v>
      </c>
      <c r="P171" s="19" t="n">
        <f aca="false">AVERAGE(N171,O171)</f>
        <v>2.5</v>
      </c>
      <c r="Q171" s="19" t="n">
        <f aca="false">IFERROR(VLOOKUP(B171,'6-week1'!B:F,5,0),0)</f>
        <v>0</v>
      </c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</row>
    <row r="172" customFormat="false" ht="18" hidden="false" customHeight="true" outlineLevel="0" collapsed="false">
      <c r="A172" s="18" t="s">
        <v>217</v>
      </c>
      <c r="B172" s="18" t="str">
        <f aca="false">TRIM(A172)</f>
        <v>احسان محمدی</v>
      </c>
      <c r="C172" s="18" t="str">
        <f aca="false">VLOOKUP(B172,Company!B:E,3,0)</f>
        <v>تعاون</v>
      </c>
      <c r="D172" s="18" t="str">
        <f aca="false">VLOOKUP(B172,Company!B:E,2,0)</f>
        <v>عصر</v>
      </c>
      <c r="E172" s="18" t="str">
        <f aca="false" t="array" ref="E172:E172">IFERROR(INDEX('Team Leads'!$B:$D, MATCH(C172,'Team Leads'!$A:$A,0), MATCH(D172,'Team Leads'!$B$1:$D$1,0)), "")</f>
        <v>علیرضا زمانیان</v>
      </c>
      <c r="F172" s="18" t="n">
        <f aca="false">VLOOKUP(B172,'Operator Bugs'!A:P,16,0)</f>
        <v>0</v>
      </c>
      <c r="G172" s="18" t="n">
        <f aca="false">IFERROR(VLOOKUP(B172,'6-week1'!B:D,2,0),0)</f>
        <v>45</v>
      </c>
      <c r="H172" s="18" t="n">
        <f aca="false">IFERROR(VLOOKUP(B172,'6-week1'!B:D,3,0),"-")</f>
        <v>32</v>
      </c>
      <c r="I172" s="18" t="n">
        <f aca="false">IF(G172&gt;179,5,IF(G172&gt;149,4,IF(G172&gt;119,3,IF(G172&gt;89,2,IF(G172&gt;59,1,IF(G172&lt;=59,0))))))</f>
        <v>0</v>
      </c>
      <c r="J172" s="18" t="n">
        <f aca="false">IF(H172&gt;39,1,IF(H172&gt;32,2,IF(H172&gt;26,3,IF(H172&gt;20,4,IF(H172&lt;=20,5)))))</f>
        <v>3</v>
      </c>
      <c r="K172" s="15" t="n">
        <f aca="false">AVERAGE(I172:J172)</f>
        <v>1.5</v>
      </c>
      <c r="L172" s="19" t="n">
        <f aca="false">IFERROR(VLOOKUP(B172,'6-week2'!B:D,2,0),0)</f>
        <v>65</v>
      </c>
      <c r="M172" s="19" t="n">
        <f aca="false">IFERROR(VLOOKUP(B172,'6-week2'!B:D,3,0),0)</f>
        <v>43</v>
      </c>
      <c r="N172" s="19" t="n">
        <f aca="false">IF(L172&gt;179,5,IF(L172&gt;149,4,IF(L172&gt;119,3,IF(L172&gt;89,2,IF(L172&gt;59,1,IF(L172&lt;=59,0))))))</f>
        <v>1</v>
      </c>
      <c r="O172" s="19" t="n">
        <f aca="false">IF(M172&gt;39,1,IF(M172&gt;32,2,IF(M172&gt;26,3,IF(M172&gt;20,4,IF(M172&lt;=20,5)))))</f>
        <v>1</v>
      </c>
      <c r="P172" s="19" t="n">
        <f aca="false">AVERAGE(N172,O172)</f>
        <v>1</v>
      </c>
      <c r="Q172" s="19" t="n">
        <f aca="false">IFERROR(VLOOKUP(B172,'6-week1'!B:F,5,0),0)</f>
        <v>0</v>
      </c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</row>
    <row r="173" customFormat="false" ht="18" hidden="false" customHeight="true" outlineLevel="0" collapsed="false">
      <c r="A173" s="18" t="s">
        <v>218</v>
      </c>
      <c r="B173" s="18" t="str">
        <f aca="false">TRIM(A173)</f>
        <v>امیر حسین سبزیانی داویجانی</v>
      </c>
      <c r="C173" s="18" t="str">
        <f aca="false">VLOOKUP(B173,Company!B:E,3,0)</f>
        <v>رازی</v>
      </c>
      <c r="D173" s="18" t="str">
        <f aca="false">VLOOKUP(B173,Company!B:E,2,0)</f>
        <v>عصر</v>
      </c>
      <c r="E173" s="18" t="str">
        <f aca="false" t="array" ref="E173:E173">IFERROR(INDEX('Team Leads'!$B:$D, MATCH(C173,'Team Leads'!$A:$A,0), MATCH(D173,'Team Leads'!$B$1:$D$1,0)), "")</f>
        <v>امیررضا فلاح</v>
      </c>
      <c r="F173" s="18" t="n">
        <f aca="false">VLOOKUP(B173,'Operator Bugs'!A:P,16,0)</f>
        <v>0</v>
      </c>
      <c r="G173" s="18" t="n">
        <f aca="false">IFERROR(VLOOKUP(B173,'6-week1'!B:D,2,0),0)</f>
        <v>19</v>
      </c>
      <c r="H173" s="18" t="n">
        <f aca="false">IFERROR(VLOOKUP(B173,'6-week1'!B:D,3,0),"-")</f>
        <v>30</v>
      </c>
      <c r="I173" s="18" t="n">
        <f aca="false">IF(G173&gt;179,5,IF(G173&gt;149,4,IF(G173&gt;119,3,IF(G173&gt;89,2,IF(G173&gt;59,1,IF(G173&lt;=59,0))))))</f>
        <v>0</v>
      </c>
      <c r="J173" s="18" t="n">
        <f aca="false">IF(H173&gt;39,1,IF(H173&gt;32,2,IF(H173&gt;26,3,IF(H173&gt;20,4,IF(H173&lt;=20,5)))))</f>
        <v>3</v>
      </c>
      <c r="K173" s="15" t="n">
        <f aca="false">AVERAGE(I173:J173)</f>
        <v>1.5</v>
      </c>
      <c r="L173" s="19" t="n">
        <f aca="false">IFERROR(VLOOKUP(B173,'6-week2'!B:D,2,0),0)</f>
        <v>14</v>
      </c>
      <c r="M173" s="19" t="n">
        <f aca="false">IFERROR(VLOOKUP(B173,'6-week2'!B:D,3,0),0)</f>
        <v>33</v>
      </c>
      <c r="N173" s="19" t="n">
        <f aca="false">IF(L173&gt;179,5,IF(L173&gt;149,4,IF(L173&gt;119,3,IF(L173&gt;89,2,IF(L173&gt;59,1,IF(L173&lt;=59,0))))))</f>
        <v>0</v>
      </c>
      <c r="O173" s="19" t="n">
        <f aca="false">IF(M173&gt;39,1,IF(M173&gt;32,2,IF(M173&gt;26,3,IF(M173&gt;20,4,IF(M173&lt;=20,5)))))</f>
        <v>2</v>
      </c>
      <c r="P173" s="19" t="n">
        <f aca="false">AVERAGE(N173,O173)</f>
        <v>1</v>
      </c>
      <c r="Q173" s="19" t="n">
        <f aca="false">IFERROR(VLOOKUP(B173,'6-week1'!B:F,5,0),0)</f>
        <v>0</v>
      </c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</row>
    <row r="174" customFormat="false" ht="18" hidden="false" customHeight="true" outlineLevel="0" collapsed="false">
      <c r="A174" s="18" t="s">
        <v>219</v>
      </c>
      <c r="B174" s="18" t="str">
        <f aca="false">TRIM(A174)</f>
        <v>امین سلیمانی فرد</v>
      </c>
      <c r="C174" s="18" t="str">
        <f aca="false">VLOOKUP(B174,Company!B:E,3,0)</f>
        <v>تعاون</v>
      </c>
      <c r="D174" s="18" t="str">
        <f aca="false">VLOOKUP(B174,Company!B:E,2,0)</f>
        <v>صبح</v>
      </c>
      <c r="E174" s="18" t="str">
        <f aca="false" t="array" ref="E174:E174">IFERROR(INDEX('Team Leads'!$B:$D, MATCH(C174,'Team Leads'!$A:$A,0), MATCH(D174,'Team Leads'!$B$1:$D$1,0)), "")</f>
        <v>مهدی فراهانی</v>
      </c>
      <c r="F174" s="18" t="n">
        <f aca="false">VLOOKUP(B174,'Operator Bugs'!A:P,16,0)</f>
        <v>0</v>
      </c>
      <c r="G174" s="18" t="n">
        <f aca="false">IFERROR(VLOOKUP(B174,'6-week1'!B:D,2,0),0)</f>
        <v>9</v>
      </c>
      <c r="H174" s="18" t="n">
        <f aca="false">IFERROR(VLOOKUP(B174,'6-week1'!B:D,3,0),"-")</f>
        <v>32</v>
      </c>
      <c r="I174" s="18" t="n">
        <f aca="false">IF(G174&gt;179,5,IF(G174&gt;149,4,IF(G174&gt;119,3,IF(G174&gt;89,2,IF(G174&gt;59,1,IF(G174&lt;=59,0))))))</f>
        <v>0</v>
      </c>
      <c r="J174" s="18" t="n">
        <f aca="false">IF(H174&gt;39,1,IF(H174&gt;32,2,IF(H174&gt;26,3,IF(H174&gt;20,4,IF(H174&lt;=20,5)))))</f>
        <v>3</v>
      </c>
      <c r="K174" s="15" t="n">
        <f aca="false">AVERAGE(I174:J174)</f>
        <v>1.5</v>
      </c>
      <c r="L174" s="19" t="n">
        <f aca="false">IFERROR(VLOOKUP(B174,'6-week2'!B:D,2,0),0)</f>
        <v>52</v>
      </c>
      <c r="M174" s="19" t="n">
        <f aca="false">IFERROR(VLOOKUP(B174,'6-week2'!B:D,3,0),0)</f>
        <v>25</v>
      </c>
      <c r="N174" s="19" t="n">
        <f aca="false">IF(L174&gt;179,5,IF(L174&gt;149,4,IF(L174&gt;119,3,IF(L174&gt;89,2,IF(L174&gt;59,1,IF(L174&lt;=59,0))))))</f>
        <v>0</v>
      </c>
      <c r="O174" s="19" t="n">
        <f aca="false">IF(M174&gt;39,1,IF(M174&gt;32,2,IF(M174&gt;26,3,IF(M174&gt;20,4,IF(M174&lt;=20,5)))))</f>
        <v>4</v>
      </c>
      <c r="P174" s="19" t="n">
        <f aca="false">AVERAGE(N174,O174)</f>
        <v>2</v>
      </c>
      <c r="Q174" s="19" t="n">
        <f aca="false">IFERROR(VLOOKUP(B174,'6-week1'!B:F,5,0),0)</f>
        <v>0</v>
      </c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</row>
    <row r="175" customFormat="false" ht="18" hidden="false" customHeight="true" outlineLevel="0" collapsed="false">
      <c r="A175" s="18" t="s">
        <v>220</v>
      </c>
      <c r="B175" s="18" t="str">
        <f aca="false">TRIM(A175)</f>
        <v>بهار آبنار</v>
      </c>
      <c r="C175" s="18" t="str">
        <f aca="false">VLOOKUP(B175,Company!B:E,3,0)</f>
        <v>دی</v>
      </c>
      <c r="D175" s="18" t="str">
        <f aca="false">VLOOKUP(B175,Company!B:E,2,0)</f>
        <v>عصر</v>
      </c>
      <c r="E175" s="18" t="str">
        <f aca="false" t="array" ref="E175:E175">IFERROR(INDEX('Team Leads'!$B:$D, MATCH(C175,'Team Leads'!$A:$A,0), MATCH(D175,'Team Leads'!$B$1:$D$1,0)), "")</f>
        <v>علیرضا زمانیان</v>
      </c>
      <c r="F175" s="18" t="n">
        <f aca="false">VLOOKUP(B175,'Operator Bugs'!A:P,16,0)</f>
        <v>0</v>
      </c>
      <c r="G175" s="18" t="n">
        <f aca="false">IFERROR(VLOOKUP(B175,'6-week1'!B:D,2,0),0)</f>
        <v>62</v>
      </c>
      <c r="H175" s="18" t="n">
        <f aca="false">IFERROR(VLOOKUP(B175,'6-week1'!B:D,3,0),"-")</f>
        <v>33</v>
      </c>
      <c r="I175" s="18" t="n">
        <f aca="false">IF(G175&gt;179,5,IF(G175&gt;149,4,IF(G175&gt;119,3,IF(G175&gt;89,2,IF(G175&gt;59,1,IF(G175&lt;=59,0))))))</f>
        <v>1</v>
      </c>
      <c r="J175" s="18" t="n">
        <f aca="false">IF(H175&gt;39,1,IF(H175&gt;32,2,IF(H175&gt;26,3,IF(H175&gt;20,4,IF(H175&lt;=20,5)))))</f>
        <v>2</v>
      </c>
      <c r="K175" s="15" t="n">
        <f aca="false">AVERAGE(I175:J175)</f>
        <v>1.5</v>
      </c>
      <c r="L175" s="19" t="n">
        <f aca="false">IFERROR(VLOOKUP(B175,'6-week2'!B:D,2,0),0)</f>
        <v>74</v>
      </c>
      <c r="M175" s="19" t="n">
        <f aca="false">IFERROR(VLOOKUP(B175,'6-week2'!B:D,3,0),0)</f>
        <v>31</v>
      </c>
      <c r="N175" s="19" t="n">
        <f aca="false">IF(L175&gt;179,5,IF(L175&gt;149,4,IF(L175&gt;119,3,IF(L175&gt;89,2,IF(L175&gt;59,1,IF(L175&lt;=59,0))))))</f>
        <v>1</v>
      </c>
      <c r="O175" s="19" t="n">
        <f aca="false">IF(M175&gt;39,1,IF(M175&gt;32,2,IF(M175&gt;26,3,IF(M175&gt;20,4,IF(M175&lt;=20,5)))))</f>
        <v>3</v>
      </c>
      <c r="P175" s="19" t="n">
        <f aca="false">AVERAGE(N175,O175)</f>
        <v>2</v>
      </c>
      <c r="Q175" s="19" t="n">
        <f aca="false">IFERROR(VLOOKUP(B175,'6-week1'!B:F,5,0),0)</f>
        <v>0</v>
      </c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</row>
    <row r="176" customFormat="false" ht="18" hidden="false" customHeight="true" outlineLevel="0" collapsed="false">
      <c r="A176" s="18" t="s">
        <v>221</v>
      </c>
      <c r="B176" s="18" t="str">
        <f aca="false">TRIM(A176)</f>
        <v>پریسا شعبانی</v>
      </c>
      <c r="C176" s="18" t="str">
        <f aca="false">VLOOKUP(B176,Company!B:E,3,0)</f>
        <v>تعاون</v>
      </c>
      <c r="D176" s="18" t="str">
        <f aca="false">VLOOKUP(B176,Company!B:E,2,0)</f>
        <v>صبح</v>
      </c>
      <c r="E176" s="18" t="str">
        <f aca="false" t="array" ref="E176:E176">IFERROR(INDEX('Team Leads'!$B:$D, MATCH(C176,'Team Leads'!$A:$A,0), MATCH(D176,'Team Leads'!$B$1:$D$1,0)), "")</f>
        <v>مهدی فراهانی</v>
      </c>
      <c r="F176" s="18" t="n">
        <f aca="false">VLOOKUP(B176,'Operator Bugs'!A:P,16,0)</f>
        <v>0</v>
      </c>
      <c r="G176" s="18" t="n">
        <f aca="false">IFERROR(VLOOKUP(B176,'6-week1'!B:D,2,0),0)</f>
        <v>39</v>
      </c>
      <c r="H176" s="18" t="n">
        <f aca="false">IFERROR(VLOOKUP(B176,'6-week1'!B:D,3,0),"-")</f>
        <v>32</v>
      </c>
      <c r="I176" s="18" t="n">
        <f aca="false">IF(G176&gt;179,5,IF(G176&gt;149,4,IF(G176&gt;119,3,IF(G176&gt;89,2,IF(G176&gt;59,1,IF(G176&lt;=59,0))))))</f>
        <v>0</v>
      </c>
      <c r="J176" s="18" t="n">
        <f aca="false">IF(H176&gt;39,1,IF(H176&gt;32,2,IF(H176&gt;26,3,IF(H176&gt;20,4,IF(H176&lt;=20,5)))))</f>
        <v>3</v>
      </c>
      <c r="K176" s="15" t="n">
        <f aca="false">AVERAGE(I176:J176)</f>
        <v>1.5</v>
      </c>
      <c r="L176" s="19" t="n">
        <f aca="false">IFERROR(VLOOKUP(B176,'6-week2'!B:D,2,0),0)</f>
        <v>32</v>
      </c>
      <c r="M176" s="19" t="n">
        <f aca="false">IFERROR(VLOOKUP(B176,'6-week2'!B:D,3,0),0)</f>
        <v>25</v>
      </c>
      <c r="N176" s="19" t="n">
        <f aca="false">IF(L176&gt;179,5,IF(L176&gt;149,4,IF(L176&gt;119,3,IF(L176&gt;89,2,IF(L176&gt;59,1,IF(L176&lt;=59,0))))))</f>
        <v>0</v>
      </c>
      <c r="O176" s="19" t="n">
        <f aca="false">IF(M176&gt;39,1,IF(M176&gt;32,2,IF(M176&gt;26,3,IF(M176&gt;20,4,IF(M176&lt;=20,5)))))</f>
        <v>4</v>
      </c>
      <c r="P176" s="19" t="n">
        <f aca="false">AVERAGE(N176,O176)</f>
        <v>2</v>
      </c>
      <c r="Q176" s="19" t="n">
        <f aca="false">IFERROR(VLOOKUP(B176,'6-week1'!B:F,5,0),0)</f>
        <v>0</v>
      </c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</row>
    <row r="177" customFormat="false" ht="18" hidden="false" customHeight="true" outlineLevel="0" collapsed="false">
      <c r="A177" s="18" t="s">
        <v>222</v>
      </c>
      <c r="B177" s="18" t="str">
        <f aca="false">TRIM(A177)</f>
        <v>حدیثه آباده</v>
      </c>
      <c r="C177" s="18" t="str">
        <f aca="false">VLOOKUP(B177,Company!B:E,3,0)</f>
        <v>تعاون</v>
      </c>
      <c r="D177" s="18" t="str">
        <f aca="false">VLOOKUP(B177,Company!B:E,2,0)</f>
        <v>عصر</v>
      </c>
      <c r="E177" s="18" t="str">
        <f aca="false" t="array" ref="E177:E177">IFERROR(INDEX('Team Leads'!$B:$D, MATCH(C177,'Team Leads'!$A:$A,0), MATCH(D177,'Team Leads'!$B$1:$D$1,0)), "")</f>
        <v>علیرضا زمانیان</v>
      </c>
      <c r="F177" s="18" t="n">
        <f aca="false">VLOOKUP(B177,'Operator Bugs'!A:P,16,0)</f>
        <v>0</v>
      </c>
      <c r="G177" s="18" t="n">
        <f aca="false">IFERROR(VLOOKUP(B177,'6-week1'!B:D,2,0),0)</f>
        <v>70</v>
      </c>
      <c r="H177" s="18" t="n">
        <f aca="false">IFERROR(VLOOKUP(B177,'6-week1'!B:D,3,0),"-")</f>
        <v>37</v>
      </c>
      <c r="I177" s="18" t="n">
        <f aca="false">IF(G177&gt;179,5,IF(G177&gt;149,4,IF(G177&gt;119,3,IF(G177&gt;89,2,IF(G177&gt;59,1,IF(G177&lt;=59,0))))))</f>
        <v>1</v>
      </c>
      <c r="J177" s="18" t="n">
        <f aca="false">IF(H177&gt;39,1,IF(H177&gt;32,2,IF(H177&gt;26,3,IF(H177&gt;20,4,IF(H177&lt;=20,5)))))</f>
        <v>2</v>
      </c>
      <c r="K177" s="15" t="n">
        <f aca="false">AVERAGE(I177:J177)</f>
        <v>1.5</v>
      </c>
      <c r="L177" s="19" t="n">
        <f aca="false">IFERROR(VLOOKUP(B177,'6-week2'!B:D,2,0),0)</f>
        <v>75</v>
      </c>
      <c r="M177" s="19" t="n">
        <f aca="false">IFERROR(VLOOKUP(B177,'6-week2'!B:D,3,0),0)</f>
        <v>32</v>
      </c>
      <c r="N177" s="19" t="n">
        <f aca="false">IF(L177&gt;179,5,IF(L177&gt;149,4,IF(L177&gt;119,3,IF(L177&gt;89,2,IF(L177&gt;59,1,IF(L177&lt;=59,0))))))</f>
        <v>1</v>
      </c>
      <c r="O177" s="19" t="n">
        <f aca="false">IF(M177&gt;39,1,IF(M177&gt;32,2,IF(M177&gt;26,3,IF(M177&gt;20,4,IF(M177&lt;=20,5)))))</f>
        <v>3</v>
      </c>
      <c r="P177" s="19" t="n">
        <f aca="false">AVERAGE(N177,O177)</f>
        <v>2</v>
      </c>
      <c r="Q177" s="19" t="n">
        <f aca="false">IFERROR(VLOOKUP(B177,'6-week1'!B:F,5,0),0)</f>
        <v>0</v>
      </c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</row>
    <row r="178" customFormat="false" ht="18" hidden="false" customHeight="true" outlineLevel="0" collapsed="false">
      <c r="A178" s="18" t="s">
        <v>223</v>
      </c>
      <c r="B178" s="18" t="str">
        <f aca="false">TRIM(A178)</f>
        <v>حسین موذنی فرد</v>
      </c>
      <c r="C178" s="18" t="str">
        <f aca="false">VLOOKUP(B178,Company!B:E,3,0)</f>
        <v>سینا</v>
      </c>
      <c r="D178" s="18" t="str">
        <f aca="false">VLOOKUP(B178,Company!B:E,2,0)</f>
        <v>عصر</v>
      </c>
      <c r="E178" s="18" t="str">
        <f aca="false" t="array" ref="E178:E178">IFERROR(INDEX('Team Leads'!$B:$D, MATCH(C178,'Team Leads'!$A:$A,0), MATCH(D178,'Team Leads'!$B$1:$D$1,0)), "")</f>
        <v>مهدی ایازی</v>
      </c>
      <c r="F178" s="18" t="n">
        <f aca="false">VLOOKUP(B178,'Operator Bugs'!A:P,16,0)</f>
        <v>0</v>
      </c>
      <c r="G178" s="18" t="n">
        <f aca="false">IFERROR(VLOOKUP(B178,'6-week1'!B:D,2,0),0)</f>
        <v>68</v>
      </c>
      <c r="H178" s="18" t="n">
        <f aca="false">IFERROR(VLOOKUP(B178,'6-week1'!B:D,3,0),"-")</f>
        <v>38</v>
      </c>
      <c r="I178" s="18" t="n">
        <f aca="false">IF(G178&gt;179,5,IF(G178&gt;149,4,IF(G178&gt;119,3,IF(G178&gt;89,2,IF(G178&gt;59,1,IF(G178&lt;=59,0))))))</f>
        <v>1</v>
      </c>
      <c r="J178" s="18" t="n">
        <f aca="false">IF(H178&gt;39,1,IF(H178&gt;32,2,IF(H178&gt;26,3,IF(H178&gt;20,4,IF(H178&lt;=20,5)))))</f>
        <v>2</v>
      </c>
      <c r="K178" s="15" t="n">
        <f aca="false">AVERAGE(I178:J178)</f>
        <v>1.5</v>
      </c>
      <c r="L178" s="19" t="n">
        <f aca="false">IFERROR(VLOOKUP(B178,'6-week2'!B:D,2,0),0)</f>
        <v>143</v>
      </c>
      <c r="M178" s="19" t="n">
        <f aca="false">IFERROR(VLOOKUP(B178,'6-week2'!B:D,3,0),0)</f>
        <v>44</v>
      </c>
      <c r="N178" s="19" t="n">
        <f aca="false">IF(L178&gt;179,5,IF(L178&gt;149,4,IF(L178&gt;119,3,IF(L178&gt;89,2,IF(L178&gt;59,1,IF(L178&lt;=59,0))))))</f>
        <v>3</v>
      </c>
      <c r="O178" s="19" t="n">
        <f aca="false">IF(M178&gt;39,1,IF(M178&gt;32,2,IF(M178&gt;26,3,IF(M178&gt;20,4,IF(M178&lt;=20,5)))))</f>
        <v>1</v>
      </c>
      <c r="P178" s="19" t="n">
        <f aca="false">AVERAGE(N178,O178)</f>
        <v>2</v>
      </c>
      <c r="Q178" s="19" t="n">
        <f aca="false">IFERROR(VLOOKUP(B178,'6-week1'!B:F,5,0),0)</f>
        <v>0</v>
      </c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</row>
    <row r="179" customFormat="false" ht="18" hidden="false" customHeight="true" outlineLevel="0" collapsed="false">
      <c r="A179" s="18" t="s">
        <v>224</v>
      </c>
      <c r="B179" s="18" t="str">
        <f aca="false">TRIM(A179)</f>
        <v>زهرا رحیمی احسان</v>
      </c>
      <c r="C179" s="18" t="str">
        <f aca="false">VLOOKUP(B179,Company!B:E,3,0)</f>
        <v>رازی</v>
      </c>
      <c r="D179" s="18" t="str">
        <f aca="false">VLOOKUP(B179,Company!B:E,2,0)</f>
        <v>صبح</v>
      </c>
      <c r="E179" s="18" t="str">
        <f aca="false" t="array" ref="E179:E179">IFERROR(INDEX('Team Leads'!$B:$D, MATCH(C179,'Team Leads'!$A:$A,0), MATCH(D179,'Team Leads'!$B$1:$D$1,0)), "")</f>
        <v>آتنا مالمیر</v>
      </c>
      <c r="F179" s="18" t="n">
        <f aca="false">VLOOKUP(B179,'Operator Bugs'!A:P,16,0)</f>
        <v>0</v>
      </c>
      <c r="G179" s="18" t="n">
        <f aca="false">IFERROR(VLOOKUP(B179,'6-week1'!B:D,2,0),0)</f>
        <v>38</v>
      </c>
      <c r="H179" s="18" t="n">
        <f aca="false">IFERROR(VLOOKUP(B179,'6-week1'!B:D,3,0),"-")</f>
        <v>28</v>
      </c>
      <c r="I179" s="18" t="n">
        <f aca="false">IF(G179&gt;179,5,IF(G179&gt;149,4,IF(G179&gt;119,3,IF(G179&gt;89,2,IF(G179&gt;59,1,IF(G179&lt;=59,0))))))</f>
        <v>0</v>
      </c>
      <c r="J179" s="18" t="n">
        <f aca="false">IF(H179&gt;39,1,IF(H179&gt;32,2,IF(H179&gt;26,3,IF(H179&gt;20,4,IF(H179&lt;=20,5)))))</f>
        <v>3</v>
      </c>
      <c r="K179" s="15" t="n">
        <f aca="false">AVERAGE(I179:J179)</f>
        <v>1.5</v>
      </c>
      <c r="L179" s="19" t="n">
        <f aca="false">IFERROR(VLOOKUP(B179,'6-week2'!B:D,2,0),0)</f>
        <v>69</v>
      </c>
      <c r="M179" s="19" t="n">
        <f aca="false">IFERROR(VLOOKUP(B179,'6-week2'!B:D,3,0),0)</f>
        <v>24</v>
      </c>
      <c r="N179" s="19" t="n">
        <f aca="false">IF(L179&gt;179,5,IF(L179&gt;149,4,IF(L179&gt;119,3,IF(L179&gt;89,2,IF(L179&gt;59,1,IF(L179&lt;=59,0))))))</f>
        <v>1</v>
      </c>
      <c r="O179" s="19" t="n">
        <f aca="false">IF(M179&gt;39,1,IF(M179&gt;32,2,IF(M179&gt;26,3,IF(M179&gt;20,4,IF(M179&lt;=20,5)))))</f>
        <v>4</v>
      </c>
      <c r="P179" s="19" t="n">
        <f aca="false">AVERAGE(N179,O179)</f>
        <v>2.5</v>
      </c>
      <c r="Q179" s="19" t="n">
        <f aca="false">IFERROR(VLOOKUP(B179,'6-week1'!B:F,5,0),0)</f>
        <v>0</v>
      </c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</row>
    <row r="180" customFormat="false" ht="18" hidden="false" customHeight="true" outlineLevel="0" collapsed="false">
      <c r="A180" s="18" t="s">
        <v>225</v>
      </c>
      <c r="B180" s="18" t="str">
        <f aca="false">TRIM(A180)</f>
        <v>زهرا صحرایی</v>
      </c>
      <c r="C180" s="18" t="str">
        <f aca="false">VLOOKUP(B180,Company!B:E,3,0)</f>
        <v>رازی</v>
      </c>
      <c r="D180" s="18" t="str">
        <f aca="false">VLOOKUP(B180,Company!B:E,2,0)</f>
        <v>عصر</v>
      </c>
      <c r="E180" s="18" t="str">
        <f aca="false" t="array" ref="E180:E180">IFERROR(INDEX('Team Leads'!$B:$D, MATCH(C180,'Team Leads'!$A:$A,0), MATCH(D180,'Team Leads'!$B$1:$D$1,0)), "")</f>
        <v>امیررضا فلاح</v>
      </c>
      <c r="F180" s="18" t="n">
        <f aca="false">VLOOKUP(B180,'Operator Bugs'!A:P,16,0)</f>
        <v>0</v>
      </c>
      <c r="G180" s="18" t="n">
        <f aca="false">IFERROR(VLOOKUP(B180,'6-week1'!B:D,2,0),0)</f>
        <v>71</v>
      </c>
      <c r="H180" s="18" t="n">
        <f aca="false">IFERROR(VLOOKUP(B180,'6-week1'!B:D,3,0),"-")</f>
        <v>39</v>
      </c>
      <c r="I180" s="18" t="n">
        <f aca="false">IF(G180&gt;179,5,IF(G180&gt;149,4,IF(G180&gt;119,3,IF(G180&gt;89,2,IF(G180&gt;59,1,IF(G180&lt;=59,0))))))</f>
        <v>1</v>
      </c>
      <c r="J180" s="18" t="n">
        <f aca="false">IF(H180&gt;39,1,IF(H180&gt;32,2,IF(H180&gt;26,3,IF(H180&gt;20,4,IF(H180&lt;=20,5)))))</f>
        <v>2</v>
      </c>
      <c r="K180" s="15" t="n">
        <f aca="false">AVERAGE(I180:J180)</f>
        <v>1.5</v>
      </c>
      <c r="L180" s="19" t="n">
        <f aca="false">IFERROR(VLOOKUP(B180,'6-week2'!B:D,2,0),0)</f>
        <v>94</v>
      </c>
      <c r="M180" s="19" t="n">
        <f aca="false">IFERROR(VLOOKUP(B180,'6-week2'!B:D,3,0),0)</f>
        <v>37</v>
      </c>
      <c r="N180" s="19" t="n">
        <f aca="false">IF(L180&gt;179,5,IF(L180&gt;149,4,IF(L180&gt;119,3,IF(L180&gt;89,2,IF(L180&gt;59,1,IF(L180&lt;=59,0))))))</f>
        <v>2</v>
      </c>
      <c r="O180" s="19" t="n">
        <f aca="false">IF(M180&gt;39,1,IF(M180&gt;32,2,IF(M180&gt;26,3,IF(M180&gt;20,4,IF(M180&lt;=20,5)))))</f>
        <v>2</v>
      </c>
      <c r="P180" s="19" t="n">
        <f aca="false">AVERAGE(N180,O180)</f>
        <v>2</v>
      </c>
      <c r="Q180" s="19" t="n">
        <f aca="false">IFERROR(VLOOKUP(B180,'6-week1'!B:F,5,0),0)</f>
        <v>0</v>
      </c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</row>
    <row r="181" customFormat="false" ht="18" hidden="false" customHeight="true" outlineLevel="0" collapsed="false">
      <c r="A181" s="18" t="s">
        <v>226</v>
      </c>
      <c r="B181" s="18" t="str">
        <f aca="false">TRIM(A181)</f>
        <v>سپیده گودرزی</v>
      </c>
      <c r="C181" s="18" t="str">
        <f aca="false">VLOOKUP(B181,Company!B:E,3,0)</f>
        <v>سینا</v>
      </c>
      <c r="D181" s="18" t="str">
        <f aca="false">VLOOKUP(B181,Company!B:E,2,0)</f>
        <v>عصر</v>
      </c>
      <c r="E181" s="18" t="str">
        <f aca="false" t="array" ref="E181:E181">IFERROR(INDEX('Team Leads'!$B:$D, MATCH(C181,'Team Leads'!$A:$A,0), MATCH(D181,'Team Leads'!$B$1:$D$1,0)), "")</f>
        <v>مهدی ایازی</v>
      </c>
      <c r="F181" s="18" t="n">
        <f aca="false">VLOOKUP(B181,'Operator Bugs'!A:P,16,0)</f>
        <v>0</v>
      </c>
      <c r="G181" s="18" t="n">
        <f aca="false">IFERROR(VLOOKUP(B181,'6-week1'!B:D,2,0),0)</f>
        <v>109</v>
      </c>
      <c r="H181" s="18" t="n">
        <f aca="false">IFERROR(VLOOKUP(B181,'6-week1'!B:D,3,0),"-")</f>
        <v>58</v>
      </c>
      <c r="I181" s="18" t="n">
        <f aca="false">IF(G181&gt;179,5,IF(G181&gt;149,4,IF(G181&gt;119,3,IF(G181&gt;89,2,IF(G181&gt;59,1,IF(G181&lt;=59,0))))))</f>
        <v>2</v>
      </c>
      <c r="J181" s="18" t="n">
        <f aca="false">IF(H181&gt;39,1,IF(H181&gt;32,2,IF(H181&gt;26,3,IF(H181&gt;20,4,IF(H181&lt;=20,5)))))</f>
        <v>1</v>
      </c>
      <c r="K181" s="15" t="n">
        <f aca="false">AVERAGE(I181:J181)</f>
        <v>1.5</v>
      </c>
      <c r="L181" s="19" t="n">
        <f aca="false">IFERROR(VLOOKUP(B181,'6-week2'!B:D,2,0),0)</f>
        <v>85</v>
      </c>
      <c r="M181" s="19" t="n">
        <f aca="false">IFERROR(VLOOKUP(B181,'6-week2'!B:D,3,0),0)</f>
        <v>57</v>
      </c>
      <c r="N181" s="19" t="n">
        <f aca="false">IF(L181&gt;179,5,IF(L181&gt;149,4,IF(L181&gt;119,3,IF(L181&gt;89,2,IF(L181&gt;59,1,IF(L181&lt;=59,0))))))</f>
        <v>1</v>
      </c>
      <c r="O181" s="19" t="n">
        <f aca="false">IF(M181&gt;39,1,IF(M181&gt;32,2,IF(M181&gt;26,3,IF(M181&gt;20,4,IF(M181&lt;=20,5)))))</f>
        <v>1</v>
      </c>
      <c r="P181" s="19" t="n">
        <f aca="false">AVERAGE(N181,O181)</f>
        <v>1</v>
      </c>
      <c r="Q181" s="19" t="n">
        <f aca="false">IFERROR(VLOOKUP(B181,'6-week1'!B:F,5,0),0)</f>
        <v>0</v>
      </c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</row>
    <row r="182" customFormat="false" ht="18" hidden="false" customHeight="true" outlineLevel="0" collapsed="false">
      <c r="A182" s="18" t="s">
        <v>227</v>
      </c>
      <c r="B182" s="18" t="str">
        <f aca="false">TRIM(A182)</f>
        <v>ستایش ارفع نیا</v>
      </c>
      <c r="C182" s="18" t="str">
        <f aca="false">VLOOKUP(B182,Company!B:E,3,0)</f>
        <v>دی</v>
      </c>
      <c r="D182" s="18" t="str">
        <f aca="false">VLOOKUP(B182,Company!B:E,2,0)</f>
        <v>صبح</v>
      </c>
      <c r="E182" s="18" t="str">
        <f aca="false" t="array" ref="E182:E182">IFERROR(INDEX('Team Leads'!$B:$D, MATCH(C182,'Team Leads'!$A:$A,0), MATCH(D182,'Team Leads'!$B$1:$D$1,0)), "")</f>
        <v>مهدی فراهانی</v>
      </c>
      <c r="F182" s="18" t="n">
        <f aca="false">VLOOKUP(B182,'Operator Bugs'!A:P,16,0)</f>
        <v>0</v>
      </c>
      <c r="G182" s="18" t="n">
        <f aca="false">IFERROR(VLOOKUP(B182,'6-week1'!B:D,2,0),0)</f>
        <v>45</v>
      </c>
      <c r="H182" s="18" t="n">
        <f aca="false">IFERROR(VLOOKUP(B182,'6-week1'!B:D,3,0),"-")</f>
        <v>28</v>
      </c>
      <c r="I182" s="18" t="n">
        <f aca="false">IF(G182&gt;179,5,IF(G182&gt;149,4,IF(G182&gt;119,3,IF(G182&gt;89,2,IF(G182&gt;59,1,IF(G182&lt;=59,0))))))</f>
        <v>0</v>
      </c>
      <c r="J182" s="18" t="n">
        <f aca="false">IF(H182&gt;39,1,IF(H182&gt;32,2,IF(H182&gt;26,3,IF(H182&gt;20,4,IF(H182&lt;=20,5)))))</f>
        <v>3</v>
      </c>
      <c r="K182" s="15" t="n">
        <f aca="false">AVERAGE(I182:J182)</f>
        <v>1.5</v>
      </c>
      <c r="L182" s="19" t="n">
        <f aca="false">IFERROR(VLOOKUP(B182,'6-week2'!B:D,2,0),0)</f>
        <v>61</v>
      </c>
      <c r="M182" s="19" t="n">
        <f aca="false">IFERROR(VLOOKUP(B182,'6-week2'!B:D,3,0),0)</f>
        <v>26</v>
      </c>
      <c r="N182" s="19" t="n">
        <f aca="false">IF(L182&gt;179,5,IF(L182&gt;149,4,IF(L182&gt;119,3,IF(L182&gt;89,2,IF(L182&gt;59,1,IF(L182&lt;=59,0))))))</f>
        <v>1</v>
      </c>
      <c r="O182" s="19" t="n">
        <f aca="false">IF(M182&gt;39,1,IF(M182&gt;32,2,IF(M182&gt;26,3,IF(M182&gt;20,4,IF(M182&lt;=20,5)))))</f>
        <v>4</v>
      </c>
      <c r="P182" s="19" t="n">
        <f aca="false">AVERAGE(N182,O182)</f>
        <v>2.5</v>
      </c>
      <c r="Q182" s="19" t="n">
        <f aca="false">IFERROR(VLOOKUP(B182,'6-week1'!B:F,5,0),0)</f>
        <v>0</v>
      </c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</row>
    <row r="183" customFormat="false" ht="18" hidden="false" customHeight="true" outlineLevel="0" collapsed="false">
      <c r="A183" s="18" t="s">
        <v>228</v>
      </c>
      <c r="B183" s="18" t="str">
        <f aca="false">TRIM(A183)</f>
        <v>شیرین امیری</v>
      </c>
      <c r="C183" s="18" t="str">
        <f aca="false">VLOOKUP(B183,Company!B:E,3,0)</f>
        <v>تعاون</v>
      </c>
      <c r="D183" s="18" t="str">
        <f aca="false">VLOOKUP(B183,Company!B:E,2,0)</f>
        <v>عصر</v>
      </c>
      <c r="E183" s="18" t="str">
        <f aca="false" t="array" ref="E183:E183">IFERROR(INDEX('Team Leads'!$B:$D, MATCH(C183,'Team Leads'!$A:$A,0), MATCH(D183,'Team Leads'!$B$1:$D$1,0)), "")</f>
        <v>علیرضا زمانیان</v>
      </c>
      <c r="F183" s="18" t="n">
        <f aca="false">VLOOKUP(B183,'Operator Bugs'!A:P,16,0)</f>
        <v>0</v>
      </c>
      <c r="G183" s="18" t="n">
        <f aca="false">IFERROR(VLOOKUP(B183,'6-week1'!B:D,2,0),0)</f>
        <v>80</v>
      </c>
      <c r="H183" s="18" t="n">
        <f aca="false">IFERROR(VLOOKUP(B183,'6-week1'!B:D,3,0),"-")</f>
        <v>39</v>
      </c>
      <c r="I183" s="18" t="n">
        <f aca="false">IF(G183&gt;179,5,IF(G183&gt;149,4,IF(G183&gt;119,3,IF(G183&gt;89,2,IF(G183&gt;59,1,IF(G183&lt;=59,0))))))</f>
        <v>1</v>
      </c>
      <c r="J183" s="18" t="n">
        <f aca="false">IF(H183&gt;39,1,IF(H183&gt;32,2,IF(H183&gt;26,3,IF(H183&gt;20,4,IF(H183&lt;=20,5)))))</f>
        <v>2</v>
      </c>
      <c r="K183" s="15" t="n">
        <f aca="false">AVERAGE(I183:J183)</f>
        <v>1.5</v>
      </c>
      <c r="L183" s="19" t="n">
        <f aca="false">IFERROR(VLOOKUP(B183,'6-week2'!B:D,2,0),0)</f>
        <v>42</v>
      </c>
      <c r="M183" s="19" t="n">
        <f aca="false">IFERROR(VLOOKUP(B183,'6-week2'!B:D,3,0),0)</f>
        <v>22</v>
      </c>
      <c r="N183" s="19" t="n">
        <f aca="false">IF(L183&gt;179,5,IF(L183&gt;149,4,IF(L183&gt;119,3,IF(L183&gt;89,2,IF(L183&gt;59,1,IF(L183&lt;=59,0))))))</f>
        <v>0</v>
      </c>
      <c r="O183" s="19" t="n">
        <f aca="false">IF(M183&gt;39,1,IF(M183&gt;32,2,IF(M183&gt;26,3,IF(M183&gt;20,4,IF(M183&lt;=20,5)))))</f>
        <v>4</v>
      </c>
      <c r="P183" s="19" t="n">
        <f aca="false">AVERAGE(N183,O183)</f>
        <v>2</v>
      </c>
      <c r="Q183" s="19" t="n">
        <f aca="false">IFERROR(VLOOKUP(B183,'6-week1'!B:F,5,0),0)</f>
        <v>0</v>
      </c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</row>
    <row r="184" customFormat="false" ht="18" hidden="false" customHeight="true" outlineLevel="0" collapsed="false">
      <c r="A184" s="18" t="s">
        <v>229</v>
      </c>
      <c r="B184" s="18" t="str">
        <f aca="false">TRIM(A184)</f>
        <v>صبا اکبری</v>
      </c>
      <c r="C184" s="18" t="str">
        <f aca="false">VLOOKUP(B184,Company!B:E,3,0)</f>
        <v>هوشمند فردا</v>
      </c>
      <c r="D184" s="18" t="str">
        <f aca="false">VLOOKUP(B184,Company!B:E,2,0)</f>
        <v>صبح</v>
      </c>
      <c r="E184" s="18" t="str">
        <f aca="false" t="array" ref="E184:E184">IFERROR(INDEX('Team Leads'!$B:$D, MATCH(C184,'Team Leads'!$A:$A,0), MATCH(D184,'Team Leads'!$B$1:$D$1,0)), "")</f>
        <v>فاطمه دهقانپور</v>
      </c>
      <c r="F184" s="18" t="n">
        <f aca="false">VLOOKUP(B184,'Operator Bugs'!A:P,16,0)</f>
        <v>0</v>
      </c>
      <c r="G184" s="18" t="n">
        <f aca="false">IFERROR(VLOOKUP(B184,'6-week1'!B:D,2,0),0)</f>
        <v>59</v>
      </c>
      <c r="H184" s="18" t="n">
        <f aca="false">IFERROR(VLOOKUP(B184,'6-week1'!B:D,3,0),"-")</f>
        <v>27</v>
      </c>
      <c r="I184" s="18" t="n">
        <f aca="false">IF(G184&gt;179,5,IF(G184&gt;149,4,IF(G184&gt;119,3,IF(G184&gt;89,2,IF(G184&gt;59,1,IF(G184&lt;=59,0))))))</f>
        <v>0</v>
      </c>
      <c r="J184" s="18" t="n">
        <f aca="false">IF(H184&gt;39,1,IF(H184&gt;32,2,IF(H184&gt;26,3,IF(H184&gt;20,4,IF(H184&lt;=20,5)))))</f>
        <v>3</v>
      </c>
      <c r="K184" s="15" t="n">
        <f aca="false">AVERAGE(I184:J184)</f>
        <v>1.5</v>
      </c>
      <c r="L184" s="19" t="n">
        <f aca="false">IFERROR(VLOOKUP(B184,'6-week2'!B:D,2,0),0)</f>
        <v>57</v>
      </c>
      <c r="M184" s="19" t="n">
        <f aca="false">IFERROR(VLOOKUP(B184,'6-week2'!B:D,3,0),0)</f>
        <v>26</v>
      </c>
      <c r="N184" s="19" t="n">
        <f aca="false">IF(L184&gt;179,5,IF(L184&gt;149,4,IF(L184&gt;119,3,IF(L184&gt;89,2,IF(L184&gt;59,1,IF(L184&lt;=59,0))))))</f>
        <v>0</v>
      </c>
      <c r="O184" s="19" t="n">
        <f aca="false">IF(M184&gt;39,1,IF(M184&gt;32,2,IF(M184&gt;26,3,IF(M184&gt;20,4,IF(M184&lt;=20,5)))))</f>
        <v>4</v>
      </c>
      <c r="P184" s="19" t="n">
        <f aca="false">AVERAGE(N184,O184)</f>
        <v>2</v>
      </c>
      <c r="Q184" s="19" t="n">
        <f aca="false">IFERROR(VLOOKUP(B184,'6-week1'!B:F,5,0),0)</f>
        <v>0</v>
      </c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</row>
    <row r="185" customFormat="false" ht="18" hidden="false" customHeight="true" outlineLevel="0" collapsed="false">
      <c r="A185" s="18" t="s">
        <v>230</v>
      </c>
      <c r="B185" s="18" t="str">
        <f aca="false">TRIM(A185)</f>
        <v>علی کمالی</v>
      </c>
      <c r="C185" s="18" t="str">
        <f aca="false">VLOOKUP(B185,Company!B:E,3,0)</f>
        <v>رازی</v>
      </c>
      <c r="D185" s="18" t="str">
        <f aca="false">VLOOKUP(B185,Company!B:E,2,0)</f>
        <v>عصر</v>
      </c>
      <c r="E185" s="18" t="str">
        <f aca="false" t="array" ref="E185:E185">IFERROR(INDEX('Team Leads'!$B:$D, MATCH(C185,'Team Leads'!$A:$A,0), MATCH(D185,'Team Leads'!$B$1:$D$1,0)), "")</f>
        <v>امیررضا فلاح</v>
      </c>
      <c r="F185" s="18" t="n">
        <f aca="false">VLOOKUP(B185,'Operator Bugs'!A:P,16,0)</f>
        <v>0</v>
      </c>
      <c r="G185" s="18" t="n">
        <f aca="false">IFERROR(VLOOKUP(B185,'6-week1'!B:D,2,0),0)</f>
        <v>44</v>
      </c>
      <c r="H185" s="18" t="n">
        <f aca="false">IFERROR(VLOOKUP(B185,'6-week1'!B:D,3,0),"-")</f>
        <v>32</v>
      </c>
      <c r="I185" s="18" t="n">
        <f aca="false">IF(G185&gt;179,5,IF(G185&gt;149,4,IF(G185&gt;119,3,IF(G185&gt;89,2,IF(G185&gt;59,1,IF(G185&lt;=59,0))))))</f>
        <v>0</v>
      </c>
      <c r="J185" s="18" t="n">
        <f aca="false">IF(H185&gt;39,1,IF(H185&gt;32,2,IF(H185&gt;26,3,IF(H185&gt;20,4,IF(H185&lt;=20,5)))))</f>
        <v>3</v>
      </c>
      <c r="K185" s="15" t="n">
        <f aca="false">AVERAGE(I185:J185)</f>
        <v>1.5</v>
      </c>
      <c r="L185" s="19" t="n">
        <f aca="false">IFERROR(VLOOKUP(B185,'6-week2'!B:D,2,0),0)</f>
        <v>28</v>
      </c>
      <c r="M185" s="19" t="n">
        <f aca="false">IFERROR(VLOOKUP(B185,'6-week2'!B:D,3,0),0)</f>
        <v>39</v>
      </c>
      <c r="N185" s="19" t="n">
        <f aca="false">IF(L185&gt;179,5,IF(L185&gt;149,4,IF(L185&gt;119,3,IF(L185&gt;89,2,IF(L185&gt;59,1,IF(L185&lt;=59,0))))))</f>
        <v>0</v>
      </c>
      <c r="O185" s="19" t="n">
        <f aca="false">IF(M185&gt;39,1,IF(M185&gt;32,2,IF(M185&gt;26,3,IF(M185&gt;20,4,IF(M185&lt;=20,5)))))</f>
        <v>2</v>
      </c>
      <c r="P185" s="19" t="n">
        <f aca="false">AVERAGE(N185,O185)</f>
        <v>1</v>
      </c>
      <c r="Q185" s="19" t="n">
        <f aca="false">IFERROR(VLOOKUP(B185,'6-week1'!B:F,5,0),0)</f>
        <v>0</v>
      </c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</row>
    <row r="186" customFormat="false" ht="18" hidden="false" customHeight="true" outlineLevel="0" collapsed="false">
      <c r="A186" s="18" t="s">
        <v>231</v>
      </c>
      <c r="B186" s="18" t="str">
        <f aca="false">TRIM(A186)</f>
        <v>غزل فردی تبریزی</v>
      </c>
      <c r="C186" s="18" t="str">
        <f aca="false">VLOOKUP(B186,Company!B:E,3,0)</f>
        <v>تعاون</v>
      </c>
      <c r="D186" s="18" t="str">
        <f aca="false">VLOOKUP(B186,Company!B:E,2,0)</f>
        <v>صبح</v>
      </c>
      <c r="E186" s="18" t="str">
        <f aca="false" t="array" ref="E186:E186">IFERROR(INDEX('Team Leads'!$B:$D, MATCH(C186,'Team Leads'!$A:$A,0), MATCH(D186,'Team Leads'!$B$1:$D$1,0)), "")</f>
        <v>مهدی فراهانی</v>
      </c>
      <c r="F186" s="18" t="n">
        <f aca="false">VLOOKUP(B186,'Operator Bugs'!A:P,16,0)</f>
        <v>0</v>
      </c>
      <c r="G186" s="18" t="n">
        <f aca="false">IFERROR(VLOOKUP(B186,'6-week1'!B:D,2,0),0)</f>
        <v>28</v>
      </c>
      <c r="H186" s="18" t="n">
        <f aca="false">IFERROR(VLOOKUP(B186,'6-week1'!B:D,3,0),"-")</f>
        <v>30</v>
      </c>
      <c r="I186" s="18" t="n">
        <f aca="false">IF(G186&gt;179,5,IF(G186&gt;149,4,IF(G186&gt;119,3,IF(G186&gt;89,2,IF(G186&gt;59,1,IF(G186&lt;=59,0))))))</f>
        <v>0</v>
      </c>
      <c r="J186" s="18" t="n">
        <f aca="false">IF(H186&gt;39,1,IF(H186&gt;32,2,IF(H186&gt;26,3,IF(H186&gt;20,4,IF(H186&lt;=20,5)))))</f>
        <v>3</v>
      </c>
      <c r="K186" s="15" t="n">
        <f aca="false">AVERAGE(I186:J186)</f>
        <v>1.5</v>
      </c>
      <c r="L186" s="19" t="n">
        <f aca="false">IFERROR(VLOOKUP(B186,'6-week2'!B:D,2,0),0)</f>
        <v>14</v>
      </c>
      <c r="M186" s="19" t="n">
        <f aca="false">IFERROR(VLOOKUP(B186,'6-week2'!B:D,3,0),0)</f>
        <v>24</v>
      </c>
      <c r="N186" s="19" t="n">
        <f aca="false">IF(L186&gt;179,5,IF(L186&gt;149,4,IF(L186&gt;119,3,IF(L186&gt;89,2,IF(L186&gt;59,1,IF(L186&lt;=59,0))))))</f>
        <v>0</v>
      </c>
      <c r="O186" s="19" t="n">
        <f aca="false">IF(M186&gt;39,1,IF(M186&gt;32,2,IF(M186&gt;26,3,IF(M186&gt;20,4,IF(M186&lt;=20,5)))))</f>
        <v>4</v>
      </c>
      <c r="P186" s="19" t="n">
        <f aca="false">AVERAGE(N186,O186)</f>
        <v>2</v>
      </c>
      <c r="Q186" s="19" t="n">
        <f aca="false">IFERROR(VLOOKUP(B186,'6-week1'!B:F,5,0),0)</f>
        <v>0</v>
      </c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</row>
    <row r="187" customFormat="false" ht="18" hidden="false" customHeight="true" outlineLevel="0" collapsed="false">
      <c r="A187" s="18" t="s">
        <v>232</v>
      </c>
      <c r="B187" s="18" t="str">
        <f aca="false">TRIM(A187)</f>
        <v>فاطمه شصتی</v>
      </c>
      <c r="C187" s="18" t="str">
        <f aca="false">VLOOKUP(B187,Company!B:E,3,0)</f>
        <v>دی</v>
      </c>
      <c r="D187" s="18" t="str">
        <f aca="false">VLOOKUP(B187,Company!B:E,2,0)</f>
        <v>صبح</v>
      </c>
      <c r="E187" s="18" t="str">
        <f aca="false" t="array" ref="E187:E187">IFERROR(INDEX('Team Leads'!$B:$D, MATCH(C187,'Team Leads'!$A:$A,0), MATCH(D187,'Team Leads'!$B$1:$D$1,0)), "")</f>
        <v>مهدی فراهانی</v>
      </c>
      <c r="F187" s="18" t="n">
        <f aca="false">VLOOKUP(B187,'Operator Bugs'!A:P,16,0)</f>
        <v>0</v>
      </c>
      <c r="G187" s="18" t="n">
        <f aca="false">IFERROR(VLOOKUP(B187,'6-week1'!B:D,2,0),0)</f>
        <v>33</v>
      </c>
      <c r="H187" s="18" t="n">
        <f aca="false">IFERROR(VLOOKUP(B187,'6-week1'!B:D,3,0),"-")</f>
        <v>32</v>
      </c>
      <c r="I187" s="18" t="n">
        <f aca="false">IF(G187&gt;179,5,IF(G187&gt;149,4,IF(G187&gt;119,3,IF(G187&gt;89,2,IF(G187&gt;59,1,IF(G187&lt;=59,0))))))</f>
        <v>0</v>
      </c>
      <c r="J187" s="18" t="n">
        <f aca="false">IF(H187&gt;39,1,IF(H187&gt;32,2,IF(H187&gt;26,3,IF(H187&gt;20,4,IF(H187&lt;=20,5)))))</f>
        <v>3</v>
      </c>
      <c r="K187" s="15" t="n">
        <f aca="false">AVERAGE(I187:J187)</f>
        <v>1.5</v>
      </c>
      <c r="L187" s="19" t="n">
        <f aca="false">IFERROR(VLOOKUP(B187,'6-week2'!B:D,2,0),0)</f>
        <v>40</v>
      </c>
      <c r="M187" s="19" t="n">
        <f aca="false">IFERROR(VLOOKUP(B187,'6-week2'!B:D,3,0),0)</f>
        <v>35</v>
      </c>
      <c r="N187" s="19" t="n">
        <f aca="false">IF(L187&gt;179,5,IF(L187&gt;149,4,IF(L187&gt;119,3,IF(L187&gt;89,2,IF(L187&gt;59,1,IF(L187&lt;=59,0))))))</f>
        <v>0</v>
      </c>
      <c r="O187" s="19" t="n">
        <f aca="false">IF(M187&gt;39,1,IF(M187&gt;32,2,IF(M187&gt;26,3,IF(M187&gt;20,4,IF(M187&lt;=20,5)))))</f>
        <v>2</v>
      </c>
      <c r="P187" s="19" t="n">
        <f aca="false">AVERAGE(N187,O187)</f>
        <v>1</v>
      </c>
      <c r="Q187" s="19" t="n">
        <f aca="false">IFERROR(VLOOKUP(B187,'6-week1'!B:F,5,0),0)</f>
        <v>0</v>
      </c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</row>
    <row r="188" customFormat="false" ht="18" hidden="false" customHeight="true" outlineLevel="0" collapsed="false">
      <c r="A188" s="18" t="s">
        <v>233</v>
      </c>
      <c r="B188" s="18" t="str">
        <f aca="false">TRIM(A188)</f>
        <v>کیان مهر شجاعی</v>
      </c>
      <c r="C188" s="18" t="str">
        <f aca="false">VLOOKUP(B188,Company!B:E,3,0)</f>
        <v>ایران</v>
      </c>
      <c r="D188" s="18" t="str">
        <f aca="false">VLOOKUP(B188,Company!B:E,2,0)</f>
        <v>عصر</v>
      </c>
      <c r="E188" s="18" t="str">
        <f aca="false" t="array" ref="E188:E188">IFERROR(INDEX('Team Leads'!$B:$D, MATCH(C188,'Team Leads'!$A:$A,0), MATCH(D188,'Team Leads'!$B$1:$D$1,0)), "")</f>
        <v>علیرضا زمانیان</v>
      </c>
      <c r="F188" s="18" t="n">
        <f aca="false">VLOOKUP(B188,'Operator Bugs'!A:P,16,0)</f>
        <v>0</v>
      </c>
      <c r="G188" s="18" t="n">
        <f aca="false">IFERROR(VLOOKUP(B188,'6-week1'!B:D,2,0),0)</f>
        <v>89</v>
      </c>
      <c r="H188" s="18" t="n">
        <f aca="false">IFERROR(VLOOKUP(B188,'6-week1'!B:D,3,0),"-")</f>
        <v>36</v>
      </c>
      <c r="I188" s="18" t="n">
        <f aca="false">IF(G188&gt;179,5,IF(G188&gt;149,4,IF(G188&gt;119,3,IF(G188&gt;89,2,IF(G188&gt;59,1,IF(G188&lt;=59,0))))))</f>
        <v>1</v>
      </c>
      <c r="J188" s="18" t="n">
        <f aca="false">IF(H188&gt;39,1,IF(H188&gt;32,2,IF(H188&gt;26,3,IF(H188&gt;20,4,IF(H188&lt;=20,5)))))</f>
        <v>2</v>
      </c>
      <c r="K188" s="15" t="n">
        <f aca="false">AVERAGE(I188:J188)</f>
        <v>1.5</v>
      </c>
      <c r="L188" s="19" t="n">
        <f aca="false">IFERROR(VLOOKUP(B188,'6-week2'!B:D,2,0),0)</f>
        <v>97</v>
      </c>
      <c r="M188" s="19" t="n">
        <f aca="false">IFERROR(VLOOKUP(B188,'6-week2'!B:D,3,0),0)</f>
        <v>34</v>
      </c>
      <c r="N188" s="19" t="n">
        <f aca="false">IF(L188&gt;179,5,IF(L188&gt;149,4,IF(L188&gt;119,3,IF(L188&gt;89,2,IF(L188&gt;59,1,IF(L188&lt;=59,0))))))</f>
        <v>2</v>
      </c>
      <c r="O188" s="19" t="n">
        <f aca="false">IF(M188&gt;39,1,IF(M188&gt;32,2,IF(M188&gt;26,3,IF(M188&gt;20,4,IF(M188&lt;=20,5)))))</f>
        <v>2</v>
      </c>
      <c r="P188" s="19" t="n">
        <f aca="false">AVERAGE(N188,O188)</f>
        <v>2</v>
      </c>
      <c r="Q188" s="19" t="n">
        <f aca="false">IFERROR(VLOOKUP(B188,'6-week1'!B:F,5,0),0)</f>
        <v>0</v>
      </c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</row>
    <row r="189" customFormat="false" ht="18" hidden="false" customHeight="true" outlineLevel="0" collapsed="false">
      <c r="A189" s="18" t="s">
        <v>234</v>
      </c>
      <c r="B189" s="18" t="str">
        <f aca="false">TRIM(A189)</f>
        <v>لیلا حسن نیا</v>
      </c>
      <c r="C189" s="18" t="str">
        <f aca="false">VLOOKUP(B189,Company!B:E,3,0)</f>
        <v>تعاون</v>
      </c>
      <c r="D189" s="18" t="str">
        <f aca="false">VLOOKUP(B189,Company!B:E,2,0)</f>
        <v>عصر</v>
      </c>
      <c r="E189" s="18" t="str">
        <f aca="false" t="array" ref="E189:E189">IFERROR(INDEX('Team Leads'!$B:$D, MATCH(C189,'Team Leads'!$A:$A,0), MATCH(D189,'Team Leads'!$B$1:$D$1,0)), "")</f>
        <v>علیرضا زمانیان</v>
      </c>
      <c r="F189" s="18" t="n">
        <f aca="false">VLOOKUP(B189,'Operator Bugs'!A:P,16,0)</f>
        <v>0</v>
      </c>
      <c r="G189" s="18" t="n">
        <f aca="false">IFERROR(VLOOKUP(B189,'6-week1'!B:D,2,0),0)</f>
        <v>57</v>
      </c>
      <c r="H189" s="18" t="n">
        <f aca="false">IFERROR(VLOOKUP(B189,'6-week1'!B:D,3,0),"-")</f>
        <v>28</v>
      </c>
      <c r="I189" s="18" t="n">
        <f aca="false">IF(G189&gt;179,5,IF(G189&gt;149,4,IF(G189&gt;119,3,IF(G189&gt;89,2,IF(G189&gt;59,1,IF(G189&lt;=59,0))))))</f>
        <v>0</v>
      </c>
      <c r="J189" s="18" t="n">
        <f aca="false">IF(H189&gt;39,1,IF(H189&gt;32,2,IF(H189&gt;26,3,IF(H189&gt;20,4,IF(H189&lt;=20,5)))))</f>
        <v>3</v>
      </c>
      <c r="K189" s="15" t="n">
        <f aca="false">AVERAGE(I189:J189)</f>
        <v>1.5</v>
      </c>
      <c r="L189" s="19" t="n">
        <f aca="false">IFERROR(VLOOKUP(B189,'6-week2'!B:D,2,0),0)</f>
        <v>88</v>
      </c>
      <c r="M189" s="19" t="n">
        <f aca="false">IFERROR(VLOOKUP(B189,'6-week2'!B:D,3,0),0)</f>
        <v>31</v>
      </c>
      <c r="N189" s="19" t="n">
        <f aca="false">IF(L189&gt;179,5,IF(L189&gt;149,4,IF(L189&gt;119,3,IF(L189&gt;89,2,IF(L189&gt;59,1,IF(L189&lt;=59,0))))))</f>
        <v>1</v>
      </c>
      <c r="O189" s="19" t="n">
        <f aca="false">IF(M189&gt;39,1,IF(M189&gt;32,2,IF(M189&gt;26,3,IF(M189&gt;20,4,IF(M189&lt;=20,5)))))</f>
        <v>3</v>
      </c>
      <c r="P189" s="19" t="n">
        <f aca="false">AVERAGE(N189,O189)</f>
        <v>2</v>
      </c>
      <c r="Q189" s="19" t="n">
        <f aca="false">IFERROR(VLOOKUP(B189,'6-week1'!B:F,5,0),0)</f>
        <v>0</v>
      </c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</row>
    <row r="190" customFormat="false" ht="18" hidden="false" customHeight="true" outlineLevel="0" collapsed="false">
      <c r="A190" s="18" t="s">
        <v>235</v>
      </c>
      <c r="B190" s="18" t="str">
        <f aca="false">TRIM(A190)</f>
        <v>لیلا عظیمی</v>
      </c>
      <c r="C190" s="18" t="str">
        <f aca="false">VLOOKUP(B190,Company!B:E,3,0)</f>
        <v>دی</v>
      </c>
      <c r="D190" s="18" t="str">
        <f aca="false">VLOOKUP(B190,Company!B:E,2,0)</f>
        <v>عصر</v>
      </c>
      <c r="E190" s="18" t="str">
        <f aca="false" t="array" ref="E190:E190">IFERROR(INDEX('Team Leads'!$B:$D, MATCH(C190,'Team Leads'!$A:$A,0), MATCH(D190,'Team Leads'!$B$1:$D$1,0)), "")</f>
        <v>علیرضا زمانیان</v>
      </c>
      <c r="F190" s="18" t="n">
        <f aca="false">VLOOKUP(B190,'Operator Bugs'!A:P,16,0)</f>
        <v>0</v>
      </c>
      <c r="G190" s="18" t="n">
        <f aca="false">IFERROR(VLOOKUP(B190,'6-week1'!B:D,2,0),0)</f>
        <v>104</v>
      </c>
      <c r="H190" s="18" t="n">
        <f aca="false">IFERROR(VLOOKUP(B190,'6-week1'!B:D,3,0),"-")</f>
        <v>47</v>
      </c>
      <c r="I190" s="18" t="n">
        <f aca="false">IF(G190&gt;179,5,IF(G190&gt;149,4,IF(G190&gt;119,3,IF(G190&gt;89,2,IF(G190&gt;59,1,IF(G190&lt;=59,0))))))</f>
        <v>2</v>
      </c>
      <c r="J190" s="18" t="n">
        <f aca="false">IF(H190&gt;39,1,IF(H190&gt;32,2,IF(H190&gt;26,3,IF(H190&gt;20,4,IF(H190&lt;=20,5)))))</f>
        <v>1</v>
      </c>
      <c r="K190" s="15" t="n">
        <f aca="false">AVERAGE(I190:J190)</f>
        <v>1.5</v>
      </c>
      <c r="L190" s="19" t="n">
        <f aca="false">IFERROR(VLOOKUP(B190,'6-week2'!B:D,2,0),0)</f>
        <v>187</v>
      </c>
      <c r="M190" s="19" t="n">
        <f aca="false">IFERROR(VLOOKUP(B190,'6-week2'!B:D,3,0),0)</f>
        <v>38</v>
      </c>
      <c r="N190" s="19" t="n">
        <f aca="false">IF(L190&gt;179,5,IF(L190&gt;149,4,IF(L190&gt;119,3,IF(L190&gt;89,2,IF(L190&gt;59,1,IF(L190&lt;=59,0))))))</f>
        <v>5</v>
      </c>
      <c r="O190" s="19" t="n">
        <f aca="false">IF(M190&gt;39,1,IF(M190&gt;32,2,IF(M190&gt;26,3,IF(M190&gt;20,4,IF(M190&lt;=20,5)))))</f>
        <v>2</v>
      </c>
      <c r="P190" s="19" t="n">
        <f aca="false">AVERAGE(N190,O190)</f>
        <v>3.5</v>
      </c>
      <c r="Q190" s="19" t="n">
        <f aca="false">IFERROR(VLOOKUP(B190,'6-week1'!B:F,5,0),0)</f>
        <v>0</v>
      </c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</row>
    <row r="191" customFormat="false" ht="18" hidden="false" customHeight="true" outlineLevel="0" collapsed="false">
      <c r="A191" s="18" t="s">
        <v>236</v>
      </c>
      <c r="B191" s="18" t="str">
        <f aca="false">TRIM(A191)</f>
        <v>محدثه کهن</v>
      </c>
      <c r="C191" s="18" t="str">
        <f aca="false">VLOOKUP(B191,Company!B:E,3,0)</f>
        <v>سینا</v>
      </c>
      <c r="D191" s="18" t="str">
        <f aca="false">VLOOKUP(B191,Company!B:E,2,0)</f>
        <v>عصر</v>
      </c>
      <c r="E191" s="18" t="str">
        <f aca="false" t="array" ref="E191:E191">IFERROR(INDEX('Team Leads'!$B:$D, MATCH(C191,'Team Leads'!$A:$A,0), MATCH(D191,'Team Leads'!$B$1:$D$1,0)), "")</f>
        <v>مهدی ایازی</v>
      </c>
      <c r="F191" s="18" t="n">
        <f aca="false">VLOOKUP(B191,'Operator Bugs'!A:P,16,0)</f>
        <v>0</v>
      </c>
      <c r="G191" s="18" t="n">
        <f aca="false">IFERROR(VLOOKUP(B191,'6-week1'!B:D,2,0),0)</f>
        <v>114</v>
      </c>
      <c r="H191" s="18" t="n">
        <f aca="false">IFERROR(VLOOKUP(B191,'6-week1'!B:D,3,0),"-")</f>
        <v>56</v>
      </c>
      <c r="I191" s="18" t="n">
        <f aca="false">IF(G191&gt;179,5,IF(G191&gt;149,4,IF(G191&gt;119,3,IF(G191&gt;89,2,IF(G191&gt;59,1,IF(G191&lt;=59,0))))))</f>
        <v>2</v>
      </c>
      <c r="J191" s="18" t="n">
        <f aca="false">IF(H191&gt;39,1,IF(H191&gt;32,2,IF(H191&gt;26,3,IF(H191&gt;20,4,IF(H191&lt;=20,5)))))</f>
        <v>1</v>
      </c>
      <c r="K191" s="15" t="n">
        <f aca="false">AVERAGE(I191:J191)</f>
        <v>1.5</v>
      </c>
      <c r="L191" s="19" t="n">
        <f aca="false">IFERROR(VLOOKUP(B191,'6-week2'!B:D,2,0),0)</f>
        <v>122</v>
      </c>
      <c r="M191" s="19" t="n">
        <f aca="false">IFERROR(VLOOKUP(B191,'6-week2'!B:D,3,0),0)</f>
        <v>51</v>
      </c>
      <c r="N191" s="19" t="n">
        <f aca="false">IF(L191&gt;179,5,IF(L191&gt;149,4,IF(L191&gt;119,3,IF(L191&gt;89,2,IF(L191&gt;59,1,IF(L191&lt;=59,0))))))</f>
        <v>3</v>
      </c>
      <c r="O191" s="19" t="n">
        <f aca="false">IF(M191&gt;39,1,IF(M191&gt;32,2,IF(M191&gt;26,3,IF(M191&gt;20,4,IF(M191&lt;=20,5)))))</f>
        <v>1</v>
      </c>
      <c r="P191" s="19" t="n">
        <f aca="false">AVERAGE(N191,O191)</f>
        <v>2</v>
      </c>
      <c r="Q191" s="19" t="n">
        <f aca="false">IFERROR(VLOOKUP(B191,'6-week1'!B:F,5,0),0)</f>
        <v>0</v>
      </c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</row>
    <row r="192" customFormat="false" ht="18" hidden="false" customHeight="true" outlineLevel="0" collapsed="false">
      <c r="A192" s="18" t="s">
        <v>237</v>
      </c>
      <c r="B192" s="18" t="str">
        <f aca="false">TRIM(A192)</f>
        <v>مرکز صدور خوش سیرت | آیدا افشاری</v>
      </c>
      <c r="C192" s="18" t="str">
        <f aca="false">VLOOKUP(B192,Company!B:E,3,0)</f>
        <v>سنتر</v>
      </c>
      <c r="D192" s="18" t="str">
        <f aca="false">VLOOKUP(B192,Company!B:E,2,0)</f>
        <v>صبح</v>
      </c>
      <c r="E192" s="18" t="str">
        <f aca="false" t="array" ref="E192:E192">IFERROR(INDEX('Team Leads'!$B:$D, MATCH(C192,'Team Leads'!$A:$A,0), MATCH(D192,'Team Leads'!$B$1:$D$1,0)), "")</f>
        <v>مریم ایزدی - شاهین شهریاری</v>
      </c>
      <c r="F192" s="18" t="n">
        <f aca="false">VLOOKUP(B192,'Operator Bugs'!A:P,16,0)</f>
        <v>0</v>
      </c>
      <c r="G192" s="18" t="n">
        <f aca="false">IFERROR(VLOOKUP(B192,'6-week1'!B:D,2,0),0)</f>
        <v>59</v>
      </c>
      <c r="H192" s="18" t="n">
        <f aca="false">IFERROR(VLOOKUP(B192,'6-week1'!B:D,3,0),"-")</f>
        <v>30</v>
      </c>
      <c r="I192" s="18" t="n">
        <f aca="false">IF(G192&gt;179,5,IF(G192&gt;149,4,IF(G192&gt;119,3,IF(G192&gt;89,2,IF(G192&gt;59,1,IF(G192&lt;=59,0))))))</f>
        <v>0</v>
      </c>
      <c r="J192" s="18" t="n">
        <f aca="false">IF(H192&gt;39,1,IF(H192&gt;32,2,IF(H192&gt;26,3,IF(H192&gt;20,4,IF(H192&lt;=20,5)))))</f>
        <v>3</v>
      </c>
      <c r="K192" s="15" t="n">
        <f aca="false">AVERAGE(I192:J192)</f>
        <v>1.5</v>
      </c>
      <c r="L192" s="19" t="n">
        <f aca="false">IFERROR(VLOOKUP(B192,'6-week2'!B:D,2,0),0)</f>
        <v>135</v>
      </c>
      <c r="M192" s="19" t="n">
        <f aca="false">IFERROR(VLOOKUP(B192,'6-week2'!B:D,3,0),0)</f>
        <v>22</v>
      </c>
      <c r="N192" s="19" t="n">
        <f aca="false">IF(L192&gt;179,5,IF(L192&gt;149,4,IF(L192&gt;119,3,IF(L192&gt;89,2,IF(L192&gt;59,1,IF(L192&lt;=59,0))))))</f>
        <v>3</v>
      </c>
      <c r="O192" s="19" t="n">
        <f aca="false">IF(M192&gt;39,1,IF(M192&gt;32,2,IF(M192&gt;26,3,IF(M192&gt;20,4,IF(M192&lt;=20,5)))))</f>
        <v>4</v>
      </c>
      <c r="P192" s="19" t="n">
        <f aca="false">AVERAGE(N192,O192)</f>
        <v>3.5</v>
      </c>
      <c r="Q192" s="19" t="n">
        <f aca="false">IFERROR(VLOOKUP(B192,'6-week1'!B:F,5,0),0)</f>
        <v>0</v>
      </c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</row>
    <row r="193" customFormat="false" ht="18" hidden="false" customHeight="true" outlineLevel="0" collapsed="false">
      <c r="A193" s="18" t="s">
        <v>238</v>
      </c>
      <c r="B193" s="18" t="str">
        <f aca="false">TRIM(A193)</f>
        <v>مرکز صدور رضوانی | محدثه رضوانی</v>
      </c>
      <c r="C193" s="18" t="str">
        <f aca="false">VLOOKUP(B193,Company!B:E,3,0)</f>
        <v>سنتر</v>
      </c>
      <c r="D193" s="18" t="str">
        <f aca="false">VLOOKUP(B193,Company!B:E,2,0)</f>
        <v>عصر</v>
      </c>
      <c r="E193" s="18" t="str">
        <f aca="false" t="array" ref="E193:E193">IFERROR(INDEX('Team Leads'!$B:$D, MATCH(C193,'Team Leads'!$A:$A,0), MATCH(D193,'Team Leads'!$B$1:$D$1,0)), "")</f>
        <v>هومن قضائی</v>
      </c>
      <c r="F193" s="18" t="n">
        <f aca="false">VLOOKUP(B193,'Operator Bugs'!A:P,16,0)</f>
        <v>0</v>
      </c>
      <c r="G193" s="18" t="n">
        <f aca="false">IFERROR(VLOOKUP(B193,'6-week1'!B:D,2,0),0)</f>
        <v>48</v>
      </c>
      <c r="H193" s="18" t="n">
        <f aca="false">IFERROR(VLOOKUP(B193,'6-week1'!B:D,3,0),"-")</f>
        <v>27</v>
      </c>
      <c r="I193" s="18" t="n">
        <f aca="false">IF(G193&gt;179,5,IF(G193&gt;149,4,IF(G193&gt;119,3,IF(G193&gt;89,2,IF(G193&gt;59,1,IF(G193&lt;=59,0))))))</f>
        <v>0</v>
      </c>
      <c r="J193" s="18" t="n">
        <f aca="false">IF(H193&gt;39,1,IF(H193&gt;32,2,IF(H193&gt;26,3,IF(H193&gt;20,4,IF(H193&lt;=20,5)))))</f>
        <v>3</v>
      </c>
      <c r="K193" s="15" t="n">
        <f aca="false">AVERAGE(I193:J193)</f>
        <v>1.5</v>
      </c>
      <c r="L193" s="19" t="n">
        <f aca="false">IFERROR(VLOOKUP(B193,'6-week2'!B:D,2,0),0)</f>
        <v>63</v>
      </c>
      <c r="M193" s="19" t="n">
        <f aca="false">IFERROR(VLOOKUP(B193,'6-week2'!B:D,3,0),0)</f>
        <v>32</v>
      </c>
      <c r="N193" s="19" t="n">
        <f aca="false">IF(L193&gt;179,5,IF(L193&gt;149,4,IF(L193&gt;119,3,IF(L193&gt;89,2,IF(L193&gt;59,1,IF(L193&lt;=59,0))))))</f>
        <v>1</v>
      </c>
      <c r="O193" s="19" t="n">
        <f aca="false">IF(M193&gt;39,1,IF(M193&gt;32,2,IF(M193&gt;26,3,IF(M193&gt;20,4,IF(M193&lt;=20,5)))))</f>
        <v>3</v>
      </c>
      <c r="P193" s="19" t="n">
        <f aca="false">AVERAGE(N193,O193)</f>
        <v>2</v>
      </c>
      <c r="Q193" s="19" t="n">
        <f aca="false">IFERROR(VLOOKUP(B193,'6-week1'!B:F,5,0),0)</f>
        <v>0</v>
      </c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</row>
    <row r="194" customFormat="false" ht="18" hidden="false" customHeight="true" outlineLevel="0" collapsed="false">
      <c r="A194" s="18" t="s">
        <v>239</v>
      </c>
      <c r="B194" s="18" t="str">
        <f aca="false">TRIM(A194)</f>
        <v>مرکز صدور غفوری | حسن غفوری</v>
      </c>
      <c r="C194" s="18" t="str">
        <f aca="false">VLOOKUP(B194,Company!B:E,3,0)</f>
        <v>سنتر</v>
      </c>
      <c r="D194" s="18" t="str">
        <f aca="false">VLOOKUP(B194,Company!B:E,2,0)</f>
        <v>صبح</v>
      </c>
      <c r="E194" s="18" t="str">
        <f aca="false" t="array" ref="E194:E194">IFERROR(INDEX('Team Leads'!$B:$D, MATCH(C194,'Team Leads'!$A:$A,0), MATCH(D194,'Team Leads'!$B$1:$D$1,0)), "")</f>
        <v>مریم ایزدی - شاهین شهریاری</v>
      </c>
      <c r="F194" s="18" t="n">
        <f aca="false">VLOOKUP(B194,'Operator Bugs'!A:P,16,0)</f>
        <v>0</v>
      </c>
      <c r="G194" s="18" t="n">
        <f aca="false">IFERROR(VLOOKUP(B194,'6-week1'!B:D,2,0),0)</f>
        <v>57</v>
      </c>
      <c r="H194" s="18" t="n">
        <f aca="false">IFERROR(VLOOKUP(B194,'6-week1'!B:D,3,0),"-")</f>
        <v>29</v>
      </c>
      <c r="I194" s="18" t="n">
        <f aca="false">IF(G194&gt;179,5,IF(G194&gt;149,4,IF(G194&gt;119,3,IF(G194&gt;89,2,IF(G194&gt;59,1,IF(G194&lt;=59,0))))))</f>
        <v>0</v>
      </c>
      <c r="J194" s="18" t="n">
        <f aca="false">IF(H194&gt;39,1,IF(H194&gt;32,2,IF(H194&gt;26,3,IF(H194&gt;20,4,IF(H194&lt;=20,5)))))</f>
        <v>3</v>
      </c>
      <c r="K194" s="15" t="n">
        <f aca="false">AVERAGE(I194:J194)</f>
        <v>1.5</v>
      </c>
      <c r="L194" s="19" t="n">
        <f aca="false">IFERROR(VLOOKUP(B194,'6-week2'!B:D,2,0),0)</f>
        <v>67</v>
      </c>
      <c r="M194" s="19" t="n">
        <f aca="false">IFERROR(VLOOKUP(B194,'6-week2'!B:D,3,0),0)</f>
        <v>23</v>
      </c>
      <c r="N194" s="19" t="n">
        <f aca="false">IF(L194&gt;179,5,IF(L194&gt;149,4,IF(L194&gt;119,3,IF(L194&gt;89,2,IF(L194&gt;59,1,IF(L194&lt;=59,0))))))</f>
        <v>1</v>
      </c>
      <c r="O194" s="19" t="n">
        <f aca="false">IF(M194&gt;39,1,IF(M194&gt;32,2,IF(M194&gt;26,3,IF(M194&gt;20,4,IF(M194&lt;=20,5)))))</f>
        <v>4</v>
      </c>
      <c r="P194" s="19" t="n">
        <f aca="false">AVERAGE(N194,O194)</f>
        <v>2.5</v>
      </c>
      <c r="Q194" s="19" t="n">
        <f aca="false">IFERROR(VLOOKUP(B194,'6-week1'!B:F,5,0),0)</f>
        <v>0</v>
      </c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</row>
    <row r="195" customFormat="false" ht="18" hidden="false" customHeight="true" outlineLevel="0" collapsed="false">
      <c r="A195" s="18" t="s">
        <v>240</v>
      </c>
      <c r="B195" s="18" t="str">
        <f aca="false">TRIM(A195)</f>
        <v>مرکز صدور کاظمی | امیرحسین ارجمند</v>
      </c>
      <c r="C195" s="18" t="str">
        <f aca="false">VLOOKUP(B195,Company!B:E,3,0)</f>
        <v>سنتر</v>
      </c>
      <c r="D195" s="18" t="str">
        <f aca="false">VLOOKUP(B195,Company!B:E,2,0)</f>
        <v>صبح</v>
      </c>
      <c r="E195" s="18" t="str">
        <f aca="false" t="array" ref="E195:E195">IFERROR(INDEX('Team Leads'!$B:$D, MATCH(C195,'Team Leads'!$A:$A,0), MATCH(D195,'Team Leads'!$B$1:$D$1,0)), "")</f>
        <v>مریم ایزدی - شاهین شهریاری</v>
      </c>
      <c r="F195" s="18" t="n">
        <f aca="false">VLOOKUP(B195,'Operator Bugs'!A:P,16,0)</f>
        <v>0</v>
      </c>
      <c r="G195" s="18" t="n">
        <f aca="false">IFERROR(VLOOKUP(B195,'6-week1'!B:D,2,0),0)</f>
        <v>22</v>
      </c>
      <c r="H195" s="18" t="n">
        <f aca="false">IFERROR(VLOOKUP(B195,'6-week1'!B:D,3,0),"-")</f>
        <v>31</v>
      </c>
      <c r="I195" s="18" t="n">
        <f aca="false">IF(G195&gt;179,5,IF(G195&gt;149,4,IF(G195&gt;119,3,IF(G195&gt;89,2,IF(G195&gt;59,1,IF(G195&lt;=59,0))))))</f>
        <v>0</v>
      </c>
      <c r="J195" s="18" t="n">
        <f aca="false">IF(H195&gt;39,1,IF(H195&gt;32,2,IF(H195&gt;26,3,IF(H195&gt;20,4,IF(H195&lt;=20,5)))))</f>
        <v>3</v>
      </c>
      <c r="K195" s="15" t="n">
        <f aca="false">AVERAGE(I195:J195)</f>
        <v>1.5</v>
      </c>
      <c r="L195" s="19" t="n">
        <f aca="false">IFERROR(VLOOKUP(B195,'6-week2'!B:D,2,0),0)</f>
        <v>38</v>
      </c>
      <c r="M195" s="19" t="n">
        <f aca="false">IFERROR(VLOOKUP(B195,'6-week2'!B:D,3,0),0)</f>
        <v>44</v>
      </c>
      <c r="N195" s="19" t="n">
        <f aca="false">IF(L195&gt;179,5,IF(L195&gt;149,4,IF(L195&gt;119,3,IF(L195&gt;89,2,IF(L195&gt;59,1,IF(L195&lt;=59,0))))))</f>
        <v>0</v>
      </c>
      <c r="O195" s="19" t="n">
        <f aca="false">IF(M195&gt;39,1,IF(M195&gt;32,2,IF(M195&gt;26,3,IF(M195&gt;20,4,IF(M195&lt;=20,5)))))</f>
        <v>1</v>
      </c>
      <c r="P195" s="19" t="n">
        <f aca="false">AVERAGE(N195,O195)</f>
        <v>0.5</v>
      </c>
      <c r="Q195" s="19" t="n">
        <f aca="false">IFERROR(VLOOKUP(B195,'6-week1'!B:F,5,0),0)</f>
        <v>0</v>
      </c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</row>
    <row r="196" customFormat="false" ht="18" hidden="false" customHeight="true" outlineLevel="0" collapsed="false">
      <c r="A196" s="18" t="s">
        <v>241</v>
      </c>
      <c r="B196" s="18" t="str">
        <f aca="false">TRIM(A196)</f>
        <v>مرکز صدور کاظمی | ویدا نوری</v>
      </c>
      <c r="C196" s="18" t="str">
        <f aca="false">VLOOKUP(B196,Company!B:E,3,0)</f>
        <v>سنتر</v>
      </c>
      <c r="D196" s="18" t="str">
        <f aca="false">VLOOKUP(B196,Company!B:E,2,0)</f>
        <v>عصر</v>
      </c>
      <c r="E196" s="18" t="str">
        <f aca="false" t="array" ref="E196:E196">IFERROR(INDEX('Team Leads'!$B:$D, MATCH(C196,'Team Leads'!$A:$A,0), MATCH(D196,'Team Leads'!$B$1:$D$1,0)), "")</f>
        <v>هومن قضائی</v>
      </c>
      <c r="F196" s="18" t="n">
        <f aca="false">VLOOKUP(B196,'Operator Bugs'!A:P,16,0)</f>
        <v>0</v>
      </c>
      <c r="G196" s="18" t="n">
        <f aca="false">IFERROR(VLOOKUP(B196,'6-week1'!B:D,2,0),0)</f>
        <v>65</v>
      </c>
      <c r="H196" s="18" t="n">
        <f aca="false">IFERROR(VLOOKUP(B196,'6-week1'!B:D,3,0),"-")</f>
        <v>36</v>
      </c>
      <c r="I196" s="18" t="n">
        <f aca="false">IF(G196&gt;179,5,IF(G196&gt;149,4,IF(G196&gt;119,3,IF(G196&gt;89,2,IF(G196&gt;59,1,IF(G196&lt;=59,0))))))</f>
        <v>1</v>
      </c>
      <c r="J196" s="18" t="n">
        <f aca="false">IF(H196&gt;39,1,IF(H196&gt;32,2,IF(H196&gt;26,3,IF(H196&gt;20,4,IF(H196&lt;=20,5)))))</f>
        <v>2</v>
      </c>
      <c r="K196" s="15" t="n">
        <f aca="false">AVERAGE(I196:J196)</f>
        <v>1.5</v>
      </c>
      <c r="L196" s="19" t="n">
        <f aca="false">IFERROR(VLOOKUP(B196,'6-week2'!B:D,2,0),0)</f>
        <v>39</v>
      </c>
      <c r="M196" s="19" t="n">
        <f aca="false">IFERROR(VLOOKUP(B196,'6-week2'!B:D,3,0),0)</f>
        <v>30</v>
      </c>
      <c r="N196" s="19" t="n">
        <f aca="false">IF(L196&gt;179,5,IF(L196&gt;149,4,IF(L196&gt;119,3,IF(L196&gt;89,2,IF(L196&gt;59,1,IF(L196&lt;=59,0))))))</f>
        <v>0</v>
      </c>
      <c r="O196" s="19" t="n">
        <f aca="false">IF(M196&gt;39,1,IF(M196&gt;32,2,IF(M196&gt;26,3,IF(M196&gt;20,4,IF(M196&lt;=20,5)))))</f>
        <v>3</v>
      </c>
      <c r="P196" s="19" t="n">
        <f aca="false">AVERAGE(N196,O196)</f>
        <v>1.5</v>
      </c>
      <c r="Q196" s="19" t="n">
        <f aca="false">IFERROR(VLOOKUP(B196,'6-week1'!B:F,5,0),0)</f>
        <v>0</v>
      </c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</row>
    <row r="197" customFormat="false" ht="18" hidden="false" customHeight="true" outlineLevel="0" collapsed="false">
      <c r="A197" s="18" t="s">
        <v>242</v>
      </c>
      <c r="B197" s="18" t="str">
        <f aca="false">TRIM(A197)</f>
        <v>مریم احمدی</v>
      </c>
      <c r="C197" s="18" t="str">
        <f aca="false">VLOOKUP(B197,Company!B:E,3,0)</f>
        <v>ایران</v>
      </c>
      <c r="D197" s="18" t="str">
        <f aca="false">VLOOKUP(B197,Company!B:E,2,0)</f>
        <v>عصر</v>
      </c>
      <c r="E197" s="18" t="str">
        <f aca="false" t="array" ref="E197:E197">IFERROR(INDEX('Team Leads'!$B:$D, MATCH(C197,'Team Leads'!$A:$A,0), MATCH(D197,'Team Leads'!$B$1:$D$1,0)), "")</f>
        <v>علیرضا زمانیان</v>
      </c>
      <c r="F197" s="18" t="n">
        <f aca="false">VLOOKUP(B197,'Operator Bugs'!A:P,16,0)</f>
        <v>0</v>
      </c>
      <c r="G197" s="18" t="n">
        <f aca="false">IFERROR(VLOOKUP(B197,'6-week1'!B:D,2,0),0)</f>
        <v>50</v>
      </c>
      <c r="H197" s="18" t="n">
        <f aca="false">IFERROR(VLOOKUP(B197,'6-week1'!B:D,3,0),"-")</f>
        <v>30</v>
      </c>
      <c r="I197" s="18" t="n">
        <f aca="false">IF(G197&gt;179,5,IF(G197&gt;149,4,IF(G197&gt;119,3,IF(G197&gt;89,2,IF(G197&gt;59,1,IF(G197&lt;=59,0))))))</f>
        <v>0</v>
      </c>
      <c r="J197" s="18" t="n">
        <f aca="false">IF(H197&gt;39,1,IF(H197&gt;32,2,IF(H197&gt;26,3,IF(H197&gt;20,4,IF(H197&lt;=20,5)))))</f>
        <v>3</v>
      </c>
      <c r="K197" s="15" t="n">
        <f aca="false">AVERAGE(I197:J197)</f>
        <v>1.5</v>
      </c>
      <c r="L197" s="19" t="n">
        <f aca="false">IFERROR(VLOOKUP(B197,'6-week2'!B:D,2,0),0)</f>
        <v>42</v>
      </c>
      <c r="M197" s="19" t="n">
        <f aca="false">IFERROR(VLOOKUP(B197,'6-week2'!B:D,3,0),0)</f>
        <v>26</v>
      </c>
      <c r="N197" s="19" t="n">
        <f aca="false">IF(L197&gt;179,5,IF(L197&gt;149,4,IF(L197&gt;119,3,IF(L197&gt;89,2,IF(L197&gt;59,1,IF(L197&lt;=59,0))))))</f>
        <v>0</v>
      </c>
      <c r="O197" s="19" t="n">
        <f aca="false">IF(M197&gt;39,1,IF(M197&gt;32,2,IF(M197&gt;26,3,IF(M197&gt;20,4,IF(M197&lt;=20,5)))))</f>
        <v>4</v>
      </c>
      <c r="P197" s="19" t="n">
        <f aca="false">AVERAGE(N197,O197)</f>
        <v>2</v>
      </c>
      <c r="Q197" s="19" t="n">
        <f aca="false">IFERROR(VLOOKUP(B197,'6-week1'!B:F,5,0),0)</f>
        <v>0</v>
      </c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</row>
    <row r="198" customFormat="false" ht="18" hidden="false" customHeight="true" outlineLevel="0" collapsed="false">
      <c r="A198" s="18" t="s">
        <v>243</v>
      </c>
      <c r="B198" s="18" t="str">
        <f aca="false">TRIM(A198)</f>
        <v>مریم منیری</v>
      </c>
      <c r="C198" s="18" t="str">
        <f aca="false">VLOOKUP(B198,Company!B:E,3,0)</f>
        <v>رازی</v>
      </c>
      <c r="D198" s="18" t="str">
        <f aca="false">VLOOKUP(B198,Company!B:E,2,0)</f>
        <v>عصر</v>
      </c>
      <c r="E198" s="18" t="str">
        <f aca="false" t="array" ref="E198:E198">IFERROR(INDEX('Team Leads'!$B:$D, MATCH(C198,'Team Leads'!$A:$A,0), MATCH(D198,'Team Leads'!$B$1:$D$1,0)), "")</f>
        <v>امیررضا فلاح</v>
      </c>
      <c r="F198" s="18" t="n">
        <f aca="false">VLOOKUP(B198,'Operator Bugs'!A:P,16,0)</f>
        <v>0</v>
      </c>
      <c r="G198" s="18" t="n">
        <f aca="false">IFERROR(VLOOKUP(B198,'6-week1'!B:D,2,0),0)</f>
        <v>81</v>
      </c>
      <c r="H198" s="18" t="n">
        <f aca="false">IFERROR(VLOOKUP(B198,'6-week1'!B:D,3,0),"-")</f>
        <v>37</v>
      </c>
      <c r="I198" s="18" t="n">
        <f aca="false">IF(G198&gt;179,5,IF(G198&gt;149,4,IF(G198&gt;119,3,IF(G198&gt;89,2,IF(G198&gt;59,1,IF(G198&lt;=59,0))))))</f>
        <v>1</v>
      </c>
      <c r="J198" s="18" t="n">
        <f aca="false">IF(H198&gt;39,1,IF(H198&gt;32,2,IF(H198&gt;26,3,IF(H198&gt;20,4,IF(H198&lt;=20,5)))))</f>
        <v>2</v>
      </c>
      <c r="K198" s="15" t="n">
        <f aca="false">AVERAGE(I198:J198)</f>
        <v>1.5</v>
      </c>
      <c r="L198" s="19" t="n">
        <f aca="false">IFERROR(VLOOKUP(B198,'6-week2'!B:D,2,0),0)</f>
        <v>55</v>
      </c>
      <c r="M198" s="19" t="n">
        <f aca="false">IFERROR(VLOOKUP(B198,'6-week2'!B:D,3,0),0)</f>
        <v>35</v>
      </c>
      <c r="N198" s="19" t="n">
        <f aca="false">IF(L198&gt;179,5,IF(L198&gt;149,4,IF(L198&gt;119,3,IF(L198&gt;89,2,IF(L198&gt;59,1,IF(L198&lt;=59,0))))))</f>
        <v>0</v>
      </c>
      <c r="O198" s="19" t="n">
        <f aca="false">IF(M198&gt;39,1,IF(M198&gt;32,2,IF(M198&gt;26,3,IF(M198&gt;20,4,IF(M198&lt;=20,5)))))</f>
        <v>2</v>
      </c>
      <c r="P198" s="19" t="n">
        <f aca="false">AVERAGE(N198,O198)</f>
        <v>1</v>
      </c>
      <c r="Q198" s="19" t="n">
        <f aca="false">IFERROR(VLOOKUP(B198,'6-week1'!B:F,5,0),0)</f>
        <v>0</v>
      </c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</row>
    <row r="199" customFormat="false" ht="18" hidden="false" customHeight="true" outlineLevel="0" collapsed="false">
      <c r="A199" s="18" t="s">
        <v>244</v>
      </c>
      <c r="B199" s="18" t="str">
        <f aca="false">TRIM(A199)</f>
        <v>مژگان فدایی منفرد</v>
      </c>
      <c r="C199" s="18" t="str">
        <f aca="false">VLOOKUP(B199,Company!B:E,3,0)</f>
        <v>ایران</v>
      </c>
      <c r="D199" s="18" t="str">
        <f aca="false">VLOOKUP(B199,Company!B:E,2,0)</f>
        <v>صبح</v>
      </c>
      <c r="E199" s="18" t="str">
        <f aca="false" t="array" ref="E199:E199">IFERROR(INDEX('Team Leads'!$B:$D, MATCH(C199,'Team Leads'!$A:$A,0), MATCH(D199,'Team Leads'!$B$1:$D$1,0)), "")</f>
        <v>مهدی فراهانی</v>
      </c>
      <c r="F199" s="18" t="n">
        <f aca="false">VLOOKUP(B199,'Operator Bugs'!A:P,16,0)</f>
        <v>0</v>
      </c>
      <c r="G199" s="18" t="n">
        <f aca="false">IFERROR(VLOOKUP(B199,'6-week1'!B:D,2,0),0)</f>
        <v>81</v>
      </c>
      <c r="H199" s="18" t="n">
        <f aca="false">IFERROR(VLOOKUP(B199,'6-week1'!B:D,3,0),"-")</f>
        <v>37</v>
      </c>
      <c r="I199" s="18" t="n">
        <f aca="false">IF(G199&gt;179,5,IF(G199&gt;149,4,IF(G199&gt;119,3,IF(G199&gt;89,2,IF(G199&gt;59,1,IF(G199&lt;=59,0))))))</f>
        <v>1</v>
      </c>
      <c r="J199" s="18" t="n">
        <f aca="false">IF(H199&gt;39,1,IF(H199&gt;32,2,IF(H199&gt;26,3,IF(H199&gt;20,4,IF(H199&lt;=20,5)))))</f>
        <v>2</v>
      </c>
      <c r="K199" s="15" t="n">
        <f aca="false">AVERAGE(I199:J199)</f>
        <v>1.5</v>
      </c>
      <c r="L199" s="19" t="n">
        <f aca="false">IFERROR(VLOOKUP(B199,'6-week2'!B:D,2,0),0)</f>
        <v>98</v>
      </c>
      <c r="M199" s="19" t="n">
        <f aca="false">IFERROR(VLOOKUP(B199,'6-week2'!B:D,3,0),0)</f>
        <v>41</v>
      </c>
      <c r="N199" s="19" t="n">
        <f aca="false">IF(L199&gt;179,5,IF(L199&gt;149,4,IF(L199&gt;119,3,IF(L199&gt;89,2,IF(L199&gt;59,1,IF(L199&lt;=59,0))))))</f>
        <v>2</v>
      </c>
      <c r="O199" s="19" t="n">
        <f aca="false">IF(M199&gt;39,1,IF(M199&gt;32,2,IF(M199&gt;26,3,IF(M199&gt;20,4,IF(M199&lt;=20,5)))))</f>
        <v>1</v>
      </c>
      <c r="P199" s="19" t="n">
        <f aca="false">AVERAGE(N199,O199)</f>
        <v>1.5</v>
      </c>
      <c r="Q199" s="19" t="n">
        <f aca="false">IFERROR(VLOOKUP(B199,'6-week1'!B:F,5,0),0)</f>
        <v>0</v>
      </c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</row>
    <row r="200" customFormat="false" ht="18" hidden="false" customHeight="true" outlineLevel="0" collapsed="false">
      <c r="A200" s="18" t="s">
        <v>245</v>
      </c>
      <c r="B200" s="18" t="str">
        <f aca="false">TRIM(A200)</f>
        <v>ملیکا مقدم</v>
      </c>
      <c r="C200" s="18" t="str">
        <f aca="false">VLOOKUP(B200,Company!B:E,3,0)</f>
        <v>سینا</v>
      </c>
      <c r="D200" s="18" t="str">
        <f aca="false">VLOOKUP(B200,Company!B:E,2,0)</f>
        <v>صبح</v>
      </c>
      <c r="E200" s="18" t="str">
        <f aca="false" t="array" ref="E200:E200">IFERROR(INDEX('Team Leads'!$B:$D, MATCH(C200,'Team Leads'!$A:$A,0), MATCH(D200,'Team Leads'!$B$1:$D$1,0)), "")</f>
        <v>فاطمه دهقانپور</v>
      </c>
      <c r="F200" s="18" t="n">
        <f aca="false">VLOOKUP(B200,'Operator Bugs'!A:P,16,0)</f>
        <v>0</v>
      </c>
      <c r="G200" s="18" t="n">
        <f aca="false">IFERROR(VLOOKUP(B200,'6-week1'!B:D,2,0),0)</f>
        <v>97</v>
      </c>
      <c r="H200" s="18" t="n">
        <f aca="false">IFERROR(VLOOKUP(B200,'6-week1'!B:D,3,0),"-")</f>
        <v>40</v>
      </c>
      <c r="I200" s="18" t="n">
        <f aca="false">IF(G200&gt;179,5,IF(G200&gt;149,4,IF(G200&gt;119,3,IF(G200&gt;89,2,IF(G200&gt;59,1,IF(G200&lt;=59,0))))))</f>
        <v>2</v>
      </c>
      <c r="J200" s="18" t="n">
        <f aca="false">IF(H200&gt;39,1,IF(H200&gt;32,2,IF(H200&gt;26,3,IF(H200&gt;20,4,IF(H200&lt;=20,5)))))</f>
        <v>1</v>
      </c>
      <c r="K200" s="15" t="n">
        <f aca="false">AVERAGE(I200:J200)</f>
        <v>1.5</v>
      </c>
      <c r="L200" s="19" t="n">
        <f aca="false">IFERROR(VLOOKUP(B200,'6-week2'!B:D,2,0),0)</f>
        <v>137</v>
      </c>
      <c r="M200" s="19" t="n">
        <f aca="false">IFERROR(VLOOKUP(B200,'6-week2'!B:D,3,0),0)</f>
        <v>43</v>
      </c>
      <c r="N200" s="19" t="n">
        <f aca="false">IF(L200&gt;179,5,IF(L200&gt;149,4,IF(L200&gt;119,3,IF(L200&gt;89,2,IF(L200&gt;59,1,IF(L200&lt;=59,0))))))</f>
        <v>3</v>
      </c>
      <c r="O200" s="19" t="n">
        <f aca="false">IF(M200&gt;39,1,IF(M200&gt;32,2,IF(M200&gt;26,3,IF(M200&gt;20,4,IF(M200&lt;=20,5)))))</f>
        <v>1</v>
      </c>
      <c r="P200" s="19" t="n">
        <f aca="false">AVERAGE(N200,O200)</f>
        <v>2</v>
      </c>
      <c r="Q200" s="19" t="n">
        <f aca="false">IFERROR(VLOOKUP(B200,'6-week1'!B:F,5,0),0)</f>
        <v>0</v>
      </c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</row>
    <row r="201" customFormat="false" ht="18" hidden="false" customHeight="true" outlineLevel="0" collapsed="false">
      <c r="A201" s="18" t="s">
        <v>246</v>
      </c>
      <c r="B201" s="18" t="str">
        <f aca="false">TRIM(A201)</f>
        <v>مهدیه حسینی</v>
      </c>
      <c r="C201" s="18" t="str">
        <f aca="false">VLOOKUP(B201,Company!B:E,3,0)</f>
        <v>سینا</v>
      </c>
      <c r="D201" s="18" t="str">
        <f aca="false">VLOOKUP(B201,Company!B:E,2,0)</f>
        <v>صبح</v>
      </c>
      <c r="E201" s="18" t="str">
        <f aca="false" t="array" ref="E201:E201">IFERROR(INDEX('Team Leads'!$B:$D, MATCH(C201,'Team Leads'!$A:$A,0), MATCH(D201,'Team Leads'!$B$1:$D$1,0)), "")</f>
        <v>فاطمه دهقانپور</v>
      </c>
      <c r="F201" s="18" t="n">
        <f aca="false">VLOOKUP(B201,'Operator Bugs'!A:P,16,0)</f>
        <v>0</v>
      </c>
      <c r="G201" s="18" t="n">
        <f aca="false">IFERROR(VLOOKUP(B201,'6-week1'!B:D,2,0),0)</f>
        <v>118</v>
      </c>
      <c r="H201" s="18" t="n">
        <f aca="false">IFERROR(VLOOKUP(B201,'6-week1'!B:D,3,0),"-")</f>
        <v>41</v>
      </c>
      <c r="I201" s="18" t="n">
        <f aca="false">IF(G201&gt;179,5,IF(G201&gt;149,4,IF(G201&gt;119,3,IF(G201&gt;89,2,IF(G201&gt;59,1,IF(G201&lt;=59,0))))))</f>
        <v>2</v>
      </c>
      <c r="J201" s="18" t="n">
        <f aca="false">IF(H201&gt;39,1,IF(H201&gt;32,2,IF(H201&gt;26,3,IF(H201&gt;20,4,IF(H201&lt;=20,5)))))</f>
        <v>1</v>
      </c>
      <c r="K201" s="15" t="n">
        <f aca="false">AVERAGE(I201:J201)</f>
        <v>1.5</v>
      </c>
      <c r="L201" s="19" t="n">
        <f aca="false">IFERROR(VLOOKUP(B201,'6-week2'!B:D,2,0),0)</f>
        <v>74</v>
      </c>
      <c r="M201" s="19" t="n">
        <f aca="false">IFERROR(VLOOKUP(B201,'6-week2'!B:D,3,0),0)</f>
        <v>40</v>
      </c>
      <c r="N201" s="19" t="n">
        <f aca="false">IF(L201&gt;179,5,IF(L201&gt;149,4,IF(L201&gt;119,3,IF(L201&gt;89,2,IF(L201&gt;59,1,IF(L201&lt;=59,0))))))</f>
        <v>1</v>
      </c>
      <c r="O201" s="19" t="n">
        <f aca="false">IF(M201&gt;39,1,IF(M201&gt;32,2,IF(M201&gt;26,3,IF(M201&gt;20,4,IF(M201&lt;=20,5)))))</f>
        <v>1</v>
      </c>
      <c r="P201" s="19" t="n">
        <f aca="false">AVERAGE(N201,O201)</f>
        <v>1</v>
      </c>
      <c r="Q201" s="19" t="n">
        <f aca="false">IFERROR(VLOOKUP(B201,'6-week1'!B:F,5,0),0)</f>
        <v>0</v>
      </c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</row>
    <row r="202" customFormat="false" ht="18" hidden="false" customHeight="true" outlineLevel="0" collapsed="false">
      <c r="A202" s="18" t="s">
        <v>247</v>
      </c>
      <c r="B202" s="18" t="str">
        <f aca="false">TRIM(A202)</f>
        <v>مهدیه زند</v>
      </c>
      <c r="C202" s="18" t="str">
        <f aca="false">VLOOKUP(B202,Company!B:E,3,0)</f>
        <v>پارسیان</v>
      </c>
      <c r="D202" s="18" t="str">
        <f aca="false">VLOOKUP(B202,Company!B:E,2,0)</f>
        <v>صبح</v>
      </c>
      <c r="E202" s="18" t="str">
        <f aca="false" t="array" ref="E202:E202">IFERROR(INDEX('Team Leads'!$B:$D, MATCH(C202,'Team Leads'!$A:$A,0), MATCH(D202,'Team Leads'!$B$1:$D$1,0)), "")</f>
        <v>فاطمه دهقانپور</v>
      </c>
      <c r="F202" s="18" t="n">
        <f aca="false">VLOOKUP(B202,'Operator Bugs'!A:P,16,0)</f>
        <v>0</v>
      </c>
      <c r="G202" s="18" t="n">
        <f aca="false">IFERROR(VLOOKUP(B202,'6-week1'!B:D,2,0),0)</f>
        <v>39</v>
      </c>
      <c r="H202" s="18" t="n">
        <f aca="false">IFERROR(VLOOKUP(B202,'6-week1'!B:D,3,0),"-")</f>
        <v>31</v>
      </c>
      <c r="I202" s="18" t="n">
        <f aca="false">IF(G202&gt;179,5,IF(G202&gt;149,4,IF(G202&gt;119,3,IF(G202&gt;89,2,IF(G202&gt;59,1,IF(G202&lt;=59,0))))))</f>
        <v>0</v>
      </c>
      <c r="J202" s="18" t="n">
        <f aca="false">IF(H202&gt;39,1,IF(H202&gt;32,2,IF(H202&gt;26,3,IF(H202&gt;20,4,IF(H202&lt;=20,5)))))</f>
        <v>3</v>
      </c>
      <c r="K202" s="15" t="n">
        <f aca="false">AVERAGE(I202:J202)</f>
        <v>1.5</v>
      </c>
      <c r="L202" s="19" t="n">
        <f aca="false">IFERROR(VLOOKUP(B202,'6-week2'!B:D,2,0),0)</f>
        <v>74</v>
      </c>
      <c r="M202" s="19" t="n">
        <f aca="false">IFERROR(VLOOKUP(B202,'6-week2'!B:D,3,0),0)</f>
        <v>27</v>
      </c>
      <c r="N202" s="19" t="n">
        <f aca="false">IF(L202&gt;179,5,IF(L202&gt;149,4,IF(L202&gt;119,3,IF(L202&gt;89,2,IF(L202&gt;59,1,IF(L202&lt;=59,0))))))</f>
        <v>1</v>
      </c>
      <c r="O202" s="19" t="n">
        <f aca="false">IF(M202&gt;39,1,IF(M202&gt;32,2,IF(M202&gt;26,3,IF(M202&gt;20,4,IF(M202&lt;=20,5)))))</f>
        <v>3</v>
      </c>
      <c r="P202" s="19" t="n">
        <f aca="false">AVERAGE(N202,O202)</f>
        <v>2</v>
      </c>
      <c r="Q202" s="19" t="n">
        <f aca="false">IFERROR(VLOOKUP(B202,'6-week1'!B:F,5,0),0)</f>
        <v>0</v>
      </c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</row>
    <row r="203" customFormat="false" ht="18" hidden="false" customHeight="true" outlineLevel="0" collapsed="false">
      <c r="A203" s="18" t="s">
        <v>248</v>
      </c>
      <c r="B203" s="18" t="str">
        <f aca="false">TRIM(A203)</f>
        <v>موژان رونقی</v>
      </c>
      <c r="C203" s="18" t="str">
        <f aca="false">VLOOKUP(B203,Company!B:E,3,0)</f>
        <v>رازی</v>
      </c>
      <c r="D203" s="18" t="str">
        <f aca="false">VLOOKUP(B203,Company!B:E,2,0)</f>
        <v>عصر</v>
      </c>
      <c r="E203" s="18" t="str">
        <f aca="false" t="array" ref="E203:E203">IFERROR(INDEX('Team Leads'!$B:$D, MATCH(C203,'Team Leads'!$A:$A,0), MATCH(D203,'Team Leads'!$B$1:$D$1,0)), "")</f>
        <v>امیررضا فلاح</v>
      </c>
      <c r="F203" s="18" t="n">
        <f aca="false">VLOOKUP(B203,'Operator Bugs'!A:P,16,0)</f>
        <v>0</v>
      </c>
      <c r="G203" s="18" t="n">
        <f aca="false">IFERROR(VLOOKUP(B203,'6-week1'!B:D,2,0),0)</f>
        <v>78</v>
      </c>
      <c r="H203" s="18" t="n">
        <f aca="false">IFERROR(VLOOKUP(B203,'6-week1'!B:D,3,0),"-")</f>
        <v>35</v>
      </c>
      <c r="I203" s="18" t="n">
        <f aca="false">IF(G203&gt;179,5,IF(G203&gt;149,4,IF(G203&gt;119,3,IF(G203&gt;89,2,IF(G203&gt;59,1,IF(G203&lt;=59,0))))))</f>
        <v>1</v>
      </c>
      <c r="J203" s="18" t="n">
        <f aca="false">IF(H203&gt;39,1,IF(H203&gt;32,2,IF(H203&gt;26,3,IF(H203&gt;20,4,IF(H203&lt;=20,5)))))</f>
        <v>2</v>
      </c>
      <c r="K203" s="15" t="n">
        <f aca="false">AVERAGE(I203:J203)</f>
        <v>1.5</v>
      </c>
      <c r="L203" s="19" t="n">
        <f aca="false">IFERROR(VLOOKUP(B203,'6-week2'!B:D,2,0),0)</f>
        <v>109</v>
      </c>
      <c r="M203" s="19" t="n">
        <f aca="false">IFERROR(VLOOKUP(B203,'6-week2'!B:D,3,0),0)</f>
        <v>40</v>
      </c>
      <c r="N203" s="19" t="n">
        <f aca="false">IF(L203&gt;179,5,IF(L203&gt;149,4,IF(L203&gt;119,3,IF(L203&gt;89,2,IF(L203&gt;59,1,IF(L203&lt;=59,0))))))</f>
        <v>2</v>
      </c>
      <c r="O203" s="19" t="n">
        <f aca="false">IF(M203&gt;39,1,IF(M203&gt;32,2,IF(M203&gt;26,3,IF(M203&gt;20,4,IF(M203&lt;=20,5)))))</f>
        <v>1</v>
      </c>
      <c r="P203" s="19" t="n">
        <f aca="false">AVERAGE(N203,O203)</f>
        <v>1.5</v>
      </c>
      <c r="Q203" s="19" t="n">
        <f aca="false">IFERROR(VLOOKUP(B203,'6-week1'!B:F,5,0),0)</f>
        <v>0</v>
      </c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</row>
    <row r="204" customFormat="false" ht="18" hidden="false" customHeight="true" outlineLevel="0" collapsed="false">
      <c r="A204" s="18" t="s">
        <v>249</v>
      </c>
      <c r="B204" s="18" t="str">
        <f aca="false">TRIM(A204)</f>
        <v>مونا منصوری</v>
      </c>
      <c r="C204" s="18" t="str">
        <f aca="false">VLOOKUP(B204,Company!B:E,3,0)</f>
        <v>تعاون</v>
      </c>
      <c r="D204" s="18" t="str">
        <f aca="false">VLOOKUP(B204,Company!B:E,2,0)</f>
        <v>عصر</v>
      </c>
      <c r="E204" s="18" t="str">
        <f aca="false" t="array" ref="E204:E204">IFERROR(INDEX('Team Leads'!$B:$D, MATCH(C204,'Team Leads'!$A:$A,0), MATCH(D204,'Team Leads'!$B$1:$D$1,0)), "")</f>
        <v>علیرضا زمانیان</v>
      </c>
      <c r="F204" s="18" t="n">
        <f aca="false">VLOOKUP(B204,'Operator Bugs'!A:P,16,0)</f>
        <v>0</v>
      </c>
      <c r="G204" s="18" t="n">
        <f aca="false">IFERROR(VLOOKUP(B204,'6-week1'!B:D,2,0),0)</f>
        <v>77</v>
      </c>
      <c r="H204" s="18" t="n">
        <f aca="false">IFERROR(VLOOKUP(B204,'6-week1'!B:D,3,0),"-")</f>
        <v>34</v>
      </c>
      <c r="I204" s="18" t="n">
        <f aca="false">IF(G204&gt;179,5,IF(G204&gt;149,4,IF(G204&gt;119,3,IF(G204&gt;89,2,IF(G204&gt;59,1,IF(G204&lt;=59,0))))))</f>
        <v>1</v>
      </c>
      <c r="J204" s="18" t="n">
        <f aca="false">IF(H204&gt;39,1,IF(H204&gt;32,2,IF(H204&gt;26,3,IF(H204&gt;20,4,IF(H204&lt;=20,5)))))</f>
        <v>2</v>
      </c>
      <c r="K204" s="15" t="n">
        <f aca="false">AVERAGE(I204:J204)</f>
        <v>1.5</v>
      </c>
      <c r="L204" s="19" t="n">
        <f aca="false">IFERROR(VLOOKUP(B204,'6-week2'!B:D,2,0),0)</f>
        <v>112</v>
      </c>
      <c r="M204" s="19" t="n">
        <f aca="false">IFERROR(VLOOKUP(B204,'6-week2'!B:D,3,0),0)</f>
        <v>29</v>
      </c>
      <c r="N204" s="19" t="n">
        <f aca="false">IF(L204&gt;179,5,IF(L204&gt;149,4,IF(L204&gt;119,3,IF(L204&gt;89,2,IF(L204&gt;59,1,IF(L204&lt;=59,0))))))</f>
        <v>2</v>
      </c>
      <c r="O204" s="19" t="n">
        <f aca="false">IF(M204&gt;39,1,IF(M204&gt;32,2,IF(M204&gt;26,3,IF(M204&gt;20,4,IF(M204&lt;=20,5)))))</f>
        <v>3</v>
      </c>
      <c r="P204" s="19" t="n">
        <f aca="false">AVERAGE(N204,O204)</f>
        <v>2.5</v>
      </c>
      <c r="Q204" s="19" t="n">
        <f aca="false">IFERROR(VLOOKUP(B204,'6-week1'!B:F,5,0),0)</f>
        <v>0</v>
      </c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</row>
    <row r="205" customFormat="false" ht="18" hidden="false" customHeight="true" outlineLevel="0" collapsed="false">
      <c r="A205" s="18" t="s">
        <v>250</v>
      </c>
      <c r="B205" s="18" t="str">
        <f aca="false">TRIM(A205)</f>
        <v>ناهید عباس زاده</v>
      </c>
      <c r="C205" s="18" t="str">
        <f aca="false">VLOOKUP(B205,Company!B:E,3,0)</f>
        <v>سینا</v>
      </c>
      <c r="D205" s="18" t="str">
        <f aca="false">VLOOKUP(B205,Company!B:E,2,0)</f>
        <v>صبح</v>
      </c>
      <c r="E205" s="18" t="str">
        <f aca="false" t="array" ref="E205:E205">IFERROR(INDEX('Team Leads'!$B:$D, MATCH(C205,'Team Leads'!$A:$A,0), MATCH(D205,'Team Leads'!$B$1:$D$1,0)), "")</f>
        <v>فاطمه دهقانپور</v>
      </c>
      <c r="F205" s="18" t="n">
        <f aca="false">VLOOKUP(B205,'Operator Bugs'!A:P,16,0)</f>
        <v>0</v>
      </c>
      <c r="G205" s="18" t="n">
        <f aca="false">IFERROR(VLOOKUP(B205,'6-week1'!B:D,2,0),0)</f>
        <v>57</v>
      </c>
      <c r="H205" s="18" t="n">
        <f aca="false">IFERROR(VLOOKUP(B205,'6-week1'!B:D,3,0),"-")</f>
        <v>30</v>
      </c>
      <c r="I205" s="18" t="n">
        <f aca="false">IF(G205&gt;179,5,IF(G205&gt;149,4,IF(G205&gt;119,3,IF(G205&gt;89,2,IF(G205&gt;59,1,IF(G205&lt;=59,0))))))</f>
        <v>0</v>
      </c>
      <c r="J205" s="18" t="n">
        <f aca="false">IF(H205&gt;39,1,IF(H205&gt;32,2,IF(H205&gt;26,3,IF(H205&gt;20,4,IF(H205&lt;=20,5)))))</f>
        <v>3</v>
      </c>
      <c r="K205" s="15" t="n">
        <f aca="false">AVERAGE(I205:J205)</f>
        <v>1.5</v>
      </c>
      <c r="L205" s="19" t="n">
        <f aca="false">IFERROR(VLOOKUP(B205,'6-week2'!B:D,2,0),0)</f>
        <v>76</v>
      </c>
      <c r="M205" s="19" t="n">
        <f aca="false">IFERROR(VLOOKUP(B205,'6-week2'!B:D,3,0),0)</f>
        <v>34</v>
      </c>
      <c r="N205" s="19" t="n">
        <f aca="false">IF(L205&gt;179,5,IF(L205&gt;149,4,IF(L205&gt;119,3,IF(L205&gt;89,2,IF(L205&gt;59,1,IF(L205&lt;=59,0))))))</f>
        <v>1</v>
      </c>
      <c r="O205" s="19" t="n">
        <f aca="false">IF(M205&gt;39,1,IF(M205&gt;32,2,IF(M205&gt;26,3,IF(M205&gt;20,4,IF(M205&lt;=20,5)))))</f>
        <v>2</v>
      </c>
      <c r="P205" s="19" t="n">
        <f aca="false">AVERAGE(N205,O205)</f>
        <v>1.5</v>
      </c>
      <c r="Q205" s="19" t="n">
        <f aca="false">IFERROR(VLOOKUP(B205,'6-week1'!B:F,5,0),0)</f>
        <v>0</v>
      </c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</row>
    <row r="206" customFormat="false" ht="18" hidden="false" customHeight="true" outlineLevel="0" collapsed="false">
      <c r="A206" s="18" t="s">
        <v>251</v>
      </c>
      <c r="B206" s="18" t="str">
        <f aca="false">TRIM(A206)</f>
        <v>نرگس کدخدایی</v>
      </c>
      <c r="C206" s="18" t="str">
        <f aca="false">VLOOKUP(B206,Company!B:E,3,0)</f>
        <v>تعاون</v>
      </c>
      <c r="D206" s="18" t="str">
        <f aca="false">VLOOKUP(B206,Company!B:E,2,0)</f>
        <v>صبح</v>
      </c>
      <c r="E206" s="18" t="str">
        <f aca="false" t="array" ref="E206:E206">IFERROR(INDEX('Team Leads'!$B:$D, MATCH(C206,'Team Leads'!$A:$A,0), MATCH(D206,'Team Leads'!$B$1:$D$1,0)), "")</f>
        <v>مهدی فراهانی</v>
      </c>
      <c r="F206" s="18" t="n">
        <f aca="false">VLOOKUP(B206,'Operator Bugs'!A:P,16,0)</f>
        <v>0</v>
      </c>
      <c r="G206" s="18" t="n">
        <f aca="false">IFERROR(VLOOKUP(B206,'6-week1'!B:D,2,0),0)</f>
        <v>53</v>
      </c>
      <c r="H206" s="18" t="n">
        <f aca="false">IFERROR(VLOOKUP(B206,'6-week1'!B:D,3,0),"-")</f>
        <v>30</v>
      </c>
      <c r="I206" s="18" t="n">
        <f aca="false">IF(G206&gt;179,5,IF(G206&gt;149,4,IF(G206&gt;119,3,IF(G206&gt;89,2,IF(G206&gt;59,1,IF(G206&lt;=59,0))))))</f>
        <v>0</v>
      </c>
      <c r="J206" s="18" t="n">
        <f aca="false">IF(H206&gt;39,1,IF(H206&gt;32,2,IF(H206&gt;26,3,IF(H206&gt;20,4,IF(H206&lt;=20,5)))))</f>
        <v>3</v>
      </c>
      <c r="K206" s="15" t="n">
        <f aca="false">AVERAGE(I206:J206)</f>
        <v>1.5</v>
      </c>
      <c r="L206" s="19" t="n">
        <f aca="false">IFERROR(VLOOKUP(B206,'6-week2'!B:D,2,0),0)</f>
        <v>122</v>
      </c>
      <c r="M206" s="19" t="n">
        <f aca="false">IFERROR(VLOOKUP(B206,'6-week2'!B:D,3,0),0)</f>
        <v>31</v>
      </c>
      <c r="N206" s="19" t="n">
        <f aca="false">IF(L206&gt;179,5,IF(L206&gt;149,4,IF(L206&gt;119,3,IF(L206&gt;89,2,IF(L206&gt;59,1,IF(L206&lt;=59,0))))))</f>
        <v>3</v>
      </c>
      <c r="O206" s="19" t="n">
        <f aca="false">IF(M206&gt;39,1,IF(M206&gt;32,2,IF(M206&gt;26,3,IF(M206&gt;20,4,IF(M206&lt;=20,5)))))</f>
        <v>3</v>
      </c>
      <c r="P206" s="19" t="n">
        <f aca="false">AVERAGE(N206,O206)</f>
        <v>3</v>
      </c>
      <c r="Q206" s="19" t="n">
        <f aca="false">IFERROR(VLOOKUP(B206,'6-week1'!B:F,5,0),0)</f>
        <v>0</v>
      </c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</row>
    <row r="207" customFormat="false" ht="18" hidden="false" customHeight="true" outlineLevel="0" collapsed="false">
      <c r="A207" s="18" t="s">
        <v>252</v>
      </c>
      <c r="B207" s="18" t="str">
        <f aca="false">TRIM(A207)</f>
        <v>نیلوفر آقاموسی</v>
      </c>
      <c r="C207" s="18" t="str">
        <f aca="false">VLOOKUP(B207,Company!B:E,3,0)</f>
        <v>رازی</v>
      </c>
      <c r="D207" s="18" t="str">
        <f aca="false">VLOOKUP(B207,Company!B:E,2,0)</f>
        <v>صبح</v>
      </c>
      <c r="E207" s="18" t="str">
        <f aca="false" t="array" ref="E207:E207">IFERROR(INDEX('Team Leads'!$B:$D, MATCH(C207,'Team Leads'!$A:$A,0), MATCH(D207,'Team Leads'!$B$1:$D$1,0)), "")</f>
        <v>آتنا مالمیر</v>
      </c>
      <c r="F207" s="18" t="n">
        <f aca="false">VLOOKUP(B207,'Operator Bugs'!A:P,16,0)</f>
        <v>0</v>
      </c>
      <c r="G207" s="18" t="n">
        <f aca="false">IFERROR(VLOOKUP(B207,'6-week1'!B:D,2,0),0)</f>
        <v>83</v>
      </c>
      <c r="H207" s="18" t="n">
        <f aca="false">IFERROR(VLOOKUP(B207,'6-week1'!B:D,3,0),"-")</f>
        <v>35</v>
      </c>
      <c r="I207" s="18" t="n">
        <f aca="false">IF(G207&gt;179,5,IF(G207&gt;149,4,IF(G207&gt;119,3,IF(G207&gt;89,2,IF(G207&gt;59,1,IF(G207&lt;=59,0))))))</f>
        <v>1</v>
      </c>
      <c r="J207" s="18" t="n">
        <f aca="false">IF(H207&gt;39,1,IF(H207&gt;32,2,IF(H207&gt;26,3,IF(H207&gt;20,4,IF(H207&lt;=20,5)))))</f>
        <v>2</v>
      </c>
      <c r="K207" s="15" t="n">
        <f aca="false">AVERAGE(I207:J207)</f>
        <v>1.5</v>
      </c>
      <c r="L207" s="19" t="n">
        <f aca="false">IFERROR(VLOOKUP(B207,'6-week2'!B:D,2,0),0)</f>
        <v>68</v>
      </c>
      <c r="M207" s="19" t="n">
        <f aca="false">IFERROR(VLOOKUP(B207,'6-week2'!B:D,3,0),0)</f>
        <v>39</v>
      </c>
      <c r="N207" s="19" t="n">
        <f aca="false">IF(L207&gt;179,5,IF(L207&gt;149,4,IF(L207&gt;119,3,IF(L207&gt;89,2,IF(L207&gt;59,1,IF(L207&lt;=59,0))))))</f>
        <v>1</v>
      </c>
      <c r="O207" s="19" t="n">
        <f aca="false">IF(M207&gt;39,1,IF(M207&gt;32,2,IF(M207&gt;26,3,IF(M207&gt;20,4,IF(M207&lt;=20,5)))))</f>
        <v>2</v>
      </c>
      <c r="P207" s="19" t="n">
        <f aca="false">AVERAGE(N207,O207)</f>
        <v>1.5</v>
      </c>
      <c r="Q207" s="19" t="n">
        <f aca="false">IFERROR(VLOOKUP(B207,'6-week1'!B:F,5,0),0)</f>
        <v>0</v>
      </c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</row>
    <row r="208" customFormat="false" ht="18" hidden="false" customHeight="true" outlineLevel="0" collapsed="false">
      <c r="A208" s="18" t="s">
        <v>253</v>
      </c>
      <c r="B208" s="18" t="str">
        <f aca="false">TRIM(A208)</f>
        <v>نیلوفر عباس نژاد کنجین</v>
      </c>
      <c r="C208" s="18" t="str">
        <f aca="false">VLOOKUP(B208,Company!B:E,3,0)</f>
        <v>هوشمند فردا</v>
      </c>
      <c r="D208" s="18" t="str">
        <f aca="false">VLOOKUP(B208,Company!B:E,2,0)</f>
        <v>عصر</v>
      </c>
      <c r="E208" s="18" t="str">
        <f aca="false" t="array" ref="E208:E208">IFERROR(INDEX('Team Leads'!$B:$D, MATCH(C208,'Team Leads'!$A:$A,0), MATCH(D208,'Team Leads'!$B$1:$D$1,0)), "")</f>
        <v>مهدی ایازی</v>
      </c>
      <c r="F208" s="18" t="n">
        <f aca="false">VLOOKUP(B208,'Operator Bugs'!A:P,16,0)</f>
        <v>0</v>
      </c>
      <c r="G208" s="18" t="n">
        <f aca="false">IFERROR(VLOOKUP(B208,'6-week1'!B:D,2,0),0)</f>
        <v>119</v>
      </c>
      <c r="H208" s="18" t="n">
        <f aca="false">IFERROR(VLOOKUP(B208,'6-week1'!B:D,3,0),"-")</f>
        <v>42</v>
      </c>
      <c r="I208" s="18" t="n">
        <f aca="false">IF(G208&gt;179,5,IF(G208&gt;149,4,IF(G208&gt;119,3,IF(G208&gt;89,2,IF(G208&gt;59,1,IF(G208&lt;=59,0))))))</f>
        <v>2</v>
      </c>
      <c r="J208" s="18" t="n">
        <f aca="false">IF(H208&gt;39,1,IF(H208&gt;32,2,IF(H208&gt;26,3,IF(H208&gt;20,4,IF(H208&lt;=20,5)))))</f>
        <v>1</v>
      </c>
      <c r="K208" s="15" t="n">
        <f aca="false">AVERAGE(I208:J208)</f>
        <v>1.5</v>
      </c>
      <c r="L208" s="19" t="n">
        <f aca="false">IFERROR(VLOOKUP(B208,'6-week2'!B:D,2,0),0)</f>
        <v>158</v>
      </c>
      <c r="M208" s="19" t="n">
        <f aca="false">IFERROR(VLOOKUP(B208,'6-week2'!B:D,3,0),0)</f>
        <v>40</v>
      </c>
      <c r="N208" s="19" t="n">
        <f aca="false">IF(L208&gt;179,5,IF(L208&gt;149,4,IF(L208&gt;119,3,IF(L208&gt;89,2,IF(L208&gt;59,1,IF(L208&lt;=59,0))))))</f>
        <v>4</v>
      </c>
      <c r="O208" s="19" t="n">
        <f aca="false">IF(M208&gt;39,1,IF(M208&gt;32,2,IF(M208&gt;26,3,IF(M208&gt;20,4,IF(M208&lt;=20,5)))))</f>
        <v>1</v>
      </c>
      <c r="P208" s="19" t="n">
        <f aca="false">AVERAGE(N208,O208)</f>
        <v>2.5</v>
      </c>
      <c r="Q208" s="19" t="n">
        <f aca="false">IFERROR(VLOOKUP(B208,'6-week1'!B:F,5,0),0)</f>
        <v>0</v>
      </c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</row>
    <row r="209" customFormat="false" ht="18" hidden="false" customHeight="true" outlineLevel="0" collapsed="false">
      <c r="A209" s="18" t="s">
        <v>254</v>
      </c>
      <c r="B209" s="18" t="str">
        <f aca="false">TRIM(A209)</f>
        <v>نیلوفر لشنی</v>
      </c>
      <c r="C209" s="18" t="str">
        <f aca="false">VLOOKUP(B209,Company!B:E,3,0)</f>
        <v>رازی</v>
      </c>
      <c r="D209" s="18" t="str">
        <f aca="false">VLOOKUP(B209,Company!B:E,2,0)</f>
        <v>صبح</v>
      </c>
      <c r="E209" s="18" t="str">
        <f aca="false" t="array" ref="E209:E209">IFERROR(INDEX('Team Leads'!$B:$D, MATCH(C209,'Team Leads'!$A:$A,0), MATCH(D209,'Team Leads'!$B$1:$D$1,0)), "")</f>
        <v>آتنا مالمیر</v>
      </c>
      <c r="F209" s="18" t="n">
        <f aca="false">VLOOKUP(B209,'Operator Bugs'!A:P,16,0)</f>
        <v>0</v>
      </c>
      <c r="G209" s="18" t="n">
        <f aca="false">IFERROR(VLOOKUP(B209,'6-week1'!B:D,2,0),0)</f>
        <v>83</v>
      </c>
      <c r="H209" s="18" t="n">
        <f aca="false">IFERROR(VLOOKUP(B209,'6-week1'!B:D,3,0),"-")</f>
        <v>39</v>
      </c>
      <c r="I209" s="18" t="n">
        <f aca="false">IF(G209&gt;179,5,IF(G209&gt;149,4,IF(G209&gt;119,3,IF(G209&gt;89,2,IF(G209&gt;59,1,IF(G209&lt;=59,0))))))</f>
        <v>1</v>
      </c>
      <c r="J209" s="18" t="n">
        <f aca="false">IF(H209&gt;39,1,IF(H209&gt;32,2,IF(H209&gt;26,3,IF(H209&gt;20,4,IF(H209&lt;=20,5)))))</f>
        <v>2</v>
      </c>
      <c r="K209" s="15" t="n">
        <f aca="false">AVERAGE(I209:J209)</f>
        <v>1.5</v>
      </c>
      <c r="L209" s="19" t="n">
        <f aca="false">IFERROR(VLOOKUP(B209,'6-week2'!B:D,2,0),0)</f>
        <v>73</v>
      </c>
      <c r="M209" s="19" t="n">
        <f aca="false">IFERROR(VLOOKUP(B209,'6-week2'!B:D,3,0),0)</f>
        <v>37</v>
      </c>
      <c r="N209" s="19" t="n">
        <f aca="false">IF(L209&gt;179,5,IF(L209&gt;149,4,IF(L209&gt;119,3,IF(L209&gt;89,2,IF(L209&gt;59,1,IF(L209&lt;=59,0))))))</f>
        <v>1</v>
      </c>
      <c r="O209" s="19" t="n">
        <f aca="false">IF(M209&gt;39,1,IF(M209&gt;32,2,IF(M209&gt;26,3,IF(M209&gt;20,4,IF(M209&lt;=20,5)))))</f>
        <v>2</v>
      </c>
      <c r="P209" s="19" t="n">
        <f aca="false">AVERAGE(N209,O209)</f>
        <v>1.5</v>
      </c>
      <c r="Q209" s="19" t="n">
        <f aca="false">IFERROR(VLOOKUP(B209,'6-week1'!B:F,5,0),0)</f>
        <v>0</v>
      </c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</row>
    <row r="210" customFormat="false" ht="18" hidden="false" customHeight="true" outlineLevel="0" collapsed="false">
      <c r="A210" s="18" t="s">
        <v>255</v>
      </c>
      <c r="B210" s="18" t="str">
        <f aca="false">TRIM(A210)</f>
        <v>اکبر یوسفی</v>
      </c>
      <c r="C210" s="18" t="str">
        <f aca="false">VLOOKUP(B210,Company!B:E,3,0)</f>
        <v>رازی</v>
      </c>
      <c r="D210" s="18" t="str">
        <f aca="false">VLOOKUP(B210,Company!B:E,2,0)</f>
        <v>صبح</v>
      </c>
      <c r="E210" s="18" t="str">
        <f aca="false" t="array" ref="E210:E210">IFERROR(INDEX('Team Leads'!$B:$D, MATCH(C210,'Team Leads'!$A:$A,0), MATCH(D210,'Team Leads'!$B$1:$D$1,0)), "")</f>
        <v>آتنا مالمیر</v>
      </c>
      <c r="F210" s="18" t="n">
        <f aca="false">VLOOKUP(B210,'Operator Bugs'!A:P,16,0)</f>
        <v>0</v>
      </c>
      <c r="G210" s="18" t="n">
        <f aca="false">IFERROR(VLOOKUP(B210,'6-week1'!B:D,2,0),0)</f>
        <v>24</v>
      </c>
      <c r="H210" s="18" t="n">
        <f aca="false">IFERROR(VLOOKUP(B210,'6-week1'!B:D,3,0),"-")</f>
        <v>33</v>
      </c>
      <c r="I210" s="18" t="n">
        <f aca="false">IF(G210&gt;179,5,IF(G210&gt;149,4,IF(G210&gt;119,3,IF(G210&gt;89,2,IF(G210&gt;59,1,IF(G210&lt;=59,0))))))</f>
        <v>0</v>
      </c>
      <c r="J210" s="18" t="n">
        <f aca="false">IF(H210&gt;39,1,IF(H210&gt;32,2,IF(H210&gt;26,3,IF(H210&gt;20,4,IF(H210&lt;=20,5)))))</f>
        <v>2</v>
      </c>
      <c r="K210" s="15" t="n">
        <f aca="false">AVERAGE(I210:J210)</f>
        <v>1</v>
      </c>
      <c r="L210" s="19" t="n">
        <f aca="false">IFERROR(VLOOKUP(B210,'6-week2'!B:D,2,0),0)</f>
        <v>58</v>
      </c>
      <c r="M210" s="19" t="n">
        <f aca="false">IFERROR(VLOOKUP(B210,'6-week2'!B:D,3,0),0)</f>
        <v>29</v>
      </c>
      <c r="N210" s="19" t="n">
        <f aca="false">IF(L210&gt;179,5,IF(L210&gt;149,4,IF(L210&gt;119,3,IF(L210&gt;89,2,IF(L210&gt;59,1,IF(L210&lt;=59,0))))))</f>
        <v>0</v>
      </c>
      <c r="O210" s="19" t="n">
        <f aca="false">IF(M210&gt;39,1,IF(M210&gt;32,2,IF(M210&gt;26,3,IF(M210&gt;20,4,IF(M210&lt;=20,5)))))</f>
        <v>3</v>
      </c>
      <c r="P210" s="19" t="n">
        <f aca="false">AVERAGE(N210,O210)</f>
        <v>1.5</v>
      </c>
      <c r="Q210" s="19" t="n">
        <f aca="false">IFERROR(VLOOKUP(B210,'6-week1'!B:F,5,0),0)</f>
        <v>0</v>
      </c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</row>
    <row r="211" customFormat="false" ht="18" hidden="false" customHeight="true" outlineLevel="0" collapsed="false">
      <c r="A211" s="18" t="s">
        <v>256</v>
      </c>
      <c r="B211" s="18" t="str">
        <f aca="false">TRIM(A211)</f>
        <v>الهه ذبیحی</v>
      </c>
      <c r="C211" s="18" t="str">
        <f aca="false">VLOOKUP(B211,Company!B:E,3,0)</f>
        <v>رازی</v>
      </c>
      <c r="D211" s="18" t="str">
        <f aca="false">VLOOKUP(B211,Company!B:E,2,0)</f>
        <v>عصر</v>
      </c>
      <c r="E211" s="18" t="str">
        <f aca="false" t="array" ref="E211:E211">IFERROR(INDEX('Team Leads'!$B:$D, MATCH(C211,'Team Leads'!$A:$A,0), MATCH(D211,'Team Leads'!$B$1:$D$1,0)), "")</f>
        <v>امیررضا فلاح</v>
      </c>
      <c r="F211" s="18" t="n">
        <f aca="false">VLOOKUP(B211,'Operator Bugs'!A:P,16,0)</f>
        <v>0</v>
      </c>
      <c r="G211" s="18" t="n">
        <f aca="false">IFERROR(VLOOKUP(B211,'6-week1'!B:D,2,0),0)</f>
        <v>75</v>
      </c>
      <c r="H211" s="18" t="n">
        <f aca="false">IFERROR(VLOOKUP(B211,'6-week1'!B:D,3,0),"-")</f>
        <v>42</v>
      </c>
      <c r="I211" s="18" t="n">
        <f aca="false">IF(G211&gt;179,5,IF(G211&gt;149,4,IF(G211&gt;119,3,IF(G211&gt;89,2,IF(G211&gt;59,1,IF(G211&lt;=59,0))))))</f>
        <v>1</v>
      </c>
      <c r="J211" s="18" t="n">
        <f aca="false">IF(H211&gt;39,1,IF(H211&gt;32,2,IF(H211&gt;26,3,IF(H211&gt;20,4,IF(H211&lt;=20,5)))))</f>
        <v>1</v>
      </c>
      <c r="K211" s="15" t="n">
        <f aca="false">AVERAGE(I211:J211)</f>
        <v>1</v>
      </c>
      <c r="L211" s="19" t="n">
        <f aca="false">IFERROR(VLOOKUP(B211,'6-week2'!B:D,2,0),0)</f>
        <v>64</v>
      </c>
      <c r="M211" s="19" t="n">
        <f aca="false">IFERROR(VLOOKUP(B211,'6-week2'!B:D,3,0),0)</f>
        <v>44</v>
      </c>
      <c r="N211" s="19" t="n">
        <f aca="false">IF(L211&gt;179,5,IF(L211&gt;149,4,IF(L211&gt;119,3,IF(L211&gt;89,2,IF(L211&gt;59,1,IF(L211&lt;=59,0))))))</f>
        <v>1</v>
      </c>
      <c r="O211" s="19" t="n">
        <f aca="false">IF(M211&gt;39,1,IF(M211&gt;32,2,IF(M211&gt;26,3,IF(M211&gt;20,4,IF(M211&lt;=20,5)))))</f>
        <v>1</v>
      </c>
      <c r="P211" s="19" t="n">
        <f aca="false">AVERAGE(N211,O211)</f>
        <v>1</v>
      </c>
      <c r="Q211" s="19" t="n">
        <f aca="false">IFERROR(VLOOKUP(B211,'6-week1'!B:F,5,0),0)</f>
        <v>0</v>
      </c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</row>
    <row r="212" customFormat="false" ht="18" hidden="false" customHeight="true" outlineLevel="0" collapsed="false">
      <c r="A212" s="18" t="s">
        <v>257</v>
      </c>
      <c r="B212" s="18" t="str">
        <f aca="false">TRIM(A212)</f>
        <v>بهناز رستگار رامشه</v>
      </c>
      <c r="C212" s="18" t="str">
        <f aca="false">VLOOKUP(B212,Company!B:E,3,0)</f>
        <v>هوشمند فردا</v>
      </c>
      <c r="D212" s="18" t="str">
        <f aca="false">VLOOKUP(B212,Company!B:E,2,0)</f>
        <v>عصر</v>
      </c>
      <c r="E212" s="18" t="str">
        <f aca="false" t="array" ref="E212:E212">IFERROR(INDEX('Team Leads'!$B:$D, MATCH(C212,'Team Leads'!$A:$A,0), MATCH(D212,'Team Leads'!$B$1:$D$1,0)), "")</f>
        <v>مهدی ایازی</v>
      </c>
      <c r="F212" s="18" t="n">
        <f aca="false">VLOOKUP(B212,'Operator Bugs'!A:P,16,0)</f>
        <v>0</v>
      </c>
      <c r="G212" s="18" t="n">
        <f aca="false">IFERROR(VLOOKUP(B212,'6-week1'!B:D,2,0),0)</f>
        <v>22</v>
      </c>
      <c r="H212" s="18" t="n">
        <f aca="false">IFERROR(VLOOKUP(B212,'6-week1'!B:D,3,0),"-")</f>
        <v>35</v>
      </c>
      <c r="I212" s="18" t="n">
        <f aca="false">IF(G212&gt;179,5,IF(G212&gt;149,4,IF(G212&gt;119,3,IF(G212&gt;89,2,IF(G212&gt;59,1,IF(G212&lt;=59,0))))))</f>
        <v>0</v>
      </c>
      <c r="J212" s="18" t="n">
        <f aca="false">IF(H212&gt;39,1,IF(H212&gt;32,2,IF(H212&gt;26,3,IF(H212&gt;20,4,IF(H212&lt;=20,5)))))</f>
        <v>2</v>
      </c>
      <c r="K212" s="15" t="n">
        <f aca="false">AVERAGE(I212:J212)</f>
        <v>1</v>
      </c>
      <c r="L212" s="19" t="n">
        <f aca="false">IFERROR(VLOOKUP(B212,'6-week2'!B:D,2,0),0)</f>
        <v>0</v>
      </c>
      <c r="M212" s="19" t="n">
        <f aca="false">IFERROR(VLOOKUP(B212,'6-week2'!B:D,3,0),0)</f>
        <v>0</v>
      </c>
      <c r="N212" s="19" t="n">
        <f aca="false">IF(L212&gt;179,5,IF(L212&gt;149,4,IF(L212&gt;119,3,IF(L212&gt;89,2,IF(L212&gt;59,1,IF(L212&lt;=59,0))))))</f>
        <v>0</v>
      </c>
      <c r="O212" s="19" t="n">
        <f aca="false">IF(M212&gt;39,1,IF(M212&gt;32,2,IF(M212&gt;26,3,IF(M212&gt;20,4,IF(M212&lt;=20,5)))))</f>
        <v>5</v>
      </c>
      <c r="P212" s="19" t="n">
        <f aca="false">AVERAGE(N212,O212)</f>
        <v>2.5</v>
      </c>
      <c r="Q212" s="19" t="n">
        <f aca="false">IFERROR(VLOOKUP(B212,'6-week1'!B:F,5,0),0)</f>
        <v>0</v>
      </c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</row>
    <row r="213" customFormat="false" ht="18" hidden="false" customHeight="true" outlineLevel="0" collapsed="false">
      <c r="A213" s="18" t="s">
        <v>258</v>
      </c>
      <c r="B213" s="18" t="str">
        <f aca="false">TRIM(A213)</f>
        <v>پرنیان امیری</v>
      </c>
      <c r="C213" s="18" t="str">
        <f aca="false">VLOOKUP(B213,Company!B:E,3,0)</f>
        <v>تعاون</v>
      </c>
      <c r="D213" s="18" t="str">
        <f aca="false">VLOOKUP(B213,Company!B:E,2,0)</f>
        <v>عصر</v>
      </c>
      <c r="E213" s="18" t="str">
        <f aca="false" t="array" ref="E213:E213">IFERROR(INDEX('Team Leads'!$B:$D, MATCH(C213,'Team Leads'!$A:$A,0), MATCH(D213,'Team Leads'!$B$1:$D$1,0)), "")</f>
        <v>علیرضا زمانیان</v>
      </c>
      <c r="F213" s="18" t="n">
        <f aca="false">VLOOKUP(B213,'Operator Bugs'!A:P,16,0)</f>
        <v>0</v>
      </c>
      <c r="G213" s="18" t="n">
        <f aca="false">IFERROR(VLOOKUP(B213,'6-week1'!B:D,2,0),0)</f>
        <v>52</v>
      </c>
      <c r="H213" s="18" t="n">
        <f aca="false">IFERROR(VLOOKUP(B213,'6-week1'!B:D,3,0),"-")</f>
        <v>35</v>
      </c>
      <c r="I213" s="18" t="n">
        <f aca="false">IF(G213&gt;179,5,IF(G213&gt;149,4,IF(G213&gt;119,3,IF(G213&gt;89,2,IF(G213&gt;59,1,IF(G213&lt;=59,0))))))</f>
        <v>0</v>
      </c>
      <c r="J213" s="18" t="n">
        <f aca="false">IF(H213&gt;39,1,IF(H213&gt;32,2,IF(H213&gt;26,3,IF(H213&gt;20,4,IF(H213&lt;=20,5)))))</f>
        <v>2</v>
      </c>
      <c r="K213" s="15" t="n">
        <f aca="false">AVERAGE(I213:J213)</f>
        <v>1</v>
      </c>
      <c r="L213" s="19" t="n">
        <f aca="false">IFERROR(VLOOKUP(B213,'6-week2'!B:D,2,0),0)</f>
        <v>46</v>
      </c>
      <c r="M213" s="19" t="n">
        <f aca="false">IFERROR(VLOOKUP(B213,'6-week2'!B:D,3,0),0)</f>
        <v>25</v>
      </c>
      <c r="N213" s="19" t="n">
        <f aca="false">IF(L213&gt;179,5,IF(L213&gt;149,4,IF(L213&gt;119,3,IF(L213&gt;89,2,IF(L213&gt;59,1,IF(L213&lt;=59,0))))))</f>
        <v>0</v>
      </c>
      <c r="O213" s="19" t="n">
        <f aca="false">IF(M213&gt;39,1,IF(M213&gt;32,2,IF(M213&gt;26,3,IF(M213&gt;20,4,IF(M213&lt;=20,5)))))</f>
        <v>4</v>
      </c>
      <c r="P213" s="19" t="n">
        <f aca="false">AVERAGE(N213,O213)</f>
        <v>2</v>
      </c>
      <c r="Q213" s="19" t="n">
        <f aca="false">IFERROR(VLOOKUP(B213,'6-week1'!B:F,5,0),0)</f>
        <v>0</v>
      </c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</row>
    <row r="214" customFormat="false" ht="18" hidden="false" customHeight="true" outlineLevel="0" collapsed="false">
      <c r="A214" s="18" t="s">
        <v>259</v>
      </c>
      <c r="B214" s="18" t="str">
        <f aca="false">TRIM(A214)</f>
        <v>پریسا تعبدی</v>
      </c>
      <c r="C214" s="18" t="str">
        <f aca="false">VLOOKUP(B214,Company!B:E,3,0)</f>
        <v>سینا</v>
      </c>
      <c r="D214" s="18" t="str">
        <f aca="false">VLOOKUP(B214,Company!B:E,2,0)</f>
        <v>صبح</v>
      </c>
      <c r="E214" s="18" t="str">
        <f aca="false" t="array" ref="E214:E214">IFERROR(INDEX('Team Leads'!$B:$D, MATCH(C214,'Team Leads'!$A:$A,0), MATCH(D214,'Team Leads'!$B$1:$D$1,0)), "")</f>
        <v>فاطمه دهقانپور</v>
      </c>
      <c r="F214" s="18" t="n">
        <f aca="false">VLOOKUP(B214,'Operator Bugs'!A:P,16,0)</f>
        <v>0</v>
      </c>
      <c r="G214" s="18" t="n">
        <f aca="false">IFERROR(VLOOKUP(B214,'6-week1'!B:D,2,0),0)</f>
        <v>78</v>
      </c>
      <c r="H214" s="18" t="n">
        <f aca="false">IFERROR(VLOOKUP(B214,'6-week1'!B:D,3,0),"-")</f>
        <v>47</v>
      </c>
      <c r="I214" s="18" t="n">
        <f aca="false">IF(G214&gt;179,5,IF(G214&gt;149,4,IF(G214&gt;119,3,IF(G214&gt;89,2,IF(G214&gt;59,1,IF(G214&lt;=59,0))))))</f>
        <v>1</v>
      </c>
      <c r="J214" s="18" t="n">
        <f aca="false">IF(H214&gt;39,1,IF(H214&gt;32,2,IF(H214&gt;26,3,IF(H214&gt;20,4,IF(H214&lt;=20,5)))))</f>
        <v>1</v>
      </c>
      <c r="K214" s="15" t="n">
        <f aca="false">AVERAGE(I214:J214)</f>
        <v>1</v>
      </c>
      <c r="L214" s="19" t="n">
        <f aca="false">IFERROR(VLOOKUP(B214,'6-week2'!B:D,2,0),0)</f>
        <v>98</v>
      </c>
      <c r="M214" s="19" t="n">
        <f aca="false">IFERROR(VLOOKUP(B214,'6-week2'!B:D,3,0),0)</f>
        <v>43</v>
      </c>
      <c r="N214" s="19" t="n">
        <f aca="false">IF(L214&gt;179,5,IF(L214&gt;149,4,IF(L214&gt;119,3,IF(L214&gt;89,2,IF(L214&gt;59,1,IF(L214&lt;=59,0))))))</f>
        <v>2</v>
      </c>
      <c r="O214" s="19" t="n">
        <f aca="false">IF(M214&gt;39,1,IF(M214&gt;32,2,IF(M214&gt;26,3,IF(M214&gt;20,4,IF(M214&lt;=20,5)))))</f>
        <v>1</v>
      </c>
      <c r="P214" s="19" t="n">
        <f aca="false">AVERAGE(N214,O214)</f>
        <v>1.5</v>
      </c>
      <c r="Q214" s="19" t="n">
        <f aca="false">IFERROR(VLOOKUP(B214,'6-week1'!B:F,5,0),0)</f>
        <v>0</v>
      </c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</row>
    <row r="215" customFormat="false" ht="18" hidden="false" customHeight="true" outlineLevel="0" collapsed="false">
      <c r="A215" s="18" t="s">
        <v>260</v>
      </c>
      <c r="B215" s="18" t="str">
        <f aca="false">TRIM(A215)</f>
        <v>پویا رحمانی</v>
      </c>
      <c r="C215" s="18" t="str">
        <f aca="false">VLOOKUP(B215,Company!B:E,3,0)</f>
        <v>رازی</v>
      </c>
      <c r="D215" s="18" t="str">
        <f aca="false">VLOOKUP(B215,Company!B:E,2,0)</f>
        <v>صبح</v>
      </c>
      <c r="E215" s="18" t="str">
        <f aca="false" t="array" ref="E215:E215">IFERROR(INDEX('Team Leads'!$B:$D, MATCH(C215,'Team Leads'!$A:$A,0), MATCH(D215,'Team Leads'!$B$1:$D$1,0)), "")</f>
        <v>آتنا مالمیر</v>
      </c>
      <c r="F215" s="18" t="n">
        <f aca="false">VLOOKUP(B215,'Operator Bugs'!A:P,16,0)</f>
        <v>0</v>
      </c>
      <c r="G215" s="18" t="n">
        <f aca="false">IFERROR(VLOOKUP(B215,'6-week1'!B:D,2,0),0)</f>
        <v>56</v>
      </c>
      <c r="H215" s="18" t="n">
        <f aca="false">IFERROR(VLOOKUP(B215,'6-week1'!B:D,3,0),"-")</f>
        <v>39</v>
      </c>
      <c r="I215" s="18" t="n">
        <f aca="false">IF(G215&gt;179,5,IF(G215&gt;149,4,IF(G215&gt;119,3,IF(G215&gt;89,2,IF(G215&gt;59,1,IF(G215&lt;=59,0))))))</f>
        <v>0</v>
      </c>
      <c r="J215" s="18" t="n">
        <f aca="false">IF(H215&gt;39,1,IF(H215&gt;32,2,IF(H215&gt;26,3,IF(H215&gt;20,4,IF(H215&lt;=20,5)))))</f>
        <v>2</v>
      </c>
      <c r="K215" s="15" t="n">
        <f aca="false">AVERAGE(I215:J215)</f>
        <v>1</v>
      </c>
      <c r="L215" s="19" t="n">
        <f aca="false">IFERROR(VLOOKUP(B215,'6-week2'!B:D,2,0),0)</f>
        <v>76</v>
      </c>
      <c r="M215" s="19" t="n">
        <f aca="false">IFERROR(VLOOKUP(B215,'6-week2'!B:D,3,0),0)</f>
        <v>29</v>
      </c>
      <c r="N215" s="19" t="n">
        <f aca="false">IF(L215&gt;179,5,IF(L215&gt;149,4,IF(L215&gt;119,3,IF(L215&gt;89,2,IF(L215&gt;59,1,IF(L215&lt;=59,0))))))</f>
        <v>1</v>
      </c>
      <c r="O215" s="19" t="n">
        <f aca="false">IF(M215&gt;39,1,IF(M215&gt;32,2,IF(M215&gt;26,3,IF(M215&gt;20,4,IF(M215&lt;=20,5)))))</f>
        <v>3</v>
      </c>
      <c r="P215" s="19" t="n">
        <f aca="false">AVERAGE(N215,O215)</f>
        <v>2</v>
      </c>
      <c r="Q215" s="19" t="n">
        <f aca="false">IFERROR(VLOOKUP(B215,'6-week1'!B:F,5,0),0)</f>
        <v>0</v>
      </c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</row>
    <row r="216" customFormat="false" ht="18" hidden="false" customHeight="true" outlineLevel="0" collapsed="false">
      <c r="A216" s="18" t="s">
        <v>261</v>
      </c>
      <c r="B216" s="18" t="str">
        <f aca="false">TRIM(A216)</f>
        <v>حسین دین محمدی</v>
      </c>
      <c r="C216" s="18" t="str">
        <f aca="false">VLOOKUP(B216,Company!B:E,3,0)</f>
        <v>سینا</v>
      </c>
      <c r="D216" s="18" t="str">
        <f aca="false">VLOOKUP(B216,Company!B:E,2,0)</f>
        <v>عصر</v>
      </c>
      <c r="E216" s="18" t="str">
        <f aca="false" t="array" ref="E216:E216">IFERROR(INDEX('Team Leads'!$B:$D, MATCH(C216,'Team Leads'!$A:$A,0), MATCH(D216,'Team Leads'!$B$1:$D$1,0)), "")</f>
        <v>مهدی ایازی</v>
      </c>
      <c r="F216" s="18" t="n">
        <f aca="false">VLOOKUP(B216,'Operator Bugs'!A:P,16,0)</f>
        <v>0</v>
      </c>
      <c r="G216" s="18" t="n">
        <f aca="false">IFERROR(VLOOKUP(B216,'6-week1'!B:D,2,0),0)</f>
        <v>62</v>
      </c>
      <c r="H216" s="18" t="n">
        <f aca="false">IFERROR(VLOOKUP(B216,'6-week1'!B:D,3,0),"-")</f>
        <v>69</v>
      </c>
      <c r="I216" s="18" t="n">
        <f aca="false">IF(G216&gt;179,5,IF(G216&gt;149,4,IF(G216&gt;119,3,IF(G216&gt;89,2,IF(G216&gt;59,1,IF(G216&lt;=59,0))))))</f>
        <v>1</v>
      </c>
      <c r="J216" s="18" t="n">
        <f aca="false">IF(H216&gt;39,1,IF(H216&gt;32,2,IF(H216&gt;26,3,IF(H216&gt;20,4,IF(H216&lt;=20,5)))))</f>
        <v>1</v>
      </c>
      <c r="K216" s="15" t="n">
        <f aca="false">AVERAGE(I216:J216)</f>
        <v>1</v>
      </c>
      <c r="L216" s="19" t="n">
        <f aca="false">IFERROR(VLOOKUP(B216,'6-week2'!B:D,2,0),0)</f>
        <v>70</v>
      </c>
      <c r="M216" s="19" t="n">
        <f aca="false">IFERROR(VLOOKUP(B216,'6-week2'!B:D,3,0),0)</f>
        <v>61</v>
      </c>
      <c r="N216" s="19" t="n">
        <f aca="false">IF(L216&gt;179,5,IF(L216&gt;149,4,IF(L216&gt;119,3,IF(L216&gt;89,2,IF(L216&gt;59,1,IF(L216&lt;=59,0))))))</f>
        <v>1</v>
      </c>
      <c r="O216" s="19" t="n">
        <f aca="false">IF(M216&gt;39,1,IF(M216&gt;32,2,IF(M216&gt;26,3,IF(M216&gt;20,4,IF(M216&lt;=20,5)))))</f>
        <v>1</v>
      </c>
      <c r="P216" s="19" t="n">
        <f aca="false">AVERAGE(N216,O216)</f>
        <v>1</v>
      </c>
      <c r="Q216" s="19" t="n">
        <f aca="false">IFERROR(VLOOKUP(B216,'6-week1'!B:F,5,0),0)</f>
        <v>0</v>
      </c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</row>
    <row r="217" customFormat="false" ht="18" hidden="false" customHeight="true" outlineLevel="0" collapsed="false">
      <c r="A217" s="18" t="s">
        <v>262</v>
      </c>
      <c r="B217" s="18" t="str">
        <f aca="false">TRIM(A217)</f>
        <v>حمید نوری</v>
      </c>
      <c r="C217" s="18" t="str">
        <f aca="false">VLOOKUP(B217,Company!B:E,3,0)</f>
        <v>تعاون</v>
      </c>
      <c r="D217" s="18" t="str">
        <f aca="false">VLOOKUP(B217,Company!B:E,2,0)</f>
        <v>عصر</v>
      </c>
      <c r="E217" s="18" t="str">
        <f aca="false" t="array" ref="E217:E217">IFERROR(INDEX('Team Leads'!$B:$D, MATCH(C217,'Team Leads'!$A:$A,0), MATCH(D217,'Team Leads'!$B$1:$D$1,0)), "")</f>
        <v>علیرضا زمانیان</v>
      </c>
      <c r="F217" s="18" t="n">
        <f aca="false">VLOOKUP(B217,'Operator Bugs'!A:P,16,0)</f>
        <v>0</v>
      </c>
      <c r="G217" s="18" t="n">
        <f aca="false">IFERROR(VLOOKUP(B217,'6-week1'!B:D,2,0),0)</f>
        <v>74</v>
      </c>
      <c r="H217" s="18" t="n">
        <f aca="false">IFERROR(VLOOKUP(B217,'6-week1'!B:D,3,0),"-")</f>
        <v>52</v>
      </c>
      <c r="I217" s="18" t="n">
        <f aca="false">IF(G217&gt;179,5,IF(G217&gt;149,4,IF(G217&gt;119,3,IF(G217&gt;89,2,IF(G217&gt;59,1,IF(G217&lt;=59,0))))))</f>
        <v>1</v>
      </c>
      <c r="J217" s="18" t="n">
        <f aca="false">IF(H217&gt;39,1,IF(H217&gt;32,2,IF(H217&gt;26,3,IF(H217&gt;20,4,IF(H217&lt;=20,5)))))</f>
        <v>1</v>
      </c>
      <c r="K217" s="15" t="n">
        <f aca="false">AVERAGE(I217:J217)</f>
        <v>1</v>
      </c>
      <c r="L217" s="19" t="n">
        <f aca="false">IFERROR(VLOOKUP(B217,'6-week2'!B:D,2,0),0)</f>
        <v>22</v>
      </c>
      <c r="M217" s="19" t="n">
        <f aca="false">IFERROR(VLOOKUP(B217,'6-week2'!B:D,3,0),0)</f>
        <v>46</v>
      </c>
      <c r="N217" s="19" t="n">
        <f aca="false">IF(L217&gt;179,5,IF(L217&gt;149,4,IF(L217&gt;119,3,IF(L217&gt;89,2,IF(L217&gt;59,1,IF(L217&lt;=59,0))))))</f>
        <v>0</v>
      </c>
      <c r="O217" s="19" t="n">
        <f aca="false">IF(M217&gt;39,1,IF(M217&gt;32,2,IF(M217&gt;26,3,IF(M217&gt;20,4,IF(M217&lt;=20,5)))))</f>
        <v>1</v>
      </c>
      <c r="P217" s="19" t="n">
        <f aca="false">AVERAGE(N217,O217)</f>
        <v>0.5</v>
      </c>
      <c r="Q217" s="19" t="n">
        <f aca="false">IFERROR(VLOOKUP(B217,'6-week1'!B:F,5,0),0)</f>
        <v>0</v>
      </c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</row>
    <row r="218" customFormat="false" ht="18" hidden="false" customHeight="true" outlineLevel="0" collapsed="false">
      <c r="A218" s="18" t="s">
        <v>263</v>
      </c>
      <c r="B218" s="18" t="str">
        <f aca="false">TRIM(A218)</f>
        <v>دانیال سعادت منش</v>
      </c>
      <c r="C218" s="18" t="str">
        <f aca="false">VLOOKUP(B218,Company!B:E,3,0)</f>
        <v>البرز</v>
      </c>
      <c r="D218" s="18" t="str">
        <f aca="false">VLOOKUP(B218,Company!B:E,2,0)</f>
        <v>صبح</v>
      </c>
      <c r="E218" s="18" t="str">
        <f aca="false" t="array" ref="E218:E218">IFERROR(INDEX('Team Leads'!$B:$D, MATCH(C218,'Team Leads'!$A:$A,0), MATCH(D218,'Team Leads'!$B$1:$D$1,0)), "")</f>
        <v>فاطمه دهقانپور</v>
      </c>
      <c r="F218" s="18" t="n">
        <f aca="false">VLOOKUP(B218,'Operator Bugs'!A:P,16,0)</f>
        <v>0</v>
      </c>
      <c r="G218" s="18" t="n">
        <f aca="false">IFERROR(VLOOKUP(B218,'6-week1'!B:D,2,0),0)</f>
        <v>49</v>
      </c>
      <c r="H218" s="18" t="n">
        <f aca="false">IFERROR(VLOOKUP(B218,'6-week1'!B:D,3,0),"-")</f>
        <v>36</v>
      </c>
      <c r="I218" s="18" t="n">
        <f aca="false">IF(G218&gt;179,5,IF(G218&gt;149,4,IF(G218&gt;119,3,IF(G218&gt;89,2,IF(G218&gt;59,1,IF(G218&lt;=59,0))))))</f>
        <v>0</v>
      </c>
      <c r="J218" s="18" t="n">
        <f aca="false">IF(H218&gt;39,1,IF(H218&gt;32,2,IF(H218&gt;26,3,IF(H218&gt;20,4,IF(H218&lt;=20,5)))))</f>
        <v>2</v>
      </c>
      <c r="K218" s="15" t="n">
        <f aca="false">AVERAGE(I218:J218)</f>
        <v>1</v>
      </c>
      <c r="L218" s="19" t="n">
        <f aca="false">IFERROR(VLOOKUP(B218,'6-week2'!B:D,2,0),0)</f>
        <v>113</v>
      </c>
      <c r="M218" s="19" t="n">
        <f aca="false">IFERROR(VLOOKUP(B218,'6-week2'!B:D,3,0),0)</f>
        <v>42</v>
      </c>
      <c r="N218" s="19" t="n">
        <f aca="false">IF(L218&gt;179,5,IF(L218&gt;149,4,IF(L218&gt;119,3,IF(L218&gt;89,2,IF(L218&gt;59,1,IF(L218&lt;=59,0))))))</f>
        <v>2</v>
      </c>
      <c r="O218" s="19" t="n">
        <f aca="false">IF(M218&gt;39,1,IF(M218&gt;32,2,IF(M218&gt;26,3,IF(M218&gt;20,4,IF(M218&lt;=20,5)))))</f>
        <v>1</v>
      </c>
      <c r="P218" s="19" t="n">
        <f aca="false">AVERAGE(N218,O218)</f>
        <v>1.5</v>
      </c>
      <c r="Q218" s="19" t="n">
        <f aca="false">IFERROR(VLOOKUP(B218,'6-week1'!B:F,5,0),0)</f>
        <v>0</v>
      </c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</row>
    <row r="219" customFormat="false" ht="18" hidden="false" customHeight="true" outlineLevel="0" collapsed="false">
      <c r="A219" s="18" t="s">
        <v>264</v>
      </c>
      <c r="B219" s="18" t="str">
        <f aca="false">TRIM(A219)</f>
        <v>درسا ناصری</v>
      </c>
      <c r="C219" s="18" t="str">
        <f aca="false">VLOOKUP(B219,Company!B:E,3,0)</f>
        <v>رازی</v>
      </c>
      <c r="D219" s="18" t="str">
        <f aca="false">VLOOKUP(B219,Company!B:E,2,0)</f>
        <v>عصر</v>
      </c>
      <c r="E219" s="18" t="str">
        <f aca="false" t="array" ref="E219:E219">IFERROR(INDEX('Team Leads'!$B:$D, MATCH(C219,'Team Leads'!$A:$A,0), MATCH(D219,'Team Leads'!$B$1:$D$1,0)), "")</f>
        <v>امیررضا فلاح</v>
      </c>
      <c r="F219" s="18" t="n">
        <f aca="false">VLOOKUP(B219,'Operator Bugs'!A:P,16,0)</f>
        <v>0</v>
      </c>
      <c r="G219" s="18" t="n">
        <f aca="false">IFERROR(VLOOKUP(B219,'6-week1'!B:D,2,0),0)</f>
        <v>11</v>
      </c>
      <c r="H219" s="18" t="n">
        <f aca="false">IFERROR(VLOOKUP(B219,'6-week1'!B:D,3,0),"-")</f>
        <v>34</v>
      </c>
      <c r="I219" s="18" t="n">
        <f aca="false">IF(G219&gt;179,5,IF(G219&gt;149,4,IF(G219&gt;119,3,IF(G219&gt;89,2,IF(G219&gt;59,1,IF(G219&lt;=59,0))))))</f>
        <v>0</v>
      </c>
      <c r="J219" s="18" t="n">
        <f aca="false">IF(H219&gt;39,1,IF(H219&gt;32,2,IF(H219&gt;26,3,IF(H219&gt;20,4,IF(H219&lt;=20,5)))))</f>
        <v>2</v>
      </c>
      <c r="K219" s="15" t="n">
        <f aca="false">AVERAGE(I219:J219)</f>
        <v>1</v>
      </c>
      <c r="L219" s="19" t="n">
        <f aca="false">IFERROR(VLOOKUP(B219,'6-week2'!B:D,2,0),0)</f>
        <v>23</v>
      </c>
      <c r="M219" s="19" t="n">
        <f aca="false">IFERROR(VLOOKUP(B219,'6-week2'!B:D,3,0),0)</f>
        <v>26</v>
      </c>
      <c r="N219" s="19" t="n">
        <f aca="false">IF(L219&gt;179,5,IF(L219&gt;149,4,IF(L219&gt;119,3,IF(L219&gt;89,2,IF(L219&gt;59,1,IF(L219&lt;=59,0))))))</f>
        <v>0</v>
      </c>
      <c r="O219" s="19" t="n">
        <f aca="false">IF(M219&gt;39,1,IF(M219&gt;32,2,IF(M219&gt;26,3,IF(M219&gt;20,4,IF(M219&lt;=20,5)))))</f>
        <v>4</v>
      </c>
      <c r="P219" s="19" t="n">
        <f aca="false">AVERAGE(N219,O219)</f>
        <v>2</v>
      </c>
      <c r="Q219" s="19" t="n">
        <f aca="false">IFERROR(VLOOKUP(B219,'6-week1'!B:F,5,0),0)</f>
        <v>0</v>
      </c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</row>
    <row r="220" customFormat="false" ht="18" hidden="false" customHeight="true" outlineLevel="0" collapsed="false">
      <c r="A220" s="18" t="s">
        <v>265</v>
      </c>
      <c r="B220" s="18" t="str">
        <f aca="false">TRIM(A220)</f>
        <v>زهره خانزادی</v>
      </c>
      <c r="C220" s="18" t="str">
        <f aca="false">VLOOKUP(B220,Company!B:E,3,0)</f>
        <v>تعاون</v>
      </c>
      <c r="D220" s="18" t="str">
        <f aca="false">VLOOKUP(B220,Company!B:E,2,0)</f>
        <v>صبح</v>
      </c>
      <c r="E220" s="18" t="str">
        <f aca="false" t="array" ref="E220:E220">IFERROR(INDEX('Team Leads'!$B:$D, MATCH(C220,'Team Leads'!$A:$A,0), MATCH(D220,'Team Leads'!$B$1:$D$1,0)), "")</f>
        <v>مهدی فراهانی</v>
      </c>
      <c r="F220" s="18" t="n">
        <f aca="false">VLOOKUP(B220,'Operator Bugs'!A:P,16,0)</f>
        <v>0</v>
      </c>
      <c r="G220" s="18" t="n">
        <f aca="false">IFERROR(VLOOKUP(B220,'6-week1'!B:D,2,0),0)</f>
        <v>47</v>
      </c>
      <c r="H220" s="18" t="n">
        <f aca="false">IFERROR(VLOOKUP(B220,'6-week1'!B:D,3,0),"-")</f>
        <v>39</v>
      </c>
      <c r="I220" s="18" t="n">
        <f aca="false">IF(G220&gt;179,5,IF(G220&gt;149,4,IF(G220&gt;119,3,IF(G220&gt;89,2,IF(G220&gt;59,1,IF(G220&lt;=59,0))))))</f>
        <v>0</v>
      </c>
      <c r="J220" s="18" t="n">
        <f aca="false">IF(H220&gt;39,1,IF(H220&gt;32,2,IF(H220&gt;26,3,IF(H220&gt;20,4,IF(H220&lt;=20,5)))))</f>
        <v>2</v>
      </c>
      <c r="K220" s="15" t="n">
        <f aca="false">AVERAGE(I220:J220)</f>
        <v>1</v>
      </c>
      <c r="L220" s="19" t="n">
        <f aca="false">IFERROR(VLOOKUP(B220,'6-week2'!B:D,2,0),0)</f>
        <v>35</v>
      </c>
      <c r="M220" s="19" t="n">
        <f aca="false">IFERROR(VLOOKUP(B220,'6-week2'!B:D,3,0),0)</f>
        <v>37</v>
      </c>
      <c r="N220" s="19" t="n">
        <f aca="false">IF(L220&gt;179,5,IF(L220&gt;149,4,IF(L220&gt;119,3,IF(L220&gt;89,2,IF(L220&gt;59,1,IF(L220&lt;=59,0))))))</f>
        <v>0</v>
      </c>
      <c r="O220" s="19" t="n">
        <f aca="false">IF(M220&gt;39,1,IF(M220&gt;32,2,IF(M220&gt;26,3,IF(M220&gt;20,4,IF(M220&lt;=20,5)))))</f>
        <v>2</v>
      </c>
      <c r="P220" s="19" t="n">
        <f aca="false">AVERAGE(N220,O220)</f>
        <v>1</v>
      </c>
      <c r="Q220" s="19" t="n">
        <f aca="false">IFERROR(VLOOKUP(B220,'6-week1'!B:F,5,0),0)</f>
        <v>0</v>
      </c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</row>
    <row r="221" customFormat="false" ht="18" hidden="false" customHeight="true" outlineLevel="0" collapsed="false">
      <c r="A221" s="18" t="s">
        <v>266</v>
      </c>
      <c r="B221" s="18" t="str">
        <f aca="false">TRIM(A221)</f>
        <v>سپیده ابراهیم پور مقدم</v>
      </c>
      <c r="C221" s="18" t="str">
        <f aca="false">VLOOKUP(B221,Company!B:E,3,0)</f>
        <v>سینا</v>
      </c>
      <c r="D221" s="18" t="str">
        <f aca="false">VLOOKUP(B221,Company!B:E,2,0)</f>
        <v>عصر</v>
      </c>
      <c r="E221" s="18" t="str">
        <f aca="false" t="array" ref="E221:E221">IFERROR(INDEX('Team Leads'!$B:$D, MATCH(C221,'Team Leads'!$A:$A,0), MATCH(D221,'Team Leads'!$B$1:$D$1,0)), "")</f>
        <v>مهدی ایازی</v>
      </c>
      <c r="F221" s="18" t="n">
        <f aca="false">VLOOKUP(B221,'Operator Bugs'!A:P,16,0)</f>
        <v>0</v>
      </c>
      <c r="G221" s="18" t="n">
        <f aca="false">IFERROR(VLOOKUP(B221,'6-week1'!B:D,2,0),0)</f>
        <v>78</v>
      </c>
      <c r="H221" s="18" t="n">
        <f aca="false">IFERROR(VLOOKUP(B221,'6-week1'!B:D,3,0),"-")</f>
        <v>49</v>
      </c>
      <c r="I221" s="18" t="n">
        <f aca="false">IF(G221&gt;179,5,IF(G221&gt;149,4,IF(G221&gt;119,3,IF(G221&gt;89,2,IF(G221&gt;59,1,IF(G221&lt;=59,0))))))</f>
        <v>1</v>
      </c>
      <c r="J221" s="18" t="n">
        <f aca="false">IF(H221&gt;39,1,IF(H221&gt;32,2,IF(H221&gt;26,3,IF(H221&gt;20,4,IF(H221&lt;=20,5)))))</f>
        <v>1</v>
      </c>
      <c r="K221" s="15" t="n">
        <f aca="false">AVERAGE(I221:J221)</f>
        <v>1</v>
      </c>
      <c r="L221" s="19" t="n">
        <f aca="false">IFERROR(VLOOKUP(B221,'6-week2'!B:D,2,0),0)</f>
        <v>31</v>
      </c>
      <c r="M221" s="19" t="n">
        <f aca="false">IFERROR(VLOOKUP(B221,'6-week2'!B:D,3,0),0)</f>
        <v>47</v>
      </c>
      <c r="N221" s="19" t="n">
        <f aca="false">IF(L221&gt;179,5,IF(L221&gt;149,4,IF(L221&gt;119,3,IF(L221&gt;89,2,IF(L221&gt;59,1,IF(L221&lt;=59,0))))))</f>
        <v>0</v>
      </c>
      <c r="O221" s="19" t="n">
        <f aca="false">IF(M221&gt;39,1,IF(M221&gt;32,2,IF(M221&gt;26,3,IF(M221&gt;20,4,IF(M221&lt;=20,5)))))</f>
        <v>1</v>
      </c>
      <c r="P221" s="19" t="n">
        <f aca="false">AVERAGE(N221,O221)</f>
        <v>0.5</v>
      </c>
      <c r="Q221" s="19" t="n">
        <f aca="false">IFERROR(VLOOKUP(B221,'6-week1'!B:F,5,0),0)</f>
        <v>0</v>
      </c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</row>
    <row r="222" customFormat="false" ht="18" hidden="false" customHeight="true" outlineLevel="0" collapsed="false">
      <c r="A222" s="18" t="s">
        <v>267</v>
      </c>
      <c r="B222" s="18" t="str">
        <f aca="false">TRIM(A222)</f>
        <v>سعید اسلاملوئیان</v>
      </c>
      <c r="C222" s="18" t="str">
        <f aca="false">VLOOKUP(B222,Company!B:E,3,0)</f>
        <v>تعاون</v>
      </c>
      <c r="D222" s="18" t="str">
        <f aca="false">VLOOKUP(B222,Company!B:E,2,0)</f>
        <v>صبح</v>
      </c>
      <c r="E222" s="18" t="str">
        <f aca="false" t="array" ref="E222:E222">IFERROR(INDEX('Team Leads'!$B:$D, MATCH(C222,'Team Leads'!$A:$A,0), MATCH(D222,'Team Leads'!$B$1:$D$1,0)), "")</f>
        <v>مهدی فراهانی</v>
      </c>
      <c r="F222" s="18" t="n">
        <f aca="false">VLOOKUP(B222,'Operator Bugs'!A:P,16,0)</f>
        <v>0</v>
      </c>
      <c r="G222" s="18" t="n">
        <f aca="false">IFERROR(VLOOKUP(B222,'6-week1'!B:D,2,0),0)</f>
        <v>18</v>
      </c>
      <c r="H222" s="18" t="n">
        <f aca="false">IFERROR(VLOOKUP(B222,'6-week1'!B:D,3,0),"-")</f>
        <v>39</v>
      </c>
      <c r="I222" s="18" t="n">
        <f aca="false">IF(G222&gt;179,5,IF(G222&gt;149,4,IF(G222&gt;119,3,IF(G222&gt;89,2,IF(G222&gt;59,1,IF(G222&lt;=59,0))))))</f>
        <v>0</v>
      </c>
      <c r="J222" s="18" t="n">
        <f aca="false">IF(H222&gt;39,1,IF(H222&gt;32,2,IF(H222&gt;26,3,IF(H222&gt;20,4,IF(H222&lt;=20,5)))))</f>
        <v>2</v>
      </c>
      <c r="K222" s="15" t="n">
        <f aca="false">AVERAGE(I222:J222)</f>
        <v>1</v>
      </c>
      <c r="L222" s="19" t="n">
        <f aca="false">IFERROR(VLOOKUP(B222,'6-week2'!B:D,2,0),0)</f>
        <v>22</v>
      </c>
      <c r="M222" s="19" t="n">
        <f aca="false">IFERROR(VLOOKUP(B222,'6-week2'!B:D,3,0),0)</f>
        <v>53</v>
      </c>
      <c r="N222" s="19" t="n">
        <f aca="false">IF(L222&gt;179,5,IF(L222&gt;149,4,IF(L222&gt;119,3,IF(L222&gt;89,2,IF(L222&gt;59,1,IF(L222&lt;=59,0))))))</f>
        <v>0</v>
      </c>
      <c r="O222" s="19" t="n">
        <f aca="false">IF(M222&gt;39,1,IF(M222&gt;32,2,IF(M222&gt;26,3,IF(M222&gt;20,4,IF(M222&lt;=20,5)))))</f>
        <v>1</v>
      </c>
      <c r="P222" s="19" t="n">
        <f aca="false">AVERAGE(N222,O222)</f>
        <v>0.5</v>
      </c>
      <c r="Q222" s="19" t="n">
        <f aca="false">IFERROR(VLOOKUP(B222,'6-week1'!B:F,5,0),0)</f>
        <v>0</v>
      </c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</row>
    <row r="223" customFormat="false" ht="18" hidden="false" customHeight="true" outlineLevel="0" collapsed="false">
      <c r="A223" s="18" t="s">
        <v>268</v>
      </c>
      <c r="B223" s="18" t="str">
        <f aca="false">TRIM(A223)</f>
        <v>سکینه کوپاهی</v>
      </c>
      <c r="C223" s="18" t="str">
        <f aca="false">VLOOKUP(B223,Company!B:E,3,0)</f>
        <v>هوشمند فردا</v>
      </c>
      <c r="D223" s="18" t="str">
        <f aca="false">VLOOKUP(B223,Company!B:E,2,0)</f>
        <v>صبح</v>
      </c>
      <c r="E223" s="18" t="str">
        <f aca="false" t="array" ref="E223:E223">IFERROR(INDEX('Team Leads'!$B:$D, MATCH(C223,'Team Leads'!$A:$A,0), MATCH(D223,'Team Leads'!$B$1:$D$1,0)), "")</f>
        <v>فاطمه دهقانپور</v>
      </c>
      <c r="F223" s="18" t="n">
        <f aca="false">VLOOKUP(B223,'Operator Bugs'!A:P,16,0)</f>
        <v>0</v>
      </c>
      <c r="G223" s="18" t="n">
        <f aca="false">IFERROR(VLOOKUP(B223,'6-week1'!B:D,2,0),0)</f>
        <v>29</v>
      </c>
      <c r="H223" s="18" t="n">
        <f aca="false">IFERROR(VLOOKUP(B223,'6-week1'!B:D,3,0),"-")</f>
        <v>38</v>
      </c>
      <c r="I223" s="18" t="n">
        <f aca="false">IF(G223&gt;179,5,IF(G223&gt;149,4,IF(G223&gt;119,3,IF(G223&gt;89,2,IF(G223&gt;59,1,IF(G223&lt;=59,0))))))</f>
        <v>0</v>
      </c>
      <c r="J223" s="18" t="n">
        <f aca="false">IF(H223&gt;39,1,IF(H223&gt;32,2,IF(H223&gt;26,3,IF(H223&gt;20,4,IF(H223&lt;=20,5)))))</f>
        <v>2</v>
      </c>
      <c r="K223" s="15" t="n">
        <f aca="false">AVERAGE(I223:J223)</f>
        <v>1</v>
      </c>
      <c r="L223" s="19" t="n">
        <f aca="false">IFERROR(VLOOKUP(B223,'6-week2'!B:D,2,0),0)</f>
        <v>62</v>
      </c>
      <c r="M223" s="19" t="n">
        <f aca="false">IFERROR(VLOOKUP(B223,'6-week2'!B:D,3,0),0)</f>
        <v>47</v>
      </c>
      <c r="N223" s="19" t="n">
        <f aca="false">IF(L223&gt;179,5,IF(L223&gt;149,4,IF(L223&gt;119,3,IF(L223&gt;89,2,IF(L223&gt;59,1,IF(L223&lt;=59,0))))))</f>
        <v>1</v>
      </c>
      <c r="O223" s="19" t="n">
        <f aca="false">IF(M223&gt;39,1,IF(M223&gt;32,2,IF(M223&gt;26,3,IF(M223&gt;20,4,IF(M223&lt;=20,5)))))</f>
        <v>1</v>
      </c>
      <c r="P223" s="19" t="n">
        <f aca="false">AVERAGE(N223,O223)</f>
        <v>1</v>
      </c>
      <c r="Q223" s="19" t="n">
        <f aca="false">IFERROR(VLOOKUP(B223,'6-week1'!B:F,5,0),0)</f>
        <v>0</v>
      </c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</row>
    <row r="224" customFormat="false" ht="18" hidden="false" customHeight="true" outlineLevel="0" collapsed="false">
      <c r="A224" s="18" t="s">
        <v>269</v>
      </c>
      <c r="B224" s="18" t="str">
        <f aca="false">TRIM(A224)</f>
        <v>سمانه بروغنی</v>
      </c>
      <c r="C224" s="18" t="str">
        <f aca="false">VLOOKUP(B224,Company!B:E,3,0)</f>
        <v>سینا</v>
      </c>
      <c r="D224" s="18" t="str">
        <f aca="false">VLOOKUP(B224,Company!B:E,2,0)</f>
        <v>عصر</v>
      </c>
      <c r="E224" s="18" t="str">
        <f aca="false" t="array" ref="E224:E224">IFERROR(INDEX('Team Leads'!$B:$D, MATCH(C224,'Team Leads'!$A:$A,0), MATCH(D224,'Team Leads'!$B$1:$D$1,0)), "")</f>
        <v>مهدی ایازی</v>
      </c>
      <c r="F224" s="18" t="n">
        <f aca="false">VLOOKUP(B224,'Operator Bugs'!A:P,16,0)</f>
        <v>0</v>
      </c>
      <c r="G224" s="18" t="n">
        <f aca="false">IFERROR(VLOOKUP(B224,'6-week1'!B:D,2,0),0)</f>
        <v>69</v>
      </c>
      <c r="H224" s="18" t="n">
        <f aca="false">IFERROR(VLOOKUP(B224,'6-week1'!B:D,3,0),"-")</f>
        <v>41</v>
      </c>
      <c r="I224" s="18" t="n">
        <f aca="false">IF(G224&gt;179,5,IF(G224&gt;149,4,IF(G224&gt;119,3,IF(G224&gt;89,2,IF(G224&gt;59,1,IF(G224&lt;=59,0))))))</f>
        <v>1</v>
      </c>
      <c r="J224" s="18" t="n">
        <f aca="false">IF(H224&gt;39,1,IF(H224&gt;32,2,IF(H224&gt;26,3,IF(H224&gt;20,4,IF(H224&lt;=20,5)))))</f>
        <v>1</v>
      </c>
      <c r="K224" s="15" t="n">
        <f aca="false">AVERAGE(I224:J224)</f>
        <v>1</v>
      </c>
      <c r="L224" s="19" t="n">
        <f aca="false">IFERROR(VLOOKUP(B224,'6-week2'!B:D,2,0),0)</f>
        <v>67</v>
      </c>
      <c r="M224" s="19" t="n">
        <f aca="false">IFERROR(VLOOKUP(B224,'6-week2'!B:D,3,0),0)</f>
        <v>42</v>
      </c>
      <c r="N224" s="19" t="n">
        <f aca="false">IF(L224&gt;179,5,IF(L224&gt;149,4,IF(L224&gt;119,3,IF(L224&gt;89,2,IF(L224&gt;59,1,IF(L224&lt;=59,0))))))</f>
        <v>1</v>
      </c>
      <c r="O224" s="19" t="n">
        <f aca="false">IF(M224&gt;39,1,IF(M224&gt;32,2,IF(M224&gt;26,3,IF(M224&gt;20,4,IF(M224&lt;=20,5)))))</f>
        <v>1</v>
      </c>
      <c r="P224" s="19" t="n">
        <f aca="false">AVERAGE(N224,O224)</f>
        <v>1</v>
      </c>
      <c r="Q224" s="19" t="n">
        <f aca="false">IFERROR(VLOOKUP(B224,'6-week1'!B:F,5,0),0)</f>
        <v>0</v>
      </c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</row>
    <row r="225" customFormat="false" ht="18" hidden="false" customHeight="true" outlineLevel="0" collapsed="false">
      <c r="A225" s="18" t="s">
        <v>270</v>
      </c>
      <c r="B225" s="18" t="str">
        <f aca="false">TRIM(A225)</f>
        <v>سهیلا ناکینی</v>
      </c>
      <c r="C225" s="18" t="str">
        <f aca="false">VLOOKUP(B225,Company!B:E,3,0)</f>
        <v>رازی</v>
      </c>
      <c r="D225" s="18" t="str">
        <f aca="false">VLOOKUP(B225,Company!B:E,2,0)</f>
        <v>عصر</v>
      </c>
      <c r="E225" s="18" t="str">
        <f aca="false" t="array" ref="E225:E225">IFERROR(INDEX('Team Leads'!$B:$D, MATCH(C225,'Team Leads'!$A:$A,0), MATCH(D225,'Team Leads'!$B$1:$D$1,0)), "")</f>
        <v>امیررضا فلاح</v>
      </c>
      <c r="F225" s="18" t="n">
        <f aca="false">VLOOKUP(B225,'Operator Bugs'!A:P,16,0)</f>
        <v>0</v>
      </c>
      <c r="G225" s="18" t="n">
        <f aca="false">IFERROR(VLOOKUP(B225,'6-week1'!B:D,2,0),0)</f>
        <v>66</v>
      </c>
      <c r="H225" s="18" t="n">
        <f aca="false">IFERROR(VLOOKUP(B225,'6-week1'!B:D,3,0),"-")</f>
        <v>40</v>
      </c>
      <c r="I225" s="18" t="n">
        <f aca="false">IF(G225&gt;179,5,IF(G225&gt;149,4,IF(G225&gt;119,3,IF(G225&gt;89,2,IF(G225&gt;59,1,IF(G225&lt;=59,0))))))</f>
        <v>1</v>
      </c>
      <c r="J225" s="18" t="n">
        <f aca="false">IF(H225&gt;39,1,IF(H225&gt;32,2,IF(H225&gt;26,3,IF(H225&gt;20,4,IF(H225&lt;=20,5)))))</f>
        <v>1</v>
      </c>
      <c r="K225" s="15" t="n">
        <f aca="false">AVERAGE(I225:J225)</f>
        <v>1</v>
      </c>
      <c r="L225" s="19" t="n">
        <f aca="false">IFERROR(VLOOKUP(B225,'6-week2'!B:D,2,0),0)</f>
        <v>67</v>
      </c>
      <c r="M225" s="19" t="n">
        <f aca="false">IFERROR(VLOOKUP(B225,'6-week2'!B:D,3,0),0)</f>
        <v>30</v>
      </c>
      <c r="N225" s="19" t="n">
        <f aca="false">IF(L225&gt;179,5,IF(L225&gt;149,4,IF(L225&gt;119,3,IF(L225&gt;89,2,IF(L225&gt;59,1,IF(L225&lt;=59,0))))))</f>
        <v>1</v>
      </c>
      <c r="O225" s="19" t="n">
        <f aca="false">IF(M225&gt;39,1,IF(M225&gt;32,2,IF(M225&gt;26,3,IF(M225&gt;20,4,IF(M225&lt;=20,5)))))</f>
        <v>3</v>
      </c>
      <c r="P225" s="19" t="n">
        <f aca="false">AVERAGE(N225,O225)</f>
        <v>2</v>
      </c>
      <c r="Q225" s="19" t="n">
        <f aca="false">IFERROR(VLOOKUP(B225,'6-week1'!B:F,5,0),0)</f>
        <v>0</v>
      </c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</row>
    <row r="226" customFormat="false" ht="18" hidden="false" customHeight="true" outlineLevel="0" collapsed="false">
      <c r="A226" s="18" t="s">
        <v>271</v>
      </c>
      <c r="B226" s="18" t="str">
        <f aca="false">TRIM(A226)</f>
        <v>سید مهدی موسوی سوها</v>
      </c>
      <c r="C226" s="18" t="str">
        <f aca="false">VLOOKUP(B226,Company!B:E,3,0)</f>
        <v>هوشمند فردا</v>
      </c>
      <c r="D226" s="18" t="str">
        <f aca="false">VLOOKUP(B226,Company!B:E,2,0)</f>
        <v>عصر</v>
      </c>
      <c r="E226" s="18" t="str">
        <f aca="false" t="array" ref="E226:E226">IFERROR(INDEX('Team Leads'!$B:$D, MATCH(C226,'Team Leads'!$A:$A,0), MATCH(D226,'Team Leads'!$B$1:$D$1,0)), "")</f>
        <v>مهدی ایازی</v>
      </c>
      <c r="F226" s="18" t="n">
        <f aca="false">VLOOKUP(B226,'Operator Bugs'!A:P,16,0)</f>
        <v>0</v>
      </c>
      <c r="G226" s="18" t="n">
        <f aca="false">IFERROR(VLOOKUP(B226,'6-week1'!B:D,2,0),0)</f>
        <v>15</v>
      </c>
      <c r="H226" s="18" t="n">
        <f aca="false">IFERROR(VLOOKUP(B226,'6-week1'!B:D,3,0),"-")</f>
        <v>39</v>
      </c>
      <c r="I226" s="18" t="n">
        <f aca="false">IF(G226&gt;179,5,IF(G226&gt;149,4,IF(G226&gt;119,3,IF(G226&gt;89,2,IF(G226&gt;59,1,IF(G226&lt;=59,0))))))</f>
        <v>0</v>
      </c>
      <c r="J226" s="18" t="n">
        <f aca="false">IF(H226&gt;39,1,IF(H226&gt;32,2,IF(H226&gt;26,3,IF(H226&gt;20,4,IF(H226&lt;=20,5)))))</f>
        <v>2</v>
      </c>
      <c r="K226" s="15" t="n">
        <f aca="false">AVERAGE(I226:J226)</f>
        <v>1</v>
      </c>
      <c r="L226" s="19" t="n">
        <f aca="false">IFERROR(VLOOKUP(B226,'6-week2'!B:D,2,0),0)</f>
        <v>45</v>
      </c>
      <c r="M226" s="19" t="n">
        <f aca="false">IFERROR(VLOOKUP(B226,'6-week2'!B:D,3,0),0)</f>
        <v>34</v>
      </c>
      <c r="N226" s="19" t="n">
        <f aca="false">IF(L226&gt;179,5,IF(L226&gt;149,4,IF(L226&gt;119,3,IF(L226&gt;89,2,IF(L226&gt;59,1,IF(L226&lt;=59,0))))))</f>
        <v>0</v>
      </c>
      <c r="O226" s="19" t="n">
        <f aca="false">IF(M226&gt;39,1,IF(M226&gt;32,2,IF(M226&gt;26,3,IF(M226&gt;20,4,IF(M226&lt;=20,5)))))</f>
        <v>2</v>
      </c>
      <c r="P226" s="19" t="n">
        <f aca="false">AVERAGE(N226,O226)</f>
        <v>1</v>
      </c>
      <c r="Q226" s="19" t="n">
        <f aca="false">IFERROR(VLOOKUP(B226,'6-week1'!B:F,5,0),0)</f>
        <v>0</v>
      </c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</row>
    <row r="227" customFormat="false" ht="18" hidden="false" customHeight="true" outlineLevel="0" collapsed="false">
      <c r="A227" s="18" t="s">
        <v>272</v>
      </c>
      <c r="B227" s="18" t="str">
        <f aca="false">TRIM(A227)</f>
        <v>سینا گودرزی</v>
      </c>
      <c r="C227" s="18" t="str">
        <f aca="false">VLOOKUP(B227,Company!B:E,3,0)</f>
        <v>سینا</v>
      </c>
      <c r="D227" s="18" t="str">
        <f aca="false">VLOOKUP(B227,Company!B:E,2,0)</f>
        <v>عصر</v>
      </c>
      <c r="E227" s="18" t="str">
        <f aca="false" t="array" ref="E227:E227">IFERROR(INDEX('Team Leads'!$B:$D, MATCH(C227,'Team Leads'!$A:$A,0), MATCH(D227,'Team Leads'!$B$1:$D$1,0)), "")</f>
        <v>مهدی ایازی</v>
      </c>
      <c r="F227" s="18" t="n">
        <f aca="false">VLOOKUP(B227,'Operator Bugs'!A:P,16,0)</f>
        <v>0</v>
      </c>
      <c r="G227" s="18" t="n">
        <f aca="false">IFERROR(VLOOKUP(B227,'6-week1'!B:D,2,0),0)</f>
        <v>88</v>
      </c>
      <c r="H227" s="18" t="n">
        <f aca="false">IFERROR(VLOOKUP(B227,'6-week1'!B:D,3,0),"-")</f>
        <v>67</v>
      </c>
      <c r="I227" s="18" t="n">
        <f aca="false">IF(G227&gt;179,5,IF(G227&gt;149,4,IF(G227&gt;119,3,IF(G227&gt;89,2,IF(G227&gt;59,1,IF(G227&lt;=59,0))))))</f>
        <v>1</v>
      </c>
      <c r="J227" s="18" t="n">
        <f aca="false">IF(H227&gt;39,1,IF(H227&gt;32,2,IF(H227&gt;26,3,IF(H227&gt;20,4,IF(H227&lt;=20,5)))))</f>
        <v>1</v>
      </c>
      <c r="K227" s="15" t="n">
        <f aca="false">AVERAGE(I227:J227)</f>
        <v>1</v>
      </c>
      <c r="L227" s="19" t="n">
        <f aca="false">IFERROR(VLOOKUP(B227,'6-week2'!B:D,2,0),0)</f>
        <v>104</v>
      </c>
      <c r="M227" s="19" t="n">
        <f aca="false">IFERROR(VLOOKUP(B227,'6-week2'!B:D,3,0),0)</f>
        <v>71</v>
      </c>
      <c r="N227" s="19" t="n">
        <f aca="false">IF(L227&gt;179,5,IF(L227&gt;149,4,IF(L227&gt;119,3,IF(L227&gt;89,2,IF(L227&gt;59,1,IF(L227&lt;=59,0))))))</f>
        <v>2</v>
      </c>
      <c r="O227" s="19" t="n">
        <f aca="false">IF(M227&gt;39,1,IF(M227&gt;32,2,IF(M227&gt;26,3,IF(M227&gt;20,4,IF(M227&lt;=20,5)))))</f>
        <v>1</v>
      </c>
      <c r="P227" s="19" t="n">
        <f aca="false">AVERAGE(N227,O227)</f>
        <v>1.5</v>
      </c>
      <c r="Q227" s="19" t="n">
        <f aca="false">IFERROR(VLOOKUP(B227,'6-week1'!B:F,5,0),0)</f>
        <v>0</v>
      </c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</row>
    <row r="228" customFormat="false" ht="18" hidden="false" customHeight="true" outlineLevel="0" collapsed="false">
      <c r="A228" s="18" t="s">
        <v>273</v>
      </c>
      <c r="B228" s="18" t="str">
        <f aca="false">TRIM(A228)</f>
        <v>شقایق طهماسبی</v>
      </c>
      <c r="C228" s="18" t="str">
        <f aca="false">VLOOKUP(B228,Company!B:E,3,0)</f>
        <v>سینا</v>
      </c>
      <c r="D228" s="18" t="str">
        <f aca="false">VLOOKUP(B228,Company!B:E,2,0)</f>
        <v>صبح</v>
      </c>
      <c r="E228" s="18" t="str">
        <f aca="false" t="array" ref="E228:E228">IFERROR(INDEX('Team Leads'!$B:$D, MATCH(C228,'Team Leads'!$A:$A,0), MATCH(D228,'Team Leads'!$B$1:$D$1,0)), "")</f>
        <v>فاطمه دهقانپور</v>
      </c>
      <c r="F228" s="18" t="n">
        <f aca="false">VLOOKUP(B228,'Operator Bugs'!A:P,16,0)</f>
        <v>0</v>
      </c>
      <c r="G228" s="18" t="n">
        <f aca="false">IFERROR(VLOOKUP(B228,'6-week1'!B:D,2,0),0)</f>
        <v>73</v>
      </c>
      <c r="H228" s="18" t="n">
        <f aca="false">IFERROR(VLOOKUP(B228,'6-week1'!B:D,3,0),"-")</f>
        <v>40</v>
      </c>
      <c r="I228" s="18" t="n">
        <f aca="false">IF(G228&gt;179,5,IF(G228&gt;149,4,IF(G228&gt;119,3,IF(G228&gt;89,2,IF(G228&gt;59,1,IF(G228&lt;=59,0))))))</f>
        <v>1</v>
      </c>
      <c r="J228" s="18" t="n">
        <f aca="false">IF(H228&gt;39,1,IF(H228&gt;32,2,IF(H228&gt;26,3,IF(H228&gt;20,4,IF(H228&lt;=20,5)))))</f>
        <v>1</v>
      </c>
      <c r="K228" s="15" t="n">
        <f aca="false">AVERAGE(I228:J228)</f>
        <v>1</v>
      </c>
      <c r="L228" s="19" t="n">
        <f aca="false">IFERROR(VLOOKUP(B228,'6-week2'!B:D,2,0),0)</f>
        <v>46</v>
      </c>
      <c r="M228" s="19" t="n">
        <f aca="false">IFERROR(VLOOKUP(B228,'6-week2'!B:D,3,0),0)</f>
        <v>39</v>
      </c>
      <c r="N228" s="19" t="n">
        <f aca="false">IF(L228&gt;179,5,IF(L228&gt;149,4,IF(L228&gt;119,3,IF(L228&gt;89,2,IF(L228&gt;59,1,IF(L228&lt;=59,0))))))</f>
        <v>0</v>
      </c>
      <c r="O228" s="19" t="n">
        <f aca="false">IF(M228&gt;39,1,IF(M228&gt;32,2,IF(M228&gt;26,3,IF(M228&gt;20,4,IF(M228&lt;=20,5)))))</f>
        <v>2</v>
      </c>
      <c r="P228" s="19" t="n">
        <f aca="false">AVERAGE(N228,O228)</f>
        <v>1</v>
      </c>
      <c r="Q228" s="19" t="n">
        <f aca="false">IFERROR(VLOOKUP(B228,'6-week1'!B:F,5,0),0)</f>
        <v>0</v>
      </c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</row>
    <row r="229" customFormat="false" ht="18" hidden="false" customHeight="true" outlineLevel="0" collapsed="false">
      <c r="A229" s="18" t="s">
        <v>274</v>
      </c>
      <c r="B229" s="18" t="str">
        <f aca="false">TRIM(A229)</f>
        <v>شیما ساعدی</v>
      </c>
      <c r="C229" s="18" t="str">
        <f aca="false">VLOOKUP(B229,Company!B:E,3,0)</f>
        <v>رازی</v>
      </c>
      <c r="D229" s="18" t="str">
        <f aca="false">VLOOKUP(B229,Company!B:E,2,0)</f>
        <v>صبح</v>
      </c>
      <c r="E229" s="18" t="str">
        <f aca="false" t="array" ref="E229:E229">IFERROR(INDEX('Team Leads'!$B:$D, MATCH(C229,'Team Leads'!$A:$A,0), MATCH(D229,'Team Leads'!$B$1:$D$1,0)), "")</f>
        <v>آتنا مالمیر</v>
      </c>
      <c r="F229" s="18" t="n">
        <f aca="false">VLOOKUP(B229,'Operator Bugs'!A:P,16,0)</f>
        <v>0</v>
      </c>
      <c r="G229" s="18" t="n">
        <f aca="false">IFERROR(VLOOKUP(B229,'6-week1'!B:D,2,0),0)</f>
        <v>51</v>
      </c>
      <c r="H229" s="18" t="n">
        <f aca="false">IFERROR(VLOOKUP(B229,'6-week1'!B:D,3,0),"-")</f>
        <v>39</v>
      </c>
      <c r="I229" s="18" t="n">
        <f aca="false">IF(G229&gt;179,5,IF(G229&gt;149,4,IF(G229&gt;119,3,IF(G229&gt;89,2,IF(G229&gt;59,1,IF(G229&lt;=59,0))))))</f>
        <v>0</v>
      </c>
      <c r="J229" s="18" t="n">
        <f aca="false">IF(H229&gt;39,1,IF(H229&gt;32,2,IF(H229&gt;26,3,IF(H229&gt;20,4,IF(H229&lt;=20,5)))))</f>
        <v>2</v>
      </c>
      <c r="K229" s="15" t="n">
        <f aca="false">AVERAGE(I229:J229)</f>
        <v>1</v>
      </c>
      <c r="L229" s="19" t="n">
        <f aca="false">IFERROR(VLOOKUP(B229,'6-week2'!B:D,2,0),0)</f>
        <v>35</v>
      </c>
      <c r="M229" s="19" t="n">
        <f aca="false">IFERROR(VLOOKUP(B229,'6-week2'!B:D,3,0),0)</f>
        <v>48</v>
      </c>
      <c r="N229" s="19" t="n">
        <f aca="false">IF(L229&gt;179,5,IF(L229&gt;149,4,IF(L229&gt;119,3,IF(L229&gt;89,2,IF(L229&gt;59,1,IF(L229&lt;=59,0))))))</f>
        <v>0</v>
      </c>
      <c r="O229" s="19" t="n">
        <f aca="false">IF(M229&gt;39,1,IF(M229&gt;32,2,IF(M229&gt;26,3,IF(M229&gt;20,4,IF(M229&lt;=20,5)))))</f>
        <v>1</v>
      </c>
      <c r="P229" s="19" t="n">
        <f aca="false">AVERAGE(N229,O229)</f>
        <v>0.5</v>
      </c>
      <c r="Q229" s="19" t="n">
        <f aca="false">IFERROR(VLOOKUP(B229,'6-week1'!B:F,5,0),0)</f>
        <v>0</v>
      </c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</row>
    <row r="230" customFormat="false" ht="18" hidden="false" customHeight="true" outlineLevel="0" collapsed="false">
      <c r="A230" s="18" t="s">
        <v>275</v>
      </c>
      <c r="B230" s="18" t="str">
        <f aca="false">TRIM(A230)</f>
        <v>فاطمه امان آبادی</v>
      </c>
      <c r="C230" s="18" t="str">
        <f aca="false">VLOOKUP(B230,Company!B:E,3,0)</f>
        <v>سینا</v>
      </c>
      <c r="D230" s="18" t="str">
        <f aca="false">VLOOKUP(B230,Company!B:E,2,0)</f>
        <v>صبح</v>
      </c>
      <c r="E230" s="18" t="str">
        <f aca="false" t="array" ref="E230:E230">IFERROR(INDEX('Team Leads'!$B:$D, MATCH(C230,'Team Leads'!$A:$A,0), MATCH(D230,'Team Leads'!$B$1:$D$1,0)), "")</f>
        <v>فاطمه دهقانپور</v>
      </c>
      <c r="F230" s="18" t="n">
        <f aca="false">VLOOKUP(B230,'Operator Bugs'!A:P,16,0)</f>
        <v>0</v>
      </c>
      <c r="G230" s="18" t="n">
        <f aca="false">IFERROR(VLOOKUP(B230,'6-week1'!B:D,2,0),0)</f>
        <v>87</v>
      </c>
      <c r="H230" s="18" t="n">
        <f aca="false">IFERROR(VLOOKUP(B230,'6-week1'!B:D,3,0),"-")</f>
        <v>66</v>
      </c>
      <c r="I230" s="18" t="n">
        <f aca="false">IF(G230&gt;179,5,IF(G230&gt;149,4,IF(G230&gt;119,3,IF(G230&gt;89,2,IF(G230&gt;59,1,IF(G230&lt;=59,0))))))</f>
        <v>1</v>
      </c>
      <c r="J230" s="18" t="n">
        <f aca="false">IF(H230&gt;39,1,IF(H230&gt;32,2,IF(H230&gt;26,3,IF(H230&gt;20,4,IF(H230&lt;=20,5)))))</f>
        <v>1</v>
      </c>
      <c r="K230" s="15" t="n">
        <f aca="false">AVERAGE(I230:J230)</f>
        <v>1</v>
      </c>
      <c r="L230" s="19" t="n">
        <f aca="false">IFERROR(VLOOKUP(B230,'6-week2'!B:D,2,0),0)</f>
        <v>91</v>
      </c>
      <c r="M230" s="19" t="n">
        <f aca="false">IFERROR(VLOOKUP(B230,'6-week2'!B:D,3,0),0)</f>
        <v>41</v>
      </c>
      <c r="N230" s="19" t="n">
        <f aca="false">IF(L230&gt;179,5,IF(L230&gt;149,4,IF(L230&gt;119,3,IF(L230&gt;89,2,IF(L230&gt;59,1,IF(L230&lt;=59,0))))))</f>
        <v>2</v>
      </c>
      <c r="O230" s="19" t="n">
        <f aca="false">IF(M230&gt;39,1,IF(M230&gt;32,2,IF(M230&gt;26,3,IF(M230&gt;20,4,IF(M230&lt;=20,5)))))</f>
        <v>1</v>
      </c>
      <c r="P230" s="19" t="n">
        <f aca="false">AVERAGE(N230,O230)</f>
        <v>1.5</v>
      </c>
      <c r="Q230" s="19" t="n">
        <f aca="false">IFERROR(VLOOKUP(B230,'6-week1'!B:F,5,0),0)</f>
        <v>0</v>
      </c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</row>
    <row r="231" customFormat="false" ht="18" hidden="false" customHeight="true" outlineLevel="0" collapsed="false">
      <c r="A231" s="18" t="s">
        <v>276</v>
      </c>
      <c r="B231" s="18" t="str">
        <f aca="false">TRIM(A231)</f>
        <v>لیلا یگانه</v>
      </c>
      <c r="C231" s="18" t="str">
        <f aca="false">VLOOKUP(B231,Company!B:E,3,0)</f>
        <v>هوشمند فردا</v>
      </c>
      <c r="D231" s="18" t="str">
        <f aca="false">VLOOKUP(B231,Company!B:E,2,0)</f>
        <v>صبح</v>
      </c>
      <c r="E231" s="18" t="str">
        <f aca="false" t="array" ref="E231:E231">IFERROR(INDEX('Team Leads'!$B:$D, MATCH(C231,'Team Leads'!$A:$A,0), MATCH(D231,'Team Leads'!$B$1:$D$1,0)), "")</f>
        <v>فاطمه دهقانپور</v>
      </c>
      <c r="F231" s="18" t="n">
        <f aca="false">VLOOKUP(B231,'Operator Bugs'!A:P,16,0)</f>
        <v>0</v>
      </c>
      <c r="G231" s="18" t="n">
        <f aca="false">IFERROR(VLOOKUP(B231,'6-week1'!B:D,2,0),0)</f>
        <v>57</v>
      </c>
      <c r="H231" s="18" t="n">
        <f aca="false">IFERROR(VLOOKUP(B231,'6-week1'!B:D,3,0),"-")</f>
        <v>35</v>
      </c>
      <c r="I231" s="18" t="n">
        <f aca="false">IF(G231&gt;179,5,IF(G231&gt;149,4,IF(G231&gt;119,3,IF(G231&gt;89,2,IF(G231&gt;59,1,IF(G231&lt;=59,0))))))</f>
        <v>0</v>
      </c>
      <c r="J231" s="18" t="n">
        <f aca="false">IF(H231&gt;39,1,IF(H231&gt;32,2,IF(H231&gt;26,3,IF(H231&gt;20,4,IF(H231&lt;=20,5)))))</f>
        <v>2</v>
      </c>
      <c r="K231" s="15" t="n">
        <f aca="false">AVERAGE(I231:J231)</f>
        <v>1</v>
      </c>
      <c r="L231" s="19" t="n">
        <f aca="false">IFERROR(VLOOKUP(B231,'6-week2'!B:D,2,0),0)</f>
        <v>73</v>
      </c>
      <c r="M231" s="19" t="n">
        <f aca="false">IFERROR(VLOOKUP(B231,'6-week2'!B:D,3,0),0)</f>
        <v>29</v>
      </c>
      <c r="N231" s="19" t="n">
        <f aca="false">IF(L231&gt;179,5,IF(L231&gt;149,4,IF(L231&gt;119,3,IF(L231&gt;89,2,IF(L231&gt;59,1,IF(L231&lt;=59,0))))))</f>
        <v>1</v>
      </c>
      <c r="O231" s="19" t="n">
        <f aca="false">IF(M231&gt;39,1,IF(M231&gt;32,2,IF(M231&gt;26,3,IF(M231&gt;20,4,IF(M231&lt;=20,5)))))</f>
        <v>3</v>
      </c>
      <c r="P231" s="19" t="n">
        <f aca="false">AVERAGE(N231,O231)</f>
        <v>2</v>
      </c>
      <c r="Q231" s="19" t="n">
        <f aca="false">IFERROR(VLOOKUP(B231,'6-week1'!B:F,5,0),0)</f>
        <v>0</v>
      </c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</row>
    <row r="232" customFormat="false" ht="18" hidden="false" customHeight="true" outlineLevel="0" collapsed="false">
      <c r="A232" s="18" t="s">
        <v>277</v>
      </c>
      <c r="B232" s="18" t="str">
        <f aca="false">TRIM(A232)</f>
        <v>محمد علی عظیمی</v>
      </c>
      <c r="C232" s="18" t="str">
        <f aca="false">VLOOKUP(B232,Company!B:E,3,0)</f>
        <v>رازی</v>
      </c>
      <c r="D232" s="18" t="str">
        <f aca="false">VLOOKUP(B232,Company!B:E,2,0)</f>
        <v>عصر</v>
      </c>
      <c r="E232" s="18" t="str">
        <f aca="false" t="array" ref="E232:E232">IFERROR(INDEX('Team Leads'!$B:$D, MATCH(C232,'Team Leads'!$A:$A,0), MATCH(D232,'Team Leads'!$B$1:$D$1,0)), "")</f>
        <v>امیررضا فلاح</v>
      </c>
      <c r="F232" s="18" t="n">
        <f aca="false">VLOOKUP(B232,'Operator Bugs'!A:P,16,0)</f>
        <v>0</v>
      </c>
      <c r="G232" s="18" t="n">
        <f aca="false">IFERROR(VLOOKUP(B232,'6-week1'!B:D,2,0),0)</f>
        <v>76</v>
      </c>
      <c r="H232" s="18" t="n">
        <f aca="false">IFERROR(VLOOKUP(B232,'6-week1'!B:D,3,0),"-")</f>
        <v>43</v>
      </c>
      <c r="I232" s="18" t="n">
        <f aca="false">IF(G232&gt;179,5,IF(G232&gt;149,4,IF(G232&gt;119,3,IF(G232&gt;89,2,IF(G232&gt;59,1,IF(G232&lt;=59,0))))))</f>
        <v>1</v>
      </c>
      <c r="J232" s="18" t="n">
        <f aca="false">IF(H232&gt;39,1,IF(H232&gt;32,2,IF(H232&gt;26,3,IF(H232&gt;20,4,IF(H232&lt;=20,5)))))</f>
        <v>1</v>
      </c>
      <c r="K232" s="15" t="n">
        <f aca="false">AVERAGE(I232:J232)</f>
        <v>1</v>
      </c>
      <c r="L232" s="19" t="n">
        <f aca="false">IFERROR(VLOOKUP(B232,'6-week2'!B:D,2,0),0)</f>
        <v>86</v>
      </c>
      <c r="M232" s="19" t="n">
        <f aca="false">IFERROR(VLOOKUP(B232,'6-week2'!B:D,3,0),0)</f>
        <v>46</v>
      </c>
      <c r="N232" s="19" t="n">
        <f aca="false">IF(L232&gt;179,5,IF(L232&gt;149,4,IF(L232&gt;119,3,IF(L232&gt;89,2,IF(L232&gt;59,1,IF(L232&lt;=59,0))))))</f>
        <v>1</v>
      </c>
      <c r="O232" s="19" t="n">
        <f aca="false">IF(M232&gt;39,1,IF(M232&gt;32,2,IF(M232&gt;26,3,IF(M232&gt;20,4,IF(M232&lt;=20,5)))))</f>
        <v>1</v>
      </c>
      <c r="P232" s="19" t="n">
        <f aca="false">AVERAGE(N232,O232)</f>
        <v>1</v>
      </c>
      <c r="Q232" s="19" t="n">
        <f aca="false">IFERROR(VLOOKUP(B232,'6-week1'!B:F,5,0),0)</f>
        <v>0</v>
      </c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</row>
    <row r="233" customFormat="false" ht="18" hidden="false" customHeight="true" outlineLevel="0" collapsed="false">
      <c r="A233" s="18" t="s">
        <v>278</v>
      </c>
      <c r="B233" s="18" t="str">
        <f aca="false">TRIM(A233)</f>
        <v>محمد کاظمی</v>
      </c>
      <c r="C233" s="18" t="str">
        <f aca="false">VLOOKUP(B233,Company!B:E,3,0)</f>
        <v>سینا</v>
      </c>
      <c r="D233" s="18" t="str">
        <f aca="false">VLOOKUP(B233,Company!B:E,2,0)</f>
        <v>عصر</v>
      </c>
      <c r="E233" s="18" t="str">
        <f aca="false" t="array" ref="E233:E233">IFERROR(INDEX('Team Leads'!$B:$D, MATCH(C233,'Team Leads'!$A:$A,0), MATCH(D233,'Team Leads'!$B$1:$D$1,0)), "")</f>
        <v>مهدی ایازی</v>
      </c>
      <c r="F233" s="18" t="n">
        <f aca="false">VLOOKUP(B233,'Operator Bugs'!A:P,16,0)</f>
        <v>0</v>
      </c>
      <c r="G233" s="18" t="n">
        <f aca="false">IFERROR(VLOOKUP(B233,'6-week1'!B:D,2,0),0)</f>
        <v>71</v>
      </c>
      <c r="H233" s="18" t="n">
        <f aca="false">IFERROR(VLOOKUP(B233,'6-week1'!B:D,3,0),"-")</f>
        <v>63</v>
      </c>
      <c r="I233" s="18" t="n">
        <f aca="false">IF(G233&gt;179,5,IF(G233&gt;149,4,IF(G233&gt;119,3,IF(G233&gt;89,2,IF(G233&gt;59,1,IF(G233&lt;=59,0))))))</f>
        <v>1</v>
      </c>
      <c r="J233" s="18" t="n">
        <f aca="false">IF(H233&gt;39,1,IF(H233&gt;32,2,IF(H233&gt;26,3,IF(H233&gt;20,4,IF(H233&lt;=20,5)))))</f>
        <v>1</v>
      </c>
      <c r="K233" s="15" t="n">
        <f aca="false">AVERAGE(I233:J233)</f>
        <v>1</v>
      </c>
      <c r="L233" s="19" t="n">
        <f aca="false">IFERROR(VLOOKUP(B233,'6-week2'!B:D,2,0),0)</f>
        <v>134</v>
      </c>
      <c r="M233" s="19" t="n">
        <f aca="false">IFERROR(VLOOKUP(B233,'6-week2'!B:D,3,0),0)</f>
        <v>48</v>
      </c>
      <c r="N233" s="19" t="n">
        <f aca="false">IF(L233&gt;179,5,IF(L233&gt;149,4,IF(L233&gt;119,3,IF(L233&gt;89,2,IF(L233&gt;59,1,IF(L233&lt;=59,0))))))</f>
        <v>3</v>
      </c>
      <c r="O233" s="19" t="n">
        <f aca="false">IF(M233&gt;39,1,IF(M233&gt;32,2,IF(M233&gt;26,3,IF(M233&gt;20,4,IF(M233&lt;=20,5)))))</f>
        <v>1</v>
      </c>
      <c r="P233" s="19" t="n">
        <f aca="false">AVERAGE(N233,O233)</f>
        <v>2</v>
      </c>
      <c r="Q233" s="19" t="n">
        <f aca="false">IFERROR(VLOOKUP(B233,'6-week1'!B:F,5,0),0)</f>
        <v>0</v>
      </c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</row>
    <row r="234" customFormat="false" ht="18" hidden="false" customHeight="true" outlineLevel="0" collapsed="false">
      <c r="A234" s="18" t="s">
        <v>279</v>
      </c>
      <c r="B234" s="18" t="str">
        <f aca="false">TRIM(A234)</f>
        <v>مرکز صدور افسر | علی قاسمی</v>
      </c>
      <c r="C234" s="18" t="str">
        <f aca="false">VLOOKUP(B234,Company!B:E,3,0)</f>
        <v>سنتر</v>
      </c>
      <c r="D234" s="18" t="str">
        <f aca="false">VLOOKUP(B234,Company!B:E,2,0)</f>
        <v>صبح</v>
      </c>
      <c r="E234" s="18" t="str">
        <f aca="false" t="array" ref="E234:E234">IFERROR(INDEX('Team Leads'!$B:$D, MATCH(C234,'Team Leads'!$A:$A,0), MATCH(D234,'Team Leads'!$B$1:$D$1,0)), "")</f>
        <v>مریم ایزدی - شاهین شهریاری</v>
      </c>
      <c r="F234" s="18" t="n">
        <f aca="false">VLOOKUP(B234,'Operator Bugs'!A:P,16,0)</f>
        <v>0</v>
      </c>
      <c r="G234" s="18" t="n">
        <f aca="false">IFERROR(VLOOKUP(B234,'6-week1'!B:D,2,0),0)</f>
        <v>30</v>
      </c>
      <c r="H234" s="18" t="n">
        <f aca="false">IFERROR(VLOOKUP(B234,'6-week1'!B:D,3,0),"-")</f>
        <v>35</v>
      </c>
      <c r="I234" s="18" t="n">
        <f aca="false">IF(G234&gt;179,5,IF(G234&gt;149,4,IF(G234&gt;119,3,IF(G234&gt;89,2,IF(G234&gt;59,1,IF(G234&lt;=59,0))))))</f>
        <v>0</v>
      </c>
      <c r="J234" s="18" t="n">
        <f aca="false">IF(H234&gt;39,1,IF(H234&gt;32,2,IF(H234&gt;26,3,IF(H234&gt;20,4,IF(H234&lt;=20,5)))))</f>
        <v>2</v>
      </c>
      <c r="K234" s="15" t="n">
        <f aca="false">AVERAGE(I234:J234)</f>
        <v>1</v>
      </c>
      <c r="L234" s="19" t="n">
        <f aca="false">IFERROR(VLOOKUP(B234,'6-week2'!B:D,2,0),0)</f>
        <v>26</v>
      </c>
      <c r="M234" s="19" t="n">
        <f aca="false">IFERROR(VLOOKUP(B234,'6-week2'!B:D,3,0),0)</f>
        <v>44</v>
      </c>
      <c r="N234" s="19" t="n">
        <f aca="false">IF(L234&gt;179,5,IF(L234&gt;149,4,IF(L234&gt;119,3,IF(L234&gt;89,2,IF(L234&gt;59,1,IF(L234&lt;=59,0))))))</f>
        <v>0</v>
      </c>
      <c r="O234" s="19" t="n">
        <f aca="false">IF(M234&gt;39,1,IF(M234&gt;32,2,IF(M234&gt;26,3,IF(M234&gt;20,4,IF(M234&lt;=20,5)))))</f>
        <v>1</v>
      </c>
      <c r="P234" s="19" t="n">
        <f aca="false">AVERAGE(N234,O234)</f>
        <v>0.5</v>
      </c>
      <c r="Q234" s="19" t="n">
        <f aca="false">IFERROR(VLOOKUP(B234,'6-week1'!B:F,5,0),0)</f>
        <v>0</v>
      </c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</row>
    <row r="235" customFormat="false" ht="18" hidden="false" customHeight="true" outlineLevel="0" collapsed="false">
      <c r="A235" s="18" t="s">
        <v>280</v>
      </c>
      <c r="B235" s="18" t="str">
        <f aca="false">TRIM(A235)</f>
        <v>مرکز صدور رضوانی | مینا آقاجانی</v>
      </c>
      <c r="C235" s="18" t="str">
        <f aca="false">VLOOKUP(B235,Company!B:E,3,0)</f>
        <v>سنتر</v>
      </c>
      <c r="D235" s="18" t="str">
        <f aca="false">VLOOKUP(B235,Company!B:E,2,0)</f>
        <v>عصر</v>
      </c>
      <c r="E235" s="18" t="str">
        <f aca="false" t="array" ref="E235:E235">IFERROR(INDEX('Team Leads'!$B:$D, MATCH(C235,'Team Leads'!$A:$A,0), MATCH(D235,'Team Leads'!$B$1:$D$1,0)), "")</f>
        <v>هومن قضائی</v>
      </c>
      <c r="F235" s="18" t="n">
        <f aca="false">VLOOKUP(B235,'Operator Bugs'!A:P,16,0)</f>
        <v>0</v>
      </c>
      <c r="G235" s="18" t="n">
        <f aca="false">IFERROR(VLOOKUP(B235,'6-week1'!B:D,2,0),0)</f>
        <v>58</v>
      </c>
      <c r="H235" s="18" t="n">
        <f aca="false">IFERROR(VLOOKUP(B235,'6-week1'!B:D,3,0),"-")</f>
        <v>39</v>
      </c>
      <c r="I235" s="18" t="n">
        <f aca="false">IF(G235&gt;179,5,IF(G235&gt;149,4,IF(G235&gt;119,3,IF(G235&gt;89,2,IF(G235&gt;59,1,IF(G235&lt;=59,0))))))</f>
        <v>0</v>
      </c>
      <c r="J235" s="18" t="n">
        <f aca="false">IF(H235&gt;39,1,IF(H235&gt;32,2,IF(H235&gt;26,3,IF(H235&gt;20,4,IF(H235&lt;=20,5)))))</f>
        <v>2</v>
      </c>
      <c r="K235" s="15" t="n">
        <f aca="false">AVERAGE(I235:J235)</f>
        <v>1</v>
      </c>
      <c r="L235" s="19" t="n">
        <f aca="false">IFERROR(VLOOKUP(B235,'6-week2'!B:D,2,0),0)</f>
        <v>53</v>
      </c>
      <c r="M235" s="19" t="n">
        <f aca="false">IFERROR(VLOOKUP(B235,'6-week2'!B:D,3,0),0)</f>
        <v>28</v>
      </c>
      <c r="N235" s="19" t="n">
        <f aca="false">IF(L235&gt;179,5,IF(L235&gt;149,4,IF(L235&gt;119,3,IF(L235&gt;89,2,IF(L235&gt;59,1,IF(L235&lt;=59,0))))))</f>
        <v>0</v>
      </c>
      <c r="O235" s="19" t="n">
        <f aca="false">IF(M235&gt;39,1,IF(M235&gt;32,2,IF(M235&gt;26,3,IF(M235&gt;20,4,IF(M235&lt;=20,5)))))</f>
        <v>3</v>
      </c>
      <c r="P235" s="19" t="n">
        <f aca="false">AVERAGE(N235,O235)</f>
        <v>1.5</v>
      </c>
      <c r="Q235" s="19" t="n">
        <f aca="false">IFERROR(VLOOKUP(B235,'6-week1'!B:F,5,0),0)</f>
        <v>0</v>
      </c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</row>
    <row r="236" customFormat="false" ht="18" hidden="false" customHeight="true" outlineLevel="0" collapsed="false">
      <c r="A236" s="18" t="s">
        <v>281</v>
      </c>
      <c r="B236" s="18" t="str">
        <f aca="false">TRIM(A236)</f>
        <v>مرکز صدور شاه محمدی | مهدیس کامران</v>
      </c>
      <c r="C236" s="18" t="str">
        <f aca="false">VLOOKUP(B236,Company!B:E,3,0)</f>
        <v>سنتر</v>
      </c>
      <c r="D236" s="18" t="str">
        <f aca="false">VLOOKUP(B236,Company!B:E,2,0)</f>
        <v>صبح</v>
      </c>
      <c r="E236" s="18" t="str">
        <f aca="false" t="array" ref="E236:E236">IFERROR(INDEX('Team Leads'!$B:$D, MATCH(C236,'Team Leads'!$A:$A,0), MATCH(D236,'Team Leads'!$B$1:$D$1,0)), "")</f>
        <v>مریم ایزدی - شاهین شهریاری</v>
      </c>
      <c r="F236" s="18" t="n">
        <f aca="false">VLOOKUP(B236,'Operator Bugs'!A:P,16,0)</f>
        <v>0</v>
      </c>
      <c r="G236" s="18" t="n">
        <f aca="false">IFERROR(VLOOKUP(B236,'6-week1'!B:D,2,0),0)</f>
        <v>51</v>
      </c>
      <c r="H236" s="18" t="n">
        <f aca="false">IFERROR(VLOOKUP(B236,'6-week1'!B:D,3,0),"-")</f>
        <v>39</v>
      </c>
      <c r="I236" s="18" t="n">
        <f aca="false">IF(G236&gt;179,5,IF(G236&gt;149,4,IF(G236&gt;119,3,IF(G236&gt;89,2,IF(G236&gt;59,1,IF(G236&lt;=59,0))))))</f>
        <v>0</v>
      </c>
      <c r="J236" s="18" t="n">
        <f aca="false">IF(H236&gt;39,1,IF(H236&gt;32,2,IF(H236&gt;26,3,IF(H236&gt;20,4,IF(H236&lt;=20,5)))))</f>
        <v>2</v>
      </c>
      <c r="K236" s="15" t="n">
        <f aca="false">AVERAGE(I236:J236)</f>
        <v>1</v>
      </c>
      <c r="L236" s="19" t="n">
        <f aca="false">IFERROR(VLOOKUP(B236,'6-week2'!B:D,2,0),0)</f>
        <v>51</v>
      </c>
      <c r="M236" s="19" t="n">
        <f aca="false">IFERROR(VLOOKUP(B236,'6-week2'!B:D,3,0),0)</f>
        <v>43</v>
      </c>
      <c r="N236" s="19" t="n">
        <f aca="false">IF(L236&gt;179,5,IF(L236&gt;149,4,IF(L236&gt;119,3,IF(L236&gt;89,2,IF(L236&gt;59,1,IF(L236&lt;=59,0))))))</f>
        <v>0</v>
      </c>
      <c r="O236" s="19" t="n">
        <f aca="false">IF(M236&gt;39,1,IF(M236&gt;32,2,IF(M236&gt;26,3,IF(M236&gt;20,4,IF(M236&lt;=20,5)))))</f>
        <v>1</v>
      </c>
      <c r="P236" s="19" t="n">
        <f aca="false">AVERAGE(N236,O236)</f>
        <v>0.5</v>
      </c>
      <c r="Q236" s="19" t="n">
        <f aca="false">IFERROR(VLOOKUP(B236,'6-week1'!B:F,5,0),0)</f>
        <v>0</v>
      </c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</row>
    <row r="237" customFormat="false" ht="18" hidden="false" customHeight="true" outlineLevel="0" collapsed="false">
      <c r="A237" s="18" t="s">
        <v>282</v>
      </c>
      <c r="B237" s="18" t="str">
        <f aca="false">TRIM(A237)</f>
        <v>مریم جلالیان</v>
      </c>
      <c r="C237" s="18" t="str">
        <f aca="false">VLOOKUP(B237,Company!B:E,3,0)</f>
        <v>هوشمند فردا</v>
      </c>
      <c r="D237" s="18" t="str">
        <f aca="false">VLOOKUP(B237,Company!B:E,2,0)</f>
        <v>عصر</v>
      </c>
      <c r="E237" s="18" t="str">
        <f aca="false" t="array" ref="E237:E237">IFERROR(INDEX('Team Leads'!$B:$D, MATCH(C237,'Team Leads'!$A:$A,0), MATCH(D237,'Team Leads'!$B$1:$D$1,0)), "")</f>
        <v>مهدی ایازی</v>
      </c>
      <c r="F237" s="18" t="n">
        <f aca="false">VLOOKUP(B237,'Operator Bugs'!A:P,16,0)</f>
        <v>0</v>
      </c>
      <c r="G237" s="18" t="n">
        <f aca="false">IFERROR(VLOOKUP(B237,'6-week1'!B:D,2,0),0)</f>
        <v>19</v>
      </c>
      <c r="H237" s="18" t="n">
        <f aca="false">IFERROR(VLOOKUP(B237,'6-week1'!B:D,3,0),"-")</f>
        <v>36</v>
      </c>
      <c r="I237" s="18" t="n">
        <f aca="false">IF(G237&gt;179,5,IF(G237&gt;149,4,IF(G237&gt;119,3,IF(G237&gt;89,2,IF(G237&gt;59,1,IF(G237&lt;=59,0))))))</f>
        <v>0</v>
      </c>
      <c r="J237" s="18" t="n">
        <f aca="false">IF(H237&gt;39,1,IF(H237&gt;32,2,IF(H237&gt;26,3,IF(H237&gt;20,4,IF(H237&lt;=20,5)))))</f>
        <v>2</v>
      </c>
      <c r="K237" s="15" t="n">
        <f aca="false">AVERAGE(I237:J237)</f>
        <v>1</v>
      </c>
      <c r="L237" s="19" t="n">
        <f aca="false">IFERROR(VLOOKUP(B237,'6-week2'!B:D,2,0),0)</f>
        <v>22</v>
      </c>
      <c r="M237" s="19" t="n">
        <f aca="false">IFERROR(VLOOKUP(B237,'6-week2'!B:D,3,0),0)</f>
        <v>29</v>
      </c>
      <c r="N237" s="19" t="n">
        <f aca="false">IF(L237&gt;179,5,IF(L237&gt;149,4,IF(L237&gt;119,3,IF(L237&gt;89,2,IF(L237&gt;59,1,IF(L237&lt;=59,0))))))</f>
        <v>0</v>
      </c>
      <c r="O237" s="19" t="n">
        <f aca="false">IF(M237&gt;39,1,IF(M237&gt;32,2,IF(M237&gt;26,3,IF(M237&gt;20,4,IF(M237&lt;=20,5)))))</f>
        <v>3</v>
      </c>
      <c r="P237" s="19" t="n">
        <f aca="false">AVERAGE(N237,O237)</f>
        <v>1.5</v>
      </c>
      <c r="Q237" s="19" t="n">
        <f aca="false">IFERROR(VLOOKUP(B237,'6-week1'!B:F,5,0),0)</f>
        <v>0</v>
      </c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</row>
    <row r="238" customFormat="false" ht="18" hidden="false" customHeight="true" outlineLevel="0" collapsed="false">
      <c r="A238" s="18" t="s">
        <v>283</v>
      </c>
      <c r="B238" s="18" t="str">
        <f aca="false">TRIM(A238)</f>
        <v>مریم خسرو جردی</v>
      </c>
      <c r="C238" s="18" t="str">
        <f aca="false">VLOOKUP(B238,Company!B:E,3,0)</f>
        <v>رازی</v>
      </c>
      <c r="D238" s="18" t="str">
        <f aca="false">VLOOKUP(B238,Company!B:E,2,0)</f>
        <v>صبح</v>
      </c>
      <c r="E238" s="18" t="str">
        <f aca="false" t="array" ref="E238:E238">IFERROR(INDEX('Team Leads'!$B:$D, MATCH(C238,'Team Leads'!$A:$A,0), MATCH(D238,'Team Leads'!$B$1:$D$1,0)), "")</f>
        <v>آتنا مالمیر</v>
      </c>
      <c r="F238" s="18" t="n">
        <f aca="false">VLOOKUP(B238,'Operator Bugs'!A:P,16,0)</f>
        <v>0</v>
      </c>
      <c r="G238" s="18" t="n">
        <f aca="false">IFERROR(VLOOKUP(B238,'6-week1'!B:D,2,0),0)</f>
        <v>21</v>
      </c>
      <c r="H238" s="18" t="n">
        <f aca="false">IFERROR(VLOOKUP(B238,'6-week1'!B:D,3,0),"-")</f>
        <v>35</v>
      </c>
      <c r="I238" s="18" t="n">
        <f aca="false">IF(G238&gt;179,5,IF(G238&gt;149,4,IF(G238&gt;119,3,IF(G238&gt;89,2,IF(G238&gt;59,1,IF(G238&lt;=59,0))))))</f>
        <v>0</v>
      </c>
      <c r="J238" s="18" t="n">
        <f aca="false">IF(H238&gt;39,1,IF(H238&gt;32,2,IF(H238&gt;26,3,IF(H238&gt;20,4,IF(H238&lt;=20,5)))))</f>
        <v>2</v>
      </c>
      <c r="K238" s="15" t="n">
        <f aca="false">AVERAGE(I238:J238)</f>
        <v>1</v>
      </c>
      <c r="L238" s="19" t="n">
        <f aca="false">IFERROR(VLOOKUP(B238,'6-week2'!B:D,2,0),0)</f>
        <v>19</v>
      </c>
      <c r="M238" s="19" t="n">
        <f aca="false">IFERROR(VLOOKUP(B238,'6-week2'!B:D,3,0),0)</f>
        <v>32</v>
      </c>
      <c r="N238" s="19" t="n">
        <f aca="false">IF(L238&gt;179,5,IF(L238&gt;149,4,IF(L238&gt;119,3,IF(L238&gt;89,2,IF(L238&gt;59,1,IF(L238&lt;=59,0))))))</f>
        <v>0</v>
      </c>
      <c r="O238" s="19" t="n">
        <f aca="false">IF(M238&gt;39,1,IF(M238&gt;32,2,IF(M238&gt;26,3,IF(M238&gt;20,4,IF(M238&lt;=20,5)))))</f>
        <v>3</v>
      </c>
      <c r="P238" s="19" t="n">
        <f aca="false">AVERAGE(N238,O238)</f>
        <v>1.5</v>
      </c>
      <c r="Q238" s="19" t="n">
        <f aca="false">IFERROR(VLOOKUP(B238,'6-week1'!B:F,5,0),0)</f>
        <v>0</v>
      </c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</row>
    <row r="239" customFormat="false" ht="18" hidden="false" customHeight="true" outlineLevel="0" collapsed="false">
      <c r="A239" s="18" t="s">
        <v>284</v>
      </c>
      <c r="B239" s="18" t="str">
        <f aca="false">TRIM(A239)</f>
        <v>معصومه مهری</v>
      </c>
      <c r="C239" s="18" t="str">
        <f aca="false">VLOOKUP(B239,Company!B:E,3,0)</f>
        <v>آرمان</v>
      </c>
      <c r="D239" s="18" t="str">
        <f aca="false">VLOOKUP(B239,Company!B:E,2,0)</f>
        <v>صبح</v>
      </c>
      <c r="E239" s="18" t="str">
        <f aca="false" t="array" ref="E239:E239">IFERROR(INDEX('Team Leads'!$B:$D, MATCH(C239,'Team Leads'!$A:$A,0), MATCH(D239,'Team Leads'!$B$1:$D$1,0)), "")</f>
        <v>مهدی فراهانی</v>
      </c>
      <c r="F239" s="18" t="n">
        <f aca="false">VLOOKUP(B239,'Operator Bugs'!A:P,16,0)</f>
        <v>0</v>
      </c>
      <c r="G239" s="18" t="n">
        <f aca="false">IFERROR(VLOOKUP(B239,'6-week1'!B:D,2,0),0)</f>
        <v>79</v>
      </c>
      <c r="H239" s="18" t="n">
        <f aca="false">IFERROR(VLOOKUP(B239,'6-week1'!B:D,3,0),"-")</f>
        <v>49</v>
      </c>
      <c r="I239" s="18" t="n">
        <f aca="false">IF(G239&gt;179,5,IF(G239&gt;149,4,IF(G239&gt;119,3,IF(G239&gt;89,2,IF(G239&gt;59,1,IF(G239&lt;=59,0))))))</f>
        <v>1</v>
      </c>
      <c r="J239" s="18" t="n">
        <f aca="false">IF(H239&gt;39,1,IF(H239&gt;32,2,IF(H239&gt;26,3,IF(H239&gt;20,4,IF(H239&lt;=20,5)))))</f>
        <v>1</v>
      </c>
      <c r="K239" s="15" t="n">
        <f aca="false">AVERAGE(I239:J239)</f>
        <v>1</v>
      </c>
      <c r="L239" s="19" t="n">
        <f aca="false">IFERROR(VLOOKUP(B239,'6-week2'!B:D,2,0),0)</f>
        <v>88</v>
      </c>
      <c r="M239" s="19" t="n">
        <f aca="false">IFERROR(VLOOKUP(B239,'6-week2'!B:D,3,0),0)</f>
        <v>39</v>
      </c>
      <c r="N239" s="19" t="n">
        <f aca="false">IF(L239&gt;179,5,IF(L239&gt;149,4,IF(L239&gt;119,3,IF(L239&gt;89,2,IF(L239&gt;59,1,IF(L239&lt;=59,0))))))</f>
        <v>1</v>
      </c>
      <c r="O239" s="19" t="n">
        <f aca="false">IF(M239&gt;39,1,IF(M239&gt;32,2,IF(M239&gt;26,3,IF(M239&gt;20,4,IF(M239&lt;=20,5)))))</f>
        <v>2</v>
      </c>
      <c r="P239" s="19" t="n">
        <f aca="false">AVERAGE(N239,O239)</f>
        <v>1.5</v>
      </c>
      <c r="Q239" s="19" t="n">
        <f aca="false">IFERROR(VLOOKUP(B239,'6-week1'!B:F,5,0),0)</f>
        <v>0</v>
      </c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</row>
    <row r="240" customFormat="false" ht="18" hidden="false" customHeight="true" outlineLevel="0" collapsed="false">
      <c r="A240" s="18" t="s">
        <v>285</v>
      </c>
      <c r="B240" s="18" t="str">
        <f aca="false">TRIM(A240)</f>
        <v>مهدی خاوری</v>
      </c>
      <c r="C240" s="18" t="str">
        <f aca="false">VLOOKUP(B240,Company!B:E,3,0)</f>
        <v>دی</v>
      </c>
      <c r="D240" s="18" t="str">
        <f aca="false">VLOOKUP(B240,Company!B:E,2,0)</f>
        <v>صبح</v>
      </c>
      <c r="E240" s="18" t="str">
        <f aca="false" t="array" ref="E240:E240">IFERROR(INDEX('Team Leads'!$B:$D, MATCH(C240,'Team Leads'!$A:$A,0), MATCH(D240,'Team Leads'!$B$1:$D$1,0)), "")</f>
        <v>مهدی فراهانی</v>
      </c>
      <c r="F240" s="18" t="n">
        <f aca="false">VLOOKUP(B240,'Operator Bugs'!A:P,16,0)</f>
        <v>0</v>
      </c>
      <c r="G240" s="18" t="n">
        <f aca="false">IFERROR(VLOOKUP(B240,'6-week1'!B:D,2,0),0)</f>
        <v>8</v>
      </c>
      <c r="H240" s="18" t="n">
        <f aca="false">IFERROR(VLOOKUP(B240,'6-week1'!B:D,3,0),"-")</f>
        <v>35</v>
      </c>
      <c r="I240" s="18" t="n">
        <f aca="false">IF(G240&gt;179,5,IF(G240&gt;149,4,IF(G240&gt;119,3,IF(G240&gt;89,2,IF(G240&gt;59,1,IF(G240&lt;=59,0))))))</f>
        <v>0</v>
      </c>
      <c r="J240" s="18" t="n">
        <f aca="false">IF(H240&gt;39,1,IF(H240&gt;32,2,IF(H240&gt;26,3,IF(H240&gt;20,4,IF(H240&lt;=20,5)))))</f>
        <v>2</v>
      </c>
      <c r="K240" s="15" t="n">
        <f aca="false">AVERAGE(I240:J240)</f>
        <v>1</v>
      </c>
      <c r="L240" s="19" t="n">
        <f aca="false">IFERROR(VLOOKUP(B240,'6-week2'!B:D,2,0),0)</f>
        <v>0</v>
      </c>
      <c r="M240" s="19" t="n">
        <f aca="false">IFERROR(VLOOKUP(B240,'6-week2'!B:D,3,0),0)</f>
        <v>0</v>
      </c>
      <c r="N240" s="19" t="n">
        <f aca="false">IF(L240&gt;179,5,IF(L240&gt;149,4,IF(L240&gt;119,3,IF(L240&gt;89,2,IF(L240&gt;59,1,IF(L240&lt;=59,0))))))</f>
        <v>0</v>
      </c>
      <c r="O240" s="19" t="n">
        <f aca="false">IF(M240&gt;39,1,IF(M240&gt;32,2,IF(M240&gt;26,3,IF(M240&gt;20,4,IF(M240&lt;=20,5)))))</f>
        <v>5</v>
      </c>
      <c r="P240" s="19" t="n">
        <f aca="false">AVERAGE(N240,O240)</f>
        <v>2.5</v>
      </c>
      <c r="Q240" s="19" t="n">
        <f aca="false">IFERROR(VLOOKUP(B240,'6-week1'!B:F,5,0),0)</f>
        <v>0</v>
      </c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</row>
    <row r="241" customFormat="false" ht="18" hidden="false" customHeight="true" outlineLevel="0" collapsed="false">
      <c r="A241" s="18" t="s">
        <v>286</v>
      </c>
      <c r="B241" s="18" t="str">
        <f aca="false">TRIM(A241)</f>
        <v>مهیار مصطفی نژاد</v>
      </c>
      <c r="C241" s="18" t="str">
        <f aca="false">VLOOKUP(B241,Company!B:E,3,0)</f>
        <v>رازی</v>
      </c>
      <c r="D241" s="18" t="str">
        <f aca="false">VLOOKUP(B241,Company!B:E,2,0)</f>
        <v>عصر</v>
      </c>
      <c r="E241" s="18" t="str">
        <f aca="false" t="array" ref="E241:E241">IFERROR(INDEX('Team Leads'!$B:$D, MATCH(C241,'Team Leads'!$A:$A,0), MATCH(D241,'Team Leads'!$B$1:$D$1,0)), "")</f>
        <v>امیررضا فلاح</v>
      </c>
      <c r="F241" s="18" t="n">
        <f aca="false">VLOOKUP(B241,'Operator Bugs'!A:P,16,0)</f>
        <v>0</v>
      </c>
      <c r="G241" s="18" t="n">
        <f aca="false">IFERROR(VLOOKUP(B241,'6-week1'!B:D,2,0),0)</f>
        <v>33</v>
      </c>
      <c r="H241" s="18" t="n">
        <f aca="false">IFERROR(VLOOKUP(B241,'6-week1'!B:D,3,0),"-")</f>
        <v>34</v>
      </c>
      <c r="I241" s="18" t="n">
        <f aca="false">IF(G241&gt;179,5,IF(G241&gt;149,4,IF(G241&gt;119,3,IF(G241&gt;89,2,IF(G241&gt;59,1,IF(G241&lt;=59,0))))))</f>
        <v>0</v>
      </c>
      <c r="J241" s="18" t="n">
        <f aca="false">IF(H241&gt;39,1,IF(H241&gt;32,2,IF(H241&gt;26,3,IF(H241&gt;20,4,IF(H241&lt;=20,5)))))</f>
        <v>2</v>
      </c>
      <c r="K241" s="15" t="n">
        <f aca="false">AVERAGE(I241:J241)</f>
        <v>1</v>
      </c>
      <c r="L241" s="19" t="n">
        <f aca="false">IFERROR(VLOOKUP(B241,'6-week2'!B:D,2,0),0)</f>
        <v>52</v>
      </c>
      <c r="M241" s="19" t="n">
        <f aca="false">IFERROR(VLOOKUP(B241,'6-week2'!B:D,3,0),0)</f>
        <v>38</v>
      </c>
      <c r="N241" s="19" t="n">
        <f aca="false">IF(L241&gt;179,5,IF(L241&gt;149,4,IF(L241&gt;119,3,IF(L241&gt;89,2,IF(L241&gt;59,1,IF(L241&lt;=59,0))))))</f>
        <v>0</v>
      </c>
      <c r="O241" s="19" t="n">
        <f aca="false">IF(M241&gt;39,1,IF(M241&gt;32,2,IF(M241&gt;26,3,IF(M241&gt;20,4,IF(M241&lt;=20,5)))))</f>
        <v>2</v>
      </c>
      <c r="P241" s="19" t="n">
        <f aca="false">AVERAGE(N241,O241)</f>
        <v>1</v>
      </c>
      <c r="Q241" s="19" t="n">
        <f aca="false">IFERROR(VLOOKUP(B241,'6-week1'!B:F,5,0),0)</f>
        <v>0</v>
      </c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</row>
    <row r="242" customFormat="false" ht="18" hidden="false" customHeight="true" outlineLevel="0" collapsed="false">
      <c r="A242" s="18" t="s">
        <v>287</v>
      </c>
      <c r="B242" s="18" t="str">
        <f aca="false">TRIM(A242)</f>
        <v>میلاد زدوار</v>
      </c>
      <c r="C242" s="18" t="str">
        <f aca="false">VLOOKUP(B242,Company!B:E,3,0)</f>
        <v>دی</v>
      </c>
      <c r="D242" s="18" t="str">
        <f aca="false">VLOOKUP(B242,Company!B:E,2,0)</f>
        <v>عصر</v>
      </c>
      <c r="E242" s="18" t="str">
        <f aca="false" t="array" ref="E242:E242">IFERROR(INDEX('Team Leads'!$B:$D, MATCH(C242,'Team Leads'!$A:$A,0), MATCH(D242,'Team Leads'!$B$1:$D$1,0)), "")</f>
        <v>علیرضا زمانیان</v>
      </c>
      <c r="F242" s="18" t="n">
        <f aca="false">VLOOKUP(B242,'Operator Bugs'!A:P,16,0)</f>
        <v>0</v>
      </c>
      <c r="G242" s="18" t="n">
        <f aca="false">IFERROR(VLOOKUP(B242,'6-week1'!B:D,2,0),0)</f>
        <v>64</v>
      </c>
      <c r="H242" s="18" t="n">
        <f aca="false">IFERROR(VLOOKUP(B242,'6-week1'!B:D,3,0),"-")</f>
        <v>48</v>
      </c>
      <c r="I242" s="18" t="n">
        <f aca="false">IF(G242&gt;179,5,IF(G242&gt;149,4,IF(G242&gt;119,3,IF(G242&gt;89,2,IF(G242&gt;59,1,IF(G242&lt;=59,0))))))</f>
        <v>1</v>
      </c>
      <c r="J242" s="18" t="n">
        <f aca="false">IF(H242&gt;39,1,IF(H242&gt;32,2,IF(H242&gt;26,3,IF(H242&gt;20,4,IF(H242&lt;=20,5)))))</f>
        <v>1</v>
      </c>
      <c r="K242" s="15" t="n">
        <f aca="false">AVERAGE(I242:J242)</f>
        <v>1</v>
      </c>
      <c r="L242" s="19" t="n">
        <f aca="false">IFERROR(VLOOKUP(B242,'6-week2'!B:D,2,0),0)</f>
        <v>75</v>
      </c>
      <c r="M242" s="19" t="n">
        <f aca="false">IFERROR(VLOOKUP(B242,'6-week2'!B:D,3,0),0)</f>
        <v>36</v>
      </c>
      <c r="N242" s="19" t="n">
        <f aca="false">IF(L242&gt;179,5,IF(L242&gt;149,4,IF(L242&gt;119,3,IF(L242&gt;89,2,IF(L242&gt;59,1,IF(L242&lt;=59,0))))))</f>
        <v>1</v>
      </c>
      <c r="O242" s="19" t="n">
        <f aca="false">IF(M242&gt;39,1,IF(M242&gt;32,2,IF(M242&gt;26,3,IF(M242&gt;20,4,IF(M242&lt;=20,5)))))</f>
        <v>2</v>
      </c>
      <c r="P242" s="19" t="n">
        <f aca="false">AVERAGE(N242,O242)</f>
        <v>1.5</v>
      </c>
      <c r="Q242" s="19" t="n">
        <f aca="false">IFERROR(VLOOKUP(B242,'6-week1'!B:F,5,0),0)</f>
        <v>0</v>
      </c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</row>
    <row r="243" customFormat="false" ht="18" hidden="false" customHeight="true" outlineLevel="0" collapsed="false">
      <c r="A243" s="18" t="s">
        <v>288</v>
      </c>
      <c r="B243" s="18" t="str">
        <f aca="false">TRIM(A243)</f>
        <v>هیوا شیری</v>
      </c>
      <c r="C243" s="18" t="str">
        <f aca="false">VLOOKUP(B243,Company!B:E,3,0)</f>
        <v>سینا</v>
      </c>
      <c r="D243" s="18" t="str">
        <f aca="false">VLOOKUP(B243,Company!B:E,2,0)</f>
        <v>صبح</v>
      </c>
      <c r="E243" s="18" t="str">
        <f aca="false" t="array" ref="E243:E243">IFERROR(INDEX('Team Leads'!$B:$D, MATCH(C243,'Team Leads'!$A:$A,0), MATCH(D243,'Team Leads'!$B$1:$D$1,0)), "")</f>
        <v>فاطمه دهقانپور</v>
      </c>
      <c r="F243" s="18" t="n">
        <f aca="false">VLOOKUP(B243,'Operator Bugs'!A:P,16,0)</f>
        <v>0</v>
      </c>
      <c r="G243" s="18" t="n">
        <f aca="false">IFERROR(VLOOKUP(B243,'6-week1'!B:D,2,0),0)</f>
        <v>68</v>
      </c>
      <c r="H243" s="18" t="n">
        <f aca="false">IFERROR(VLOOKUP(B243,'6-week1'!B:D,3,0),"-")</f>
        <v>50</v>
      </c>
      <c r="I243" s="18" t="n">
        <f aca="false">IF(G243&gt;179,5,IF(G243&gt;149,4,IF(G243&gt;119,3,IF(G243&gt;89,2,IF(G243&gt;59,1,IF(G243&lt;=59,0))))))</f>
        <v>1</v>
      </c>
      <c r="J243" s="18" t="n">
        <f aca="false">IF(H243&gt;39,1,IF(H243&gt;32,2,IF(H243&gt;26,3,IF(H243&gt;20,4,IF(H243&lt;=20,5)))))</f>
        <v>1</v>
      </c>
      <c r="K243" s="15" t="n">
        <f aca="false">AVERAGE(I243:J243)</f>
        <v>1</v>
      </c>
      <c r="L243" s="19" t="n">
        <f aca="false">IFERROR(VLOOKUP(B243,'6-week2'!B:D,2,0),0)</f>
        <v>66</v>
      </c>
      <c r="M243" s="19" t="n">
        <f aca="false">IFERROR(VLOOKUP(B243,'6-week2'!B:D,3,0),0)</f>
        <v>53</v>
      </c>
      <c r="N243" s="19" t="n">
        <f aca="false">IF(L243&gt;179,5,IF(L243&gt;149,4,IF(L243&gt;119,3,IF(L243&gt;89,2,IF(L243&gt;59,1,IF(L243&lt;=59,0))))))</f>
        <v>1</v>
      </c>
      <c r="O243" s="19" t="n">
        <f aca="false">IF(M243&gt;39,1,IF(M243&gt;32,2,IF(M243&gt;26,3,IF(M243&gt;20,4,IF(M243&lt;=20,5)))))</f>
        <v>1</v>
      </c>
      <c r="P243" s="19" t="n">
        <f aca="false">AVERAGE(N243,O243)</f>
        <v>1</v>
      </c>
      <c r="Q243" s="19" t="n">
        <f aca="false">IFERROR(VLOOKUP(B243,'6-week1'!B:F,5,0),0)</f>
        <v>0</v>
      </c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</row>
    <row r="244" customFormat="false" ht="18" hidden="false" customHeight="true" outlineLevel="0" collapsed="false">
      <c r="A244" s="15"/>
      <c r="B244" s="15" t="s">
        <v>289</v>
      </c>
      <c r="C244" s="18" t="str">
        <f aca="false">VLOOKUP(B244,Company!B:E,3,0)</f>
        <v>سنتر</v>
      </c>
      <c r="D244" s="18" t="str">
        <f aca="false">VLOOKUP(B244,Company!B:E,2,0)</f>
        <v>صبح</v>
      </c>
      <c r="E244" s="18" t="str">
        <f aca="false" t="array" ref="E244:E244">IFERROR(INDEX('Team Leads'!$B:$D, MATCH(C244,'Team Leads'!$A:$A,0), MATCH(D244,'Team Leads'!$B$1:$D$1,0)), "")</f>
        <v>مریم ایزدی - شاهین شهریاری</v>
      </c>
      <c r="F244" s="18" t="n">
        <f aca="false">VLOOKUP(B244,'Operator Bugs'!A:P,16,0)</f>
        <v>0</v>
      </c>
      <c r="G244" s="18" t="n">
        <f aca="false">IFERROR(VLOOKUP(B244,'6-week1'!B:D,2,0),0)</f>
        <v>54</v>
      </c>
      <c r="H244" s="18" t="n">
        <f aca="false">IFERROR(VLOOKUP(B244,'6-week1'!B:D,3,0),"-")</f>
        <v>33</v>
      </c>
      <c r="I244" s="18" t="n">
        <f aca="false">IF(G244&gt;179,5,IF(G244&gt;149,4,IF(G244&gt;119,3,IF(G244&gt;89,2,IF(G244&gt;59,1,IF(G244&lt;=59,0))))))</f>
        <v>0</v>
      </c>
      <c r="J244" s="18" t="n">
        <f aca="false">IF(H244&gt;39,1,IF(H244&gt;32,2,IF(H244&gt;26,3,IF(H244&gt;20,4,IF(H244&lt;=20,5)))))</f>
        <v>2</v>
      </c>
      <c r="K244" s="15" t="n">
        <f aca="false">AVERAGE(I244:J244)</f>
        <v>1</v>
      </c>
      <c r="L244" s="19" t="n">
        <f aca="false">IFERROR(VLOOKUP(B244,'6-week2'!B:D,2,0),0)</f>
        <v>64</v>
      </c>
      <c r="M244" s="19" t="n">
        <f aca="false">IFERROR(VLOOKUP(B244,'6-week2'!B:D,3,0),0)</f>
        <v>24</v>
      </c>
      <c r="N244" s="19" t="n">
        <f aca="false">IF(L244&gt;179,5,IF(L244&gt;149,4,IF(L244&gt;119,3,IF(L244&gt;89,2,IF(L244&gt;59,1,IF(L244&lt;=59,0))))))</f>
        <v>1</v>
      </c>
      <c r="O244" s="19" t="n">
        <f aca="false">IF(M244&gt;39,1,IF(M244&gt;32,2,IF(M244&gt;26,3,IF(M244&gt;20,4,IF(M244&lt;=20,5)))))</f>
        <v>4</v>
      </c>
      <c r="P244" s="19" t="n">
        <f aca="false">AVERAGE(N244,O244)</f>
        <v>2.5</v>
      </c>
      <c r="Q244" s="19" t="n">
        <f aca="false">IFERROR(VLOOKUP(B244,'6-week1'!B:F,5,0),0)</f>
        <v>0</v>
      </c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</row>
    <row r="245" customFormat="false" ht="18" hidden="false" customHeight="true" outlineLevel="0" collapsed="false">
      <c r="A245" s="15"/>
      <c r="B245" s="15" t="s">
        <v>290</v>
      </c>
      <c r="C245" s="18" t="str">
        <f aca="false">VLOOKUP(B245,Company!B:E,3,0)</f>
        <v>سنتر</v>
      </c>
      <c r="D245" s="18" t="str">
        <f aca="false">VLOOKUP(B245,Company!B:E,2,0)</f>
        <v>صبح</v>
      </c>
      <c r="E245" s="18" t="str">
        <f aca="false" t="array" ref="E245:E245">IFERROR(INDEX('Team Leads'!$B:$D, MATCH(C245,'Team Leads'!$A:$A,0), MATCH(D245,'Team Leads'!$B$1:$D$1,0)), "")</f>
        <v>مریم ایزدی - شاهین شهریاری</v>
      </c>
      <c r="F245" s="18" t="n">
        <f aca="false">VLOOKUP(B245,'Operator Bugs'!A:P,16,0)</f>
        <v>0</v>
      </c>
      <c r="G245" s="18" t="n">
        <f aca="false">IFERROR(VLOOKUP(B245,'6-week1'!B:D,2,0),0)</f>
        <v>36</v>
      </c>
      <c r="H245" s="18" t="n">
        <f aca="false">IFERROR(VLOOKUP(B245,'6-week1'!B:D,3,0),"-")</f>
        <v>35</v>
      </c>
      <c r="I245" s="18" t="n">
        <f aca="false">IF(G245&gt;179,5,IF(G245&gt;149,4,IF(G245&gt;119,3,IF(G245&gt;89,2,IF(G245&gt;59,1,IF(G245&lt;=59,0))))))</f>
        <v>0</v>
      </c>
      <c r="J245" s="18" t="n">
        <f aca="false">IF(H245&gt;39,1,IF(H245&gt;32,2,IF(H245&gt;26,3,IF(H245&gt;20,4,IF(H245&lt;=20,5)))))</f>
        <v>2</v>
      </c>
      <c r="K245" s="15" t="n">
        <f aca="false">AVERAGE(I245:J245)</f>
        <v>1</v>
      </c>
      <c r="L245" s="19" t="n">
        <f aca="false">IFERROR(VLOOKUP(B245,'6-week2'!B:D,2,0),0)</f>
        <v>105</v>
      </c>
      <c r="M245" s="19" t="n">
        <f aca="false">IFERROR(VLOOKUP(B245,'6-week2'!B:D,3,0),0)</f>
        <v>29</v>
      </c>
      <c r="N245" s="19" t="n">
        <f aca="false">IF(L245&gt;179,5,IF(L245&gt;149,4,IF(L245&gt;119,3,IF(L245&gt;89,2,IF(L245&gt;59,1,IF(L245&lt;=59,0))))))</f>
        <v>2</v>
      </c>
      <c r="O245" s="19" t="n">
        <f aca="false">IF(M245&gt;39,1,IF(M245&gt;32,2,IF(M245&gt;26,3,IF(M245&gt;20,4,IF(M245&lt;=20,5)))))</f>
        <v>3</v>
      </c>
      <c r="P245" s="19" t="n">
        <f aca="false">AVERAGE(N245,O245)</f>
        <v>2.5</v>
      </c>
      <c r="Q245" s="19" t="n">
        <f aca="false">IFERROR(VLOOKUP(B245,'6-week1'!B:F,5,0),0)</f>
        <v>0</v>
      </c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</row>
    <row r="246" customFormat="false" ht="18" hidden="false" customHeight="true" outlineLevel="0" collapsed="false">
      <c r="A246" s="18" t="s">
        <v>291</v>
      </c>
      <c r="B246" s="18" t="str">
        <f aca="false">TRIM(A246)</f>
        <v>بهار آرین فر</v>
      </c>
      <c r="C246" s="18" t="str">
        <f aca="false">VLOOKUP(B246,Company!B:E,3,0)</f>
        <v>رازی</v>
      </c>
      <c r="D246" s="18" t="str">
        <f aca="false">VLOOKUP(B246,Company!B:E,2,0)</f>
        <v>صبح</v>
      </c>
      <c r="E246" s="18" t="str">
        <f aca="false" t="array" ref="E246:E246">IFERROR(INDEX('Team Leads'!$B:$D, MATCH(C246,'Team Leads'!$A:$A,0), MATCH(D246,'Team Leads'!$B$1:$D$1,0)), "")</f>
        <v>آتنا مالمیر</v>
      </c>
      <c r="F246" s="18" t="n">
        <f aca="false">VLOOKUP(B246,'Operator Bugs'!A:P,16,0)</f>
        <v>0</v>
      </c>
      <c r="G246" s="18" t="n">
        <f aca="false">IFERROR(VLOOKUP(B246,'6-week1'!B:D,2,0),0)</f>
        <v>43</v>
      </c>
      <c r="H246" s="18" t="n">
        <f aca="false">IFERROR(VLOOKUP(B246,'6-week1'!B:D,3,0),"-")</f>
        <v>47</v>
      </c>
      <c r="I246" s="18" t="n">
        <f aca="false">IF(G246&gt;179,5,IF(G246&gt;149,4,IF(G246&gt;119,3,IF(G246&gt;89,2,IF(G246&gt;59,1,IF(G246&lt;=59,0))))))</f>
        <v>0</v>
      </c>
      <c r="J246" s="18" t="n">
        <f aca="false">IF(H246&gt;39,1,IF(H246&gt;32,2,IF(H246&gt;26,3,IF(H246&gt;20,4,IF(H246&lt;=20,5)))))</f>
        <v>1</v>
      </c>
      <c r="K246" s="15" t="n">
        <f aca="false">AVERAGE(I246:J246)</f>
        <v>0.5</v>
      </c>
      <c r="L246" s="19" t="n">
        <f aca="false">IFERROR(VLOOKUP(B246,'6-week2'!B:D,2,0),0)</f>
        <v>57</v>
      </c>
      <c r="M246" s="19" t="n">
        <f aca="false">IFERROR(VLOOKUP(B246,'6-week2'!B:D,3,0),0)</f>
        <v>39</v>
      </c>
      <c r="N246" s="19" t="n">
        <f aca="false">IF(L246&gt;179,5,IF(L246&gt;149,4,IF(L246&gt;119,3,IF(L246&gt;89,2,IF(L246&gt;59,1,IF(L246&lt;=59,0))))))</f>
        <v>0</v>
      </c>
      <c r="O246" s="19" t="n">
        <f aca="false">IF(M246&gt;39,1,IF(M246&gt;32,2,IF(M246&gt;26,3,IF(M246&gt;20,4,IF(M246&lt;=20,5)))))</f>
        <v>2</v>
      </c>
      <c r="P246" s="19" t="n">
        <f aca="false">AVERAGE(N246,O246)</f>
        <v>1</v>
      </c>
      <c r="Q246" s="19" t="n">
        <f aca="false">IFERROR(VLOOKUP(B246,'6-week1'!B:F,5,0),0)</f>
        <v>0</v>
      </c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</row>
    <row r="247" customFormat="false" ht="18" hidden="false" customHeight="true" outlineLevel="0" collapsed="false">
      <c r="A247" s="18" t="s">
        <v>292</v>
      </c>
      <c r="B247" s="18" t="str">
        <f aca="false">TRIM(A247)</f>
        <v>پروین شجاعی</v>
      </c>
      <c r="C247" s="18" t="str">
        <f aca="false">VLOOKUP(B247,Company!B:E,3,0)</f>
        <v>دی</v>
      </c>
      <c r="D247" s="18" t="str">
        <f aca="false">VLOOKUP(B247,Company!B:E,2,0)</f>
        <v>صبح</v>
      </c>
      <c r="E247" s="18" t="str">
        <f aca="false" t="array" ref="E247:E247">IFERROR(INDEX('Team Leads'!$B:$D, MATCH(C247,'Team Leads'!$A:$A,0), MATCH(D247,'Team Leads'!$B$1:$D$1,0)), "")</f>
        <v>مهدی فراهانی</v>
      </c>
      <c r="F247" s="18" t="n">
        <f aca="false">VLOOKUP(B247,'Operator Bugs'!A:P,16,0)</f>
        <v>0</v>
      </c>
      <c r="G247" s="18" t="n">
        <f aca="false">IFERROR(VLOOKUP(B247,'6-week1'!B:D,2,0),0)</f>
        <v>23</v>
      </c>
      <c r="H247" s="18" t="n">
        <f aca="false">IFERROR(VLOOKUP(B247,'6-week1'!B:D,3,0),"-")</f>
        <v>46</v>
      </c>
      <c r="I247" s="18" t="n">
        <f aca="false">IF(G247&gt;179,5,IF(G247&gt;149,4,IF(G247&gt;119,3,IF(G247&gt;89,2,IF(G247&gt;59,1,IF(G247&lt;=59,0))))))</f>
        <v>0</v>
      </c>
      <c r="J247" s="18" t="n">
        <f aca="false">IF(H247&gt;39,1,IF(H247&gt;32,2,IF(H247&gt;26,3,IF(H247&gt;20,4,IF(H247&lt;=20,5)))))</f>
        <v>1</v>
      </c>
      <c r="K247" s="15" t="n">
        <f aca="false">AVERAGE(I247:J247)</f>
        <v>0.5</v>
      </c>
      <c r="L247" s="19" t="n">
        <f aca="false">IFERROR(VLOOKUP(B247,'6-week2'!B:D,2,0),0)</f>
        <v>47</v>
      </c>
      <c r="M247" s="19" t="n">
        <f aca="false">IFERROR(VLOOKUP(B247,'6-week2'!B:D,3,0),0)</f>
        <v>35</v>
      </c>
      <c r="N247" s="19" t="n">
        <f aca="false">IF(L247&gt;179,5,IF(L247&gt;149,4,IF(L247&gt;119,3,IF(L247&gt;89,2,IF(L247&gt;59,1,IF(L247&lt;=59,0))))))</f>
        <v>0</v>
      </c>
      <c r="O247" s="19" t="n">
        <f aca="false">IF(M247&gt;39,1,IF(M247&gt;32,2,IF(M247&gt;26,3,IF(M247&gt;20,4,IF(M247&lt;=20,5)))))</f>
        <v>2</v>
      </c>
      <c r="P247" s="19" t="n">
        <f aca="false">AVERAGE(N247,O247)</f>
        <v>1</v>
      </c>
      <c r="Q247" s="19" t="n">
        <f aca="false">IFERROR(VLOOKUP(B247,'6-week1'!B:F,5,0),0)</f>
        <v>0</v>
      </c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</row>
    <row r="248" customFormat="false" ht="18" hidden="false" customHeight="true" outlineLevel="0" collapsed="false">
      <c r="A248" s="18" t="s">
        <v>293</v>
      </c>
      <c r="B248" s="18" t="str">
        <f aca="false">TRIM(A248)</f>
        <v>حنانه سلامی</v>
      </c>
      <c r="C248" s="18" t="str">
        <f aca="false">VLOOKUP(B248,Company!B:E,3,0)</f>
        <v>رازی</v>
      </c>
      <c r="D248" s="18" t="str">
        <f aca="false">VLOOKUP(B248,Company!B:E,2,0)</f>
        <v>صبح</v>
      </c>
      <c r="E248" s="18" t="str">
        <f aca="false" t="array" ref="E248:E248">IFERROR(INDEX('Team Leads'!$B:$D, MATCH(C248,'Team Leads'!$A:$A,0), MATCH(D248,'Team Leads'!$B$1:$D$1,0)), "")</f>
        <v>آتنا مالمیر</v>
      </c>
      <c r="F248" s="18" t="n">
        <f aca="false">VLOOKUP(B248,'Operator Bugs'!A:P,16,0)</f>
        <v>0</v>
      </c>
      <c r="G248" s="18" t="n">
        <f aca="false">IFERROR(VLOOKUP(B248,'6-week1'!B:D,2,0),0)</f>
        <v>32</v>
      </c>
      <c r="H248" s="18" t="n">
        <f aca="false">IFERROR(VLOOKUP(B248,'6-week1'!B:D,3,0),"-")</f>
        <v>100</v>
      </c>
      <c r="I248" s="18" t="n">
        <f aca="false">IF(G248&gt;179,5,IF(G248&gt;149,4,IF(G248&gt;119,3,IF(G248&gt;89,2,IF(G248&gt;59,1,IF(G248&lt;=59,0))))))</f>
        <v>0</v>
      </c>
      <c r="J248" s="18" t="n">
        <f aca="false">IF(H248&gt;39,1,IF(H248&gt;32,2,IF(H248&gt;26,3,IF(H248&gt;20,4,IF(H248&lt;=20,5)))))</f>
        <v>1</v>
      </c>
      <c r="K248" s="15" t="n">
        <f aca="false">AVERAGE(I248:J248)</f>
        <v>0.5</v>
      </c>
      <c r="L248" s="19" t="n">
        <f aca="false">IFERROR(VLOOKUP(B248,'6-week2'!B:D,2,0),0)</f>
        <v>39</v>
      </c>
      <c r="M248" s="19" t="n">
        <f aca="false">IFERROR(VLOOKUP(B248,'6-week2'!B:D,3,0),0)</f>
        <v>28</v>
      </c>
      <c r="N248" s="19" t="n">
        <f aca="false">IF(L248&gt;179,5,IF(L248&gt;149,4,IF(L248&gt;119,3,IF(L248&gt;89,2,IF(L248&gt;59,1,IF(L248&lt;=59,0))))))</f>
        <v>0</v>
      </c>
      <c r="O248" s="19" t="n">
        <f aca="false">IF(M248&gt;39,1,IF(M248&gt;32,2,IF(M248&gt;26,3,IF(M248&gt;20,4,IF(M248&lt;=20,5)))))</f>
        <v>3</v>
      </c>
      <c r="P248" s="19" t="n">
        <f aca="false">AVERAGE(N248,O248)</f>
        <v>1.5</v>
      </c>
      <c r="Q248" s="19" t="n">
        <f aca="false">IFERROR(VLOOKUP(B248,'6-week1'!B:F,5,0),0)</f>
        <v>0</v>
      </c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</row>
    <row r="249" customFormat="false" ht="18" hidden="false" customHeight="true" outlineLevel="0" collapsed="false">
      <c r="A249" s="18" t="s">
        <v>294</v>
      </c>
      <c r="B249" s="18" t="str">
        <f aca="false">TRIM(A249)</f>
        <v>ریحانه روئین تن</v>
      </c>
      <c r="C249" s="18" t="str">
        <f aca="false">VLOOKUP(B249,Company!B:E,3,0)</f>
        <v>تعاون</v>
      </c>
      <c r="D249" s="18" t="str">
        <f aca="false">VLOOKUP(B249,Company!B:E,2,0)</f>
        <v>عصر</v>
      </c>
      <c r="E249" s="18" t="str">
        <f aca="false" t="array" ref="E249:E249">IFERROR(INDEX('Team Leads'!$B:$D, MATCH(C249,'Team Leads'!$A:$A,0), MATCH(D249,'Team Leads'!$B$1:$D$1,0)), "")</f>
        <v>علیرضا زمانیان</v>
      </c>
      <c r="F249" s="18" t="n">
        <f aca="false">VLOOKUP(B249,'Operator Bugs'!A:P,16,0)</f>
        <v>0</v>
      </c>
      <c r="G249" s="18" t="n">
        <f aca="false">IFERROR(VLOOKUP(B249,'6-week1'!B:D,2,0),0)</f>
        <v>22</v>
      </c>
      <c r="H249" s="18" t="n">
        <f aca="false">IFERROR(VLOOKUP(B249,'6-week1'!B:D,3,0),"-")</f>
        <v>45</v>
      </c>
      <c r="I249" s="18" t="n">
        <f aca="false">IF(G249&gt;179,5,IF(G249&gt;149,4,IF(G249&gt;119,3,IF(G249&gt;89,2,IF(G249&gt;59,1,IF(G249&lt;=59,0))))))</f>
        <v>0</v>
      </c>
      <c r="J249" s="18" t="n">
        <f aca="false">IF(H249&gt;39,1,IF(H249&gt;32,2,IF(H249&gt;26,3,IF(H249&gt;20,4,IF(H249&lt;=20,5)))))</f>
        <v>1</v>
      </c>
      <c r="K249" s="15" t="n">
        <f aca="false">AVERAGE(I249:J249)</f>
        <v>0.5</v>
      </c>
      <c r="L249" s="19" t="n">
        <f aca="false">IFERROR(VLOOKUP(B249,'6-week2'!B:D,2,0),0)</f>
        <v>0</v>
      </c>
      <c r="M249" s="19" t="n">
        <f aca="false">IFERROR(VLOOKUP(B249,'6-week2'!B:D,3,0),0)</f>
        <v>0</v>
      </c>
      <c r="N249" s="19" t="n">
        <f aca="false">IF(L249&gt;179,5,IF(L249&gt;149,4,IF(L249&gt;119,3,IF(L249&gt;89,2,IF(L249&gt;59,1,IF(L249&lt;=59,0))))))</f>
        <v>0</v>
      </c>
      <c r="O249" s="19" t="n">
        <f aca="false">IF(M249&gt;39,1,IF(M249&gt;32,2,IF(M249&gt;26,3,IF(M249&gt;20,4,IF(M249&lt;=20,5)))))</f>
        <v>5</v>
      </c>
      <c r="P249" s="19" t="n">
        <f aca="false">AVERAGE(N249,O249)</f>
        <v>2.5</v>
      </c>
      <c r="Q249" s="19" t="n">
        <f aca="false">IFERROR(VLOOKUP(B249,'6-week1'!B:F,5,0),0)</f>
        <v>0</v>
      </c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</row>
    <row r="250" customFormat="false" ht="18" hidden="false" customHeight="true" outlineLevel="0" collapsed="false">
      <c r="A250" s="18" t="s">
        <v>295</v>
      </c>
      <c r="B250" s="18" t="str">
        <f aca="false">TRIM(A250)</f>
        <v>زهرا حبیبی مجد</v>
      </c>
      <c r="C250" s="18" t="str">
        <f aca="false">VLOOKUP(B250,Company!B:E,3,0)</f>
        <v>رازی</v>
      </c>
      <c r="D250" s="18" t="str">
        <f aca="false">VLOOKUP(B250,Company!B:E,2,0)</f>
        <v>صبح</v>
      </c>
      <c r="E250" s="18" t="str">
        <f aca="false" t="array" ref="E250:E250">IFERROR(INDEX('Team Leads'!$B:$D, MATCH(C250,'Team Leads'!$A:$A,0), MATCH(D250,'Team Leads'!$B$1:$D$1,0)), "")</f>
        <v>آتنا مالمیر</v>
      </c>
      <c r="F250" s="18" t="n">
        <f aca="false">VLOOKUP(B250,'Operator Bugs'!A:P,16,0)</f>
        <v>0</v>
      </c>
      <c r="G250" s="18" t="n">
        <f aca="false">IFERROR(VLOOKUP(B250,'6-week1'!B:D,2,0),0)</f>
        <v>0</v>
      </c>
      <c r="H250" s="18" t="str">
        <f aca="false">IFERROR(VLOOKUP(B250,'6-week1'!B:D,3,0),"-")</f>
        <v>-</v>
      </c>
      <c r="I250" s="18" t="n">
        <f aca="false">IF(G250&gt;179,5,IF(G250&gt;149,4,IF(G250&gt;119,3,IF(G250&gt;89,2,IF(G250&gt;59,1,IF(G250&lt;=59,0))))))</f>
        <v>0</v>
      </c>
      <c r="J250" s="18" t="n">
        <f aca="false">IF(H250&gt;39,1,IF(H250&gt;32,2,IF(H250&gt;26,3,IF(H250&gt;20,4,IF(H250&lt;=20,5)))))</f>
        <v>1</v>
      </c>
      <c r="K250" s="15" t="n">
        <f aca="false">AVERAGE(I250:J250)</f>
        <v>0.5</v>
      </c>
      <c r="L250" s="19" t="n">
        <f aca="false">IFERROR(VLOOKUP(B250,'6-week2'!B:D,2,0),0)</f>
        <v>0</v>
      </c>
      <c r="M250" s="19" t="n">
        <f aca="false">IFERROR(VLOOKUP(B250,'6-week2'!B:D,3,0),0)</f>
        <v>0</v>
      </c>
      <c r="N250" s="19" t="n">
        <f aca="false">IF(L250&gt;179,5,IF(L250&gt;149,4,IF(L250&gt;119,3,IF(L250&gt;89,2,IF(L250&gt;59,1,IF(L250&lt;=59,0))))))</f>
        <v>0</v>
      </c>
      <c r="O250" s="19" t="n">
        <f aca="false">IF(M250&gt;39,1,IF(M250&gt;32,2,IF(M250&gt;26,3,IF(M250&gt;20,4,IF(M250&lt;=20,5)))))</f>
        <v>5</v>
      </c>
      <c r="P250" s="19" t="n">
        <f aca="false">AVERAGE(N250,O250)</f>
        <v>2.5</v>
      </c>
      <c r="Q250" s="19" t="n">
        <f aca="false">IFERROR(VLOOKUP(B250,'6-week1'!B:F,5,0),0)</f>
        <v>0</v>
      </c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</row>
    <row r="251" customFormat="false" ht="18" hidden="false" customHeight="true" outlineLevel="0" collapsed="false">
      <c r="A251" s="18" t="s">
        <v>296</v>
      </c>
      <c r="B251" s="18" t="str">
        <f aca="false">TRIM(A251)</f>
        <v>شراره نجاتی</v>
      </c>
      <c r="C251" s="18" t="str">
        <f aca="false">VLOOKUP(B251,Company!B:E,3,0)</f>
        <v>سینا</v>
      </c>
      <c r="D251" s="18" t="str">
        <f aca="false">VLOOKUP(B251,Company!B:E,2,0)</f>
        <v>عصر</v>
      </c>
      <c r="E251" s="18" t="str">
        <f aca="false" t="array" ref="E251:E251">IFERROR(INDEX('Team Leads'!$B:$D, MATCH(C251,'Team Leads'!$A:$A,0), MATCH(D251,'Team Leads'!$B$1:$D$1,0)), "")</f>
        <v>مهدی ایازی</v>
      </c>
      <c r="F251" s="18" t="n">
        <f aca="false">VLOOKUP(B251,'Operator Bugs'!A:P,16,0)</f>
        <v>0</v>
      </c>
      <c r="G251" s="18" t="n">
        <f aca="false">IFERROR(VLOOKUP(B251,'6-week1'!B:D,2,0),0)</f>
        <v>17</v>
      </c>
      <c r="H251" s="18" t="n">
        <f aca="false">IFERROR(VLOOKUP(B251,'6-week1'!B:D,3,0),"-")</f>
        <v>53</v>
      </c>
      <c r="I251" s="18" t="n">
        <f aca="false">IF(G251&gt;179,5,IF(G251&gt;149,4,IF(G251&gt;119,3,IF(G251&gt;89,2,IF(G251&gt;59,1,IF(G251&lt;=59,0))))))</f>
        <v>0</v>
      </c>
      <c r="J251" s="18" t="n">
        <f aca="false">IF(H251&gt;39,1,IF(H251&gt;32,2,IF(H251&gt;26,3,IF(H251&gt;20,4,IF(H251&lt;=20,5)))))</f>
        <v>1</v>
      </c>
      <c r="K251" s="15" t="n">
        <f aca="false">AVERAGE(I251:J251)</f>
        <v>0.5</v>
      </c>
      <c r="L251" s="19" t="n">
        <f aca="false">IFERROR(VLOOKUP(B251,'6-week2'!B:D,2,0),0)</f>
        <v>161</v>
      </c>
      <c r="M251" s="19" t="n">
        <f aca="false">IFERROR(VLOOKUP(B251,'6-week2'!B:D,3,0),0)</f>
        <v>32</v>
      </c>
      <c r="N251" s="19" t="n">
        <f aca="false">IF(L251&gt;179,5,IF(L251&gt;149,4,IF(L251&gt;119,3,IF(L251&gt;89,2,IF(L251&gt;59,1,IF(L251&lt;=59,0))))))</f>
        <v>4</v>
      </c>
      <c r="O251" s="19" t="n">
        <f aca="false">IF(M251&gt;39,1,IF(M251&gt;32,2,IF(M251&gt;26,3,IF(M251&gt;20,4,IF(M251&lt;=20,5)))))</f>
        <v>3</v>
      </c>
      <c r="P251" s="19" t="n">
        <f aca="false">AVERAGE(N251,O251)</f>
        <v>3.5</v>
      </c>
      <c r="Q251" s="19" t="n">
        <f aca="false">IFERROR(VLOOKUP(B251,'6-week1'!B:F,5,0),0)</f>
        <v>0</v>
      </c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</row>
    <row r="252" customFormat="false" ht="18" hidden="false" customHeight="true" outlineLevel="0" collapsed="false">
      <c r="A252" s="18" t="s">
        <v>297</v>
      </c>
      <c r="B252" s="18" t="str">
        <f aca="false">TRIM(A252)</f>
        <v>شقایق جوشقانی</v>
      </c>
      <c r="C252" s="18" t="str">
        <f aca="false">VLOOKUP(B252,Company!B:E,3,0)</f>
        <v>سینا</v>
      </c>
      <c r="D252" s="18" t="str">
        <f aca="false">VLOOKUP(B252,Company!B:E,2,0)</f>
        <v>صبح</v>
      </c>
      <c r="E252" s="18" t="str">
        <f aca="false" t="array" ref="E252:E252">IFERROR(INDEX('Team Leads'!$B:$D, MATCH(C252,'Team Leads'!$A:$A,0), MATCH(D252,'Team Leads'!$B$1:$D$1,0)), "")</f>
        <v>فاطمه دهقانپور</v>
      </c>
      <c r="F252" s="18" t="n">
        <f aca="false">VLOOKUP(B252,'Operator Bugs'!A:P,16,0)</f>
        <v>0</v>
      </c>
      <c r="G252" s="18" t="n">
        <f aca="false">IFERROR(VLOOKUP(B252,'6-week1'!B:D,2,0),0)</f>
        <v>0</v>
      </c>
      <c r="H252" s="18" t="str">
        <f aca="false">IFERROR(VLOOKUP(B252,'6-week1'!B:D,3,0),"-")</f>
        <v>-</v>
      </c>
      <c r="I252" s="18" t="n">
        <f aca="false">IF(G252&gt;179,5,IF(G252&gt;149,4,IF(G252&gt;119,3,IF(G252&gt;89,2,IF(G252&gt;59,1,IF(G252&lt;=59,0))))))</f>
        <v>0</v>
      </c>
      <c r="J252" s="18" t="n">
        <f aca="false">IF(H252&gt;39,1,IF(H252&gt;32,2,IF(H252&gt;26,3,IF(H252&gt;20,4,IF(H252&lt;=20,5)))))</f>
        <v>1</v>
      </c>
      <c r="K252" s="15" t="n">
        <f aca="false">AVERAGE(I252:J252)</f>
        <v>0.5</v>
      </c>
      <c r="L252" s="19" t="n">
        <f aca="false">IFERROR(VLOOKUP(B252,'6-week2'!B:D,2,0),0)</f>
        <v>0</v>
      </c>
      <c r="M252" s="19" t="n">
        <f aca="false">IFERROR(VLOOKUP(B252,'6-week2'!B:D,3,0),0)</f>
        <v>0</v>
      </c>
      <c r="N252" s="19" t="n">
        <f aca="false">IF(L252&gt;179,5,IF(L252&gt;149,4,IF(L252&gt;119,3,IF(L252&gt;89,2,IF(L252&gt;59,1,IF(L252&lt;=59,0))))))</f>
        <v>0</v>
      </c>
      <c r="O252" s="19" t="n">
        <f aca="false">IF(M252&gt;39,1,IF(M252&gt;32,2,IF(M252&gt;26,3,IF(M252&gt;20,4,IF(M252&lt;=20,5)))))</f>
        <v>5</v>
      </c>
      <c r="P252" s="19" t="n">
        <f aca="false">AVERAGE(N252,O252)</f>
        <v>2.5</v>
      </c>
      <c r="Q252" s="19" t="n">
        <f aca="false">IFERROR(VLOOKUP(B252,'6-week1'!B:F,5,0),0)</f>
        <v>0</v>
      </c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</row>
    <row r="253" customFormat="false" ht="18" hidden="false" customHeight="true" outlineLevel="0" collapsed="false">
      <c r="A253" s="18" t="s">
        <v>298</v>
      </c>
      <c r="B253" s="18" t="str">
        <f aca="false">TRIM(A253)</f>
        <v>غلامرضا رضایی گرجان</v>
      </c>
      <c r="C253" s="18" t="str">
        <f aca="false">VLOOKUP(B253,Company!B:E,3,0)</f>
        <v>سینا</v>
      </c>
      <c r="D253" s="18" t="str">
        <f aca="false">VLOOKUP(B253,Company!B:E,2,0)</f>
        <v>عصر</v>
      </c>
      <c r="E253" s="18" t="str">
        <f aca="false" t="array" ref="E253:E253">IFERROR(INDEX('Team Leads'!$B:$D, MATCH(C253,'Team Leads'!$A:$A,0), MATCH(D253,'Team Leads'!$B$1:$D$1,0)), "")</f>
        <v>مهدی ایازی</v>
      </c>
      <c r="F253" s="18" t="n">
        <f aca="false">VLOOKUP(B253,'Operator Bugs'!A:P,16,0)</f>
        <v>0</v>
      </c>
      <c r="G253" s="18" t="n">
        <f aca="false">IFERROR(VLOOKUP(B253,'6-week1'!B:D,2,0),0)</f>
        <v>45</v>
      </c>
      <c r="H253" s="18" t="n">
        <f aca="false">IFERROR(VLOOKUP(B253,'6-week1'!B:D,3,0),"-")</f>
        <v>56</v>
      </c>
      <c r="I253" s="18" t="n">
        <f aca="false">IF(G253&gt;179,5,IF(G253&gt;149,4,IF(G253&gt;119,3,IF(G253&gt;89,2,IF(G253&gt;59,1,IF(G253&lt;=59,0))))))</f>
        <v>0</v>
      </c>
      <c r="J253" s="18" t="n">
        <f aca="false">IF(H253&gt;39,1,IF(H253&gt;32,2,IF(H253&gt;26,3,IF(H253&gt;20,4,IF(H253&lt;=20,5)))))</f>
        <v>1</v>
      </c>
      <c r="K253" s="15" t="n">
        <f aca="false">AVERAGE(I253:J253)</f>
        <v>0.5</v>
      </c>
      <c r="L253" s="19" t="n">
        <f aca="false">IFERROR(VLOOKUP(B253,'6-week2'!B:D,2,0),0)</f>
        <v>58</v>
      </c>
      <c r="M253" s="19" t="n">
        <f aca="false">IFERROR(VLOOKUP(B253,'6-week2'!B:D,3,0),0)</f>
        <v>48</v>
      </c>
      <c r="N253" s="19" t="n">
        <f aca="false">IF(L253&gt;179,5,IF(L253&gt;149,4,IF(L253&gt;119,3,IF(L253&gt;89,2,IF(L253&gt;59,1,IF(L253&lt;=59,0))))))</f>
        <v>0</v>
      </c>
      <c r="O253" s="19" t="n">
        <f aca="false">IF(M253&gt;39,1,IF(M253&gt;32,2,IF(M253&gt;26,3,IF(M253&gt;20,4,IF(M253&lt;=20,5)))))</f>
        <v>1</v>
      </c>
      <c r="P253" s="19" t="n">
        <f aca="false">AVERAGE(N253,O253)</f>
        <v>0.5</v>
      </c>
      <c r="Q253" s="19" t="n">
        <f aca="false">IFERROR(VLOOKUP(B253,'6-week1'!B:F,5,0),0)</f>
        <v>0</v>
      </c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</row>
    <row r="254" customFormat="false" ht="18" hidden="false" customHeight="true" outlineLevel="0" collapsed="false">
      <c r="A254" s="18" t="s">
        <v>299</v>
      </c>
      <c r="B254" s="18" t="str">
        <f aca="false">TRIM(A254)</f>
        <v>فائزه سبزیانی داویجانی</v>
      </c>
      <c r="C254" s="18" t="str">
        <f aca="false">VLOOKUP(B254,Company!B:E,3,0)</f>
        <v>رازی</v>
      </c>
      <c r="D254" s="18" t="str">
        <f aca="false">VLOOKUP(B254,Company!B:E,2,0)</f>
        <v>عصر</v>
      </c>
      <c r="E254" s="18" t="str">
        <f aca="false" t="array" ref="E254:E254">IFERROR(INDEX('Team Leads'!$B:$D, MATCH(C254,'Team Leads'!$A:$A,0), MATCH(D254,'Team Leads'!$B$1:$D$1,0)), "")</f>
        <v>امیررضا فلاح</v>
      </c>
      <c r="F254" s="18" t="n">
        <f aca="false">VLOOKUP(B254,'Operator Bugs'!A:P,16,0)</f>
        <v>0</v>
      </c>
      <c r="G254" s="18" t="n">
        <f aca="false">IFERROR(VLOOKUP(B254,'6-week1'!B:D,2,0),0)</f>
        <v>16</v>
      </c>
      <c r="H254" s="18" t="n">
        <f aca="false">IFERROR(VLOOKUP(B254,'6-week1'!B:D,3,0),"-")</f>
        <v>79</v>
      </c>
      <c r="I254" s="18" t="n">
        <f aca="false">IF(G254&gt;179,5,IF(G254&gt;149,4,IF(G254&gt;119,3,IF(G254&gt;89,2,IF(G254&gt;59,1,IF(G254&lt;=59,0))))))</f>
        <v>0</v>
      </c>
      <c r="J254" s="18" t="n">
        <f aca="false">IF(H254&gt;39,1,IF(H254&gt;32,2,IF(H254&gt;26,3,IF(H254&gt;20,4,IF(H254&lt;=20,5)))))</f>
        <v>1</v>
      </c>
      <c r="K254" s="15" t="n">
        <f aca="false">AVERAGE(I254:J254)</f>
        <v>0.5</v>
      </c>
      <c r="L254" s="19" t="n">
        <f aca="false">IFERROR(VLOOKUP(B254,'6-week2'!B:D,2,0),0)</f>
        <v>26</v>
      </c>
      <c r="M254" s="19" t="n">
        <f aca="false">IFERROR(VLOOKUP(B254,'6-week2'!B:D,3,0),0)</f>
        <v>50</v>
      </c>
      <c r="N254" s="19" t="n">
        <f aca="false">IF(L254&gt;179,5,IF(L254&gt;149,4,IF(L254&gt;119,3,IF(L254&gt;89,2,IF(L254&gt;59,1,IF(L254&lt;=59,0))))))</f>
        <v>0</v>
      </c>
      <c r="O254" s="19" t="n">
        <f aca="false">IF(M254&gt;39,1,IF(M254&gt;32,2,IF(M254&gt;26,3,IF(M254&gt;20,4,IF(M254&lt;=20,5)))))</f>
        <v>1</v>
      </c>
      <c r="P254" s="19" t="n">
        <f aca="false">AVERAGE(N254,O254)</f>
        <v>0.5</v>
      </c>
      <c r="Q254" s="19" t="n">
        <f aca="false">IFERROR(VLOOKUP(B254,'6-week1'!B:F,5,0),0)</f>
        <v>0</v>
      </c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</row>
    <row r="255" customFormat="false" ht="18" hidden="false" customHeight="true" outlineLevel="0" collapsed="false">
      <c r="A255" s="18" t="s">
        <v>300</v>
      </c>
      <c r="B255" s="18" t="str">
        <f aca="false">TRIM(A255)</f>
        <v>فاطمه امیری</v>
      </c>
      <c r="C255" s="18" t="str">
        <f aca="false">VLOOKUP(B255,Company!B:E,3,0)</f>
        <v>رازی</v>
      </c>
      <c r="D255" s="18" t="str">
        <f aca="false">VLOOKUP(B255,Company!B:E,2,0)</f>
        <v>عصر</v>
      </c>
      <c r="E255" s="18" t="str">
        <f aca="false" t="array" ref="E255:E255">IFERROR(INDEX('Team Leads'!$B:$D, MATCH(C255,'Team Leads'!$A:$A,0), MATCH(D255,'Team Leads'!$B$1:$D$1,0)), "")</f>
        <v>امیررضا فلاح</v>
      </c>
      <c r="F255" s="18" t="n">
        <f aca="false">VLOOKUP(B255,'Operator Bugs'!A:P,16,0)</f>
        <v>0</v>
      </c>
      <c r="G255" s="18" t="n">
        <f aca="false">IFERROR(VLOOKUP(B255,'6-week1'!B:D,2,0),0)</f>
        <v>0</v>
      </c>
      <c r="H255" s="18" t="str">
        <f aca="false">IFERROR(VLOOKUP(B255,'6-week1'!B:D,3,0),"-")</f>
        <v>-</v>
      </c>
      <c r="I255" s="18" t="n">
        <f aca="false">IF(G255&gt;179,5,IF(G255&gt;149,4,IF(G255&gt;119,3,IF(G255&gt;89,2,IF(G255&gt;59,1,IF(G255&lt;=59,0))))))</f>
        <v>0</v>
      </c>
      <c r="J255" s="18" t="n">
        <f aca="false">IF(H255&gt;39,1,IF(H255&gt;32,2,IF(H255&gt;26,3,IF(H255&gt;20,4,IF(H255&lt;=20,5)))))</f>
        <v>1</v>
      </c>
      <c r="K255" s="15" t="n">
        <f aca="false">AVERAGE(I255:J255)</f>
        <v>0.5</v>
      </c>
      <c r="L255" s="19" t="n">
        <f aca="false">IFERROR(VLOOKUP(B255,'6-week2'!B:D,2,0),0)</f>
        <v>2</v>
      </c>
      <c r="M255" s="19" t="n">
        <f aca="false">IFERROR(VLOOKUP(B255,'6-week2'!B:D,3,0),0)</f>
        <v>41</v>
      </c>
      <c r="N255" s="19" t="n">
        <f aca="false">IF(L255&gt;179,5,IF(L255&gt;149,4,IF(L255&gt;119,3,IF(L255&gt;89,2,IF(L255&gt;59,1,IF(L255&lt;=59,0))))))</f>
        <v>0</v>
      </c>
      <c r="O255" s="19" t="n">
        <f aca="false">IF(M255&gt;39,1,IF(M255&gt;32,2,IF(M255&gt;26,3,IF(M255&gt;20,4,IF(M255&lt;=20,5)))))</f>
        <v>1</v>
      </c>
      <c r="P255" s="19" t="n">
        <f aca="false">AVERAGE(N255,O255)</f>
        <v>0.5</v>
      </c>
      <c r="Q255" s="19" t="n">
        <f aca="false">IFERROR(VLOOKUP(B255,'6-week1'!B:F,5,0),0)</f>
        <v>0</v>
      </c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</row>
    <row r="256" customFormat="false" ht="18" hidden="false" customHeight="true" outlineLevel="0" collapsed="false">
      <c r="A256" s="18" t="s">
        <v>301</v>
      </c>
      <c r="B256" s="18" t="str">
        <f aca="false">TRIM(A256)</f>
        <v>فاطمه براری</v>
      </c>
      <c r="C256" s="18" t="str">
        <f aca="false">VLOOKUP(B256,Company!B:E,3,0)</f>
        <v>رازی</v>
      </c>
      <c r="D256" s="18" t="str">
        <f aca="false">VLOOKUP(B256,Company!B:E,2,0)</f>
        <v>صبح</v>
      </c>
      <c r="E256" s="18" t="str">
        <f aca="false" t="array" ref="E256:E256">IFERROR(INDEX('Team Leads'!$B:$D, MATCH(C256,'Team Leads'!$A:$A,0), MATCH(D256,'Team Leads'!$B$1:$D$1,0)), "")</f>
        <v>آتنا مالمیر</v>
      </c>
      <c r="F256" s="18" t="n">
        <f aca="false">VLOOKUP(B256,'Operator Bugs'!A:P,16,0)</f>
        <v>0</v>
      </c>
      <c r="G256" s="18" t="n">
        <f aca="false">IFERROR(VLOOKUP(B256,'6-week1'!B:D,2,0),0)</f>
        <v>54</v>
      </c>
      <c r="H256" s="18" t="n">
        <f aca="false">IFERROR(VLOOKUP(B256,'6-week1'!B:D,3,0),"-")</f>
        <v>48</v>
      </c>
      <c r="I256" s="18" t="n">
        <f aca="false">IF(G256&gt;179,5,IF(G256&gt;149,4,IF(G256&gt;119,3,IF(G256&gt;89,2,IF(G256&gt;59,1,IF(G256&lt;=59,0))))))</f>
        <v>0</v>
      </c>
      <c r="J256" s="18" t="n">
        <f aca="false">IF(H256&gt;39,1,IF(H256&gt;32,2,IF(H256&gt;26,3,IF(H256&gt;20,4,IF(H256&lt;=20,5)))))</f>
        <v>1</v>
      </c>
      <c r="K256" s="15" t="n">
        <f aca="false">AVERAGE(I256:J256)</f>
        <v>0.5</v>
      </c>
      <c r="L256" s="19" t="n">
        <f aca="false">IFERROR(VLOOKUP(B256,'6-week2'!B:D,2,0),0)</f>
        <v>59</v>
      </c>
      <c r="M256" s="19" t="n">
        <f aca="false">IFERROR(VLOOKUP(B256,'6-week2'!B:D,3,0),0)</f>
        <v>31</v>
      </c>
      <c r="N256" s="19" t="n">
        <f aca="false">IF(L256&gt;179,5,IF(L256&gt;149,4,IF(L256&gt;119,3,IF(L256&gt;89,2,IF(L256&gt;59,1,IF(L256&lt;=59,0))))))</f>
        <v>0</v>
      </c>
      <c r="O256" s="19" t="n">
        <f aca="false">IF(M256&gt;39,1,IF(M256&gt;32,2,IF(M256&gt;26,3,IF(M256&gt;20,4,IF(M256&lt;=20,5)))))</f>
        <v>3</v>
      </c>
      <c r="P256" s="19" t="n">
        <f aca="false">AVERAGE(N256,O256)</f>
        <v>1.5</v>
      </c>
      <c r="Q256" s="19" t="n">
        <f aca="false">IFERROR(VLOOKUP(B256,'6-week1'!B:F,5,0),0)</f>
        <v>0</v>
      </c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</row>
    <row r="257" customFormat="false" ht="18" hidden="false" customHeight="true" outlineLevel="0" collapsed="false">
      <c r="A257" s="18" t="s">
        <v>302</v>
      </c>
      <c r="B257" s="18" t="str">
        <f aca="false">TRIM(A257)</f>
        <v>فاطمه منیری</v>
      </c>
      <c r="C257" s="18" t="str">
        <f aca="false">VLOOKUP(B257,Company!B:E,3,0)</f>
        <v>دی</v>
      </c>
      <c r="D257" s="18" t="str">
        <f aca="false">VLOOKUP(B257,Company!B:E,2,0)</f>
        <v>عصر</v>
      </c>
      <c r="E257" s="18" t="str">
        <f aca="false" t="array" ref="E257:E257">IFERROR(INDEX('Team Leads'!$B:$D, MATCH(C257,'Team Leads'!$A:$A,0), MATCH(D257,'Team Leads'!$B$1:$D$1,0)), "")</f>
        <v>علیرضا زمانیان</v>
      </c>
      <c r="F257" s="18" t="n">
        <f aca="false">VLOOKUP(B257,'Operator Bugs'!A:P,16,0)</f>
        <v>0</v>
      </c>
      <c r="G257" s="18" t="n">
        <f aca="false">IFERROR(VLOOKUP(B257,'6-week1'!B:D,2,0),0)</f>
        <v>57</v>
      </c>
      <c r="H257" s="18" t="n">
        <f aca="false">IFERROR(VLOOKUP(B257,'6-week1'!B:D,3,0),"-")</f>
        <v>40</v>
      </c>
      <c r="I257" s="18" t="n">
        <f aca="false">IF(G257&gt;179,5,IF(G257&gt;149,4,IF(G257&gt;119,3,IF(G257&gt;89,2,IF(G257&gt;59,1,IF(G257&lt;=59,0))))))</f>
        <v>0</v>
      </c>
      <c r="J257" s="18" t="n">
        <f aca="false">IF(H257&gt;39,1,IF(H257&gt;32,2,IF(H257&gt;26,3,IF(H257&gt;20,4,IF(H257&lt;=20,5)))))</f>
        <v>1</v>
      </c>
      <c r="K257" s="15" t="n">
        <f aca="false">AVERAGE(I257:J257)</f>
        <v>0.5</v>
      </c>
      <c r="L257" s="19" t="n">
        <f aca="false">IFERROR(VLOOKUP(B257,'6-week2'!B:D,2,0),0)</f>
        <v>61</v>
      </c>
      <c r="M257" s="19" t="n">
        <f aca="false">IFERROR(VLOOKUP(B257,'6-week2'!B:D,3,0),0)</f>
        <v>58</v>
      </c>
      <c r="N257" s="19" t="n">
        <f aca="false">IF(L257&gt;179,5,IF(L257&gt;149,4,IF(L257&gt;119,3,IF(L257&gt;89,2,IF(L257&gt;59,1,IF(L257&lt;=59,0))))))</f>
        <v>1</v>
      </c>
      <c r="O257" s="19" t="n">
        <f aca="false">IF(M257&gt;39,1,IF(M257&gt;32,2,IF(M257&gt;26,3,IF(M257&gt;20,4,IF(M257&lt;=20,5)))))</f>
        <v>1</v>
      </c>
      <c r="P257" s="19" t="n">
        <f aca="false">AVERAGE(N257,O257)</f>
        <v>1</v>
      </c>
      <c r="Q257" s="19" t="n">
        <f aca="false">IFERROR(VLOOKUP(B257,'6-week1'!B:F,5,0),0)</f>
        <v>0</v>
      </c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</row>
    <row r="258" customFormat="false" ht="18" hidden="false" customHeight="true" outlineLevel="0" collapsed="false">
      <c r="A258" s="18" t="s">
        <v>303</v>
      </c>
      <c r="B258" s="18" t="str">
        <f aca="false">TRIM(A258)</f>
        <v>لیلا پاشایی</v>
      </c>
      <c r="C258" s="18" t="str">
        <f aca="false">VLOOKUP(B258,Company!B:E,3,0)</f>
        <v>رازی</v>
      </c>
      <c r="D258" s="18" t="str">
        <f aca="false">VLOOKUP(B258,Company!B:E,2,0)</f>
        <v>عصر</v>
      </c>
      <c r="E258" s="18" t="str">
        <f aca="false" t="array" ref="E258:E258">IFERROR(INDEX('Team Leads'!$B:$D, MATCH(C258,'Team Leads'!$A:$A,0), MATCH(D258,'Team Leads'!$B$1:$D$1,0)), "")</f>
        <v>امیررضا فلاح</v>
      </c>
      <c r="F258" s="18" t="n">
        <f aca="false">VLOOKUP(B258,'Operator Bugs'!A:P,16,0)</f>
        <v>0</v>
      </c>
      <c r="G258" s="18" t="n">
        <f aca="false">IFERROR(VLOOKUP(B258,'6-week1'!B:D,2,0),0)</f>
        <v>49</v>
      </c>
      <c r="H258" s="18" t="n">
        <f aca="false">IFERROR(VLOOKUP(B258,'6-week1'!B:D,3,0),"-")</f>
        <v>45</v>
      </c>
      <c r="I258" s="18" t="n">
        <f aca="false">IF(G258&gt;179,5,IF(G258&gt;149,4,IF(G258&gt;119,3,IF(G258&gt;89,2,IF(G258&gt;59,1,IF(G258&lt;=59,0))))))</f>
        <v>0</v>
      </c>
      <c r="J258" s="18" t="n">
        <f aca="false">IF(H258&gt;39,1,IF(H258&gt;32,2,IF(H258&gt;26,3,IF(H258&gt;20,4,IF(H258&lt;=20,5)))))</f>
        <v>1</v>
      </c>
      <c r="K258" s="15" t="n">
        <f aca="false">AVERAGE(I258:J258)</f>
        <v>0.5</v>
      </c>
      <c r="L258" s="19" t="n">
        <f aca="false">IFERROR(VLOOKUP(B258,'6-week2'!B:D,2,0),0)</f>
        <v>74</v>
      </c>
      <c r="M258" s="19" t="n">
        <f aca="false">IFERROR(VLOOKUP(B258,'6-week2'!B:D,3,0),0)</f>
        <v>33</v>
      </c>
      <c r="N258" s="19" t="n">
        <f aca="false">IF(L258&gt;179,5,IF(L258&gt;149,4,IF(L258&gt;119,3,IF(L258&gt;89,2,IF(L258&gt;59,1,IF(L258&lt;=59,0))))))</f>
        <v>1</v>
      </c>
      <c r="O258" s="19" t="n">
        <f aca="false">IF(M258&gt;39,1,IF(M258&gt;32,2,IF(M258&gt;26,3,IF(M258&gt;20,4,IF(M258&lt;=20,5)))))</f>
        <v>2</v>
      </c>
      <c r="P258" s="19" t="n">
        <f aca="false">AVERAGE(N258,O258)</f>
        <v>1.5</v>
      </c>
      <c r="Q258" s="19" t="n">
        <f aca="false">IFERROR(VLOOKUP(B258,'6-week1'!B:F,5,0),0)</f>
        <v>0</v>
      </c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</row>
    <row r="259" customFormat="false" ht="18" hidden="false" customHeight="true" outlineLevel="0" collapsed="false">
      <c r="A259" s="18" t="s">
        <v>304</v>
      </c>
      <c r="B259" s="18" t="str">
        <f aca="false">TRIM(A259)</f>
        <v>مبینا کریمی</v>
      </c>
      <c r="C259" s="18" t="str">
        <f aca="false">VLOOKUP(B259,Company!B:E,3,0)</f>
        <v>رازی</v>
      </c>
      <c r="D259" s="18" t="str">
        <f aca="false">VLOOKUP(B259,Company!B:E,2,0)</f>
        <v>صبح</v>
      </c>
      <c r="E259" s="18" t="str">
        <f aca="false" t="array" ref="E259:E259">IFERROR(INDEX('Team Leads'!$B:$D, MATCH(C259,'Team Leads'!$A:$A,0), MATCH(D259,'Team Leads'!$B$1:$D$1,0)), "")</f>
        <v>آتنا مالمیر</v>
      </c>
      <c r="F259" s="18" t="n">
        <f aca="false">VLOOKUP(B259,'Operator Bugs'!A:P,16,0)</f>
        <v>0</v>
      </c>
      <c r="G259" s="18" t="n">
        <f aca="false">IFERROR(VLOOKUP(B259,'6-week1'!B:D,2,0),0)</f>
        <v>25</v>
      </c>
      <c r="H259" s="18" t="n">
        <f aca="false">IFERROR(VLOOKUP(B259,'6-week1'!B:D,3,0),"-")</f>
        <v>40</v>
      </c>
      <c r="I259" s="18" t="n">
        <f aca="false">IF(G259&gt;179,5,IF(G259&gt;149,4,IF(G259&gt;119,3,IF(G259&gt;89,2,IF(G259&gt;59,1,IF(G259&lt;=59,0))))))</f>
        <v>0</v>
      </c>
      <c r="J259" s="18" t="n">
        <f aca="false">IF(H259&gt;39,1,IF(H259&gt;32,2,IF(H259&gt;26,3,IF(H259&gt;20,4,IF(H259&lt;=20,5)))))</f>
        <v>1</v>
      </c>
      <c r="K259" s="15" t="n">
        <f aca="false">AVERAGE(I259:J259)</f>
        <v>0.5</v>
      </c>
      <c r="L259" s="19" t="n">
        <f aca="false">IFERROR(VLOOKUP(B259,'6-week2'!B:D,2,0),0)</f>
        <v>12</v>
      </c>
      <c r="M259" s="19" t="n">
        <f aca="false">IFERROR(VLOOKUP(B259,'6-week2'!B:D,3,0),0)</f>
        <v>31</v>
      </c>
      <c r="N259" s="19" t="n">
        <f aca="false">IF(L259&gt;179,5,IF(L259&gt;149,4,IF(L259&gt;119,3,IF(L259&gt;89,2,IF(L259&gt;59,1,IF(L259&lt;=59,0))))))</f>
        <v>0</v>
      </c>
      <c r="O259" s="19" t="n">
        <f aca="false">IF(M259&gt;39,1,IF(M259&gt;32,2,IF(M259&gt;26,3,IF(M259&gt;20,4,IF(M259&lt;=20,5)))))</f>
        <v>3</v>
      </c>
      <c r="P259" s="19" t="n">
        <f aca="false">AVERAGE(N259,O259)</f>
        <v>1.5</v>
      </c>
      <c r="Q259" s="19" t="n">
        <f aca="false">IFERROR(VLOOKUP(B259,'6-week1'!B:F,5,0),0)</f>
        <v>0</v>
      </c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</row>
    <row r="260" customFormat="false" ht="18" hidden="false" customHeight="true" outlineLevel="0" collapsed="false">
      <c r="A260" s="18" t="s">
        <v>305</v>
      </c>
      <c r="B260" s="18" t="str">
        <f aca="false">TRIM(A260)</f>
        <v>مجتبی بابالو</v>
      </c>
      <c r="C260" s="18" t="str">
        <f aca="false">VLOOKUP(B260,Company!B:E,3,0)</f>
        <v>رازی</v>
      </c>
      <c r="D260" s="18" t="str">
        <f aca="false">VLOOKUP(B260,Company!B:E,2,0)</f>
        <v>عصر</v>
      </c>
      <c r="E260" s="18" t="str">
        <f aca="false" t="array" ref="E260:E260">IFERROR(INDEX('Team Leads'!$B:$D, MATCH(C260,'Team Leads'!$A:$A,0), MATCH(D260,'Team Leads'!$B$1:$D$1,0)), "")</f>
        <v>امیررضا فلاح</v>
      </c>
      <c r="F260" s="18" t="n">
        <f aca="false">VLOOKUP(B260,'Operator Bugs'!A:P,16,0)</f>
        <v>0</v>
      </c>
      <c r="G260" s="18" t="n">
        <f aca="false">IFERROR(VLOOKUP(B260,'6-week1'!B:D,2,0),0)</f>
        <v>17</v>
      </c>
      <c r="H260" s="18" t="n">
        <f aca="false">IFERROR(VLOOKUP(B260,'6-week1'!B:D,3,0),"-")</f>
        <v>46</v>
      </c>
      <c r="I260" s="18" t="n">
        <f aca="false">IF(G260&gt;179,5,IF(G260&gt;149,4,IF(G260&gt;119,3,IF(G260&gt;89,2,IF(G260&gt;59,1,IF(G260&lt;=59,0))))))</f>
        <v>0</v>
      </c>
      <c r="J260" s="18" t="n">
        <f aca="false">IF(H260&gt;39,1,IF(H260&gt;32,2,IF(H260&gt;26,3,IF(H260&gt;20,4,IF(H260&lt;=20,5)))))</f>
        <v>1</v>
      </c>
      <c r="K260" s="15" t="n">
        <f aca="false">AVERAGE(I260:J260)</f>
        <v>0.5</v>
      </c>
      <c r="L260" s="19" t="n">
        <f aca="false">IFERROR(VLOOKUP(B260,'6-week2'!B:D,2,0),0)</f>
        <v>31</v>
      </c>
      <c r="M260" s="19" t="n">
        <f aca="false">IFERROR(VLOOKUP(B260,'6-week2'!B:D,3,0),0)</f>
        <v>36</v>
      </c>
      <c r="N260" s="19" t="n">
        <f aca="false">IF(L260&gt;179,5,IF(L260&gt;149,4,IF(L260&gt;119,3,IF(L260&gt;89,2,IF(L260&gt;59,1,IF(L260&lt;=59,0))))))</f>
        <v>0</v>
      </c>
      <c r="O260" s="19" t="n">
        <f aca="false">IF(M260&gt;39,1,IF(M260&gt;32,2,IF(M260&gt;26,3,IF(M260&gt;20,4,IF(M260&lt;=20,5)))))</f>
        <v>2</v>
      </c>
      <c r="P260" s="19" t="n">
        <f aca="false">AVERAGE(N260,O260)</f>
        <v>1</v>
      </c>
      <c r="Q260" s="19" t="n">
        <f aca="false">IFERROR(VLOOKUP(B260,'6-week1'!B:F,5,0),0)</f>
        <v>0</v>
      </c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</row>
    <row r="261" customFormat="false" ht="18" hidden="false" customHeight="true" outlineLevel="0" collapsed="false">
      <c r="A261" s="18" t="s">
        <v>306</v>
      </c>
      <c r="B261" s="18" t="str">
        <f aca="false">TRIM(A261)</f>
        <v>محمد حسین زمانیان</v>
      </c>
      <c r="C261" s="18" t="str">
        <f aca="false">VLOOKUP(B261,Company!B:E,3,0)</f>
        <v>تعاون</v>
      </c>
      <c r="D261" s="18" t="str">
        <f aca="false">VLOOKUP(B261,Company!B:E,2,0)</f>
        <v>عصر</v>
      </c>
      <c r="E261" s="18" t="str">
        <f aca="false" t="array" ref="E261:E261">IFERROR(INDEX('Team Leads'!$B:$D, MATCH(C261,'Team Leads'!$A:$A,0), MATCH(D261,'Team Leads'!$B$1:$D$1,0)), "")</f>
        <v>علیرضا زمانیان</v>
      </c>
      <c r="F261" s="18" t="n">
        <f aca="false">VLOOKUP(B261,'Operator Bugs'!A:P,16,0)</f>
        <v>0</v>
      </c>
      <c r="G261" s="18" t="n">
        <f aca="false">IFERROR(VLOOKUP(B261,'6-week1'!B:D,2,0),0)</f>
        <v>16</v>
      </c>
      <c r="H261" s="18" t="n">
        <f aca="false">IFERROR(VLOOKUP(B261,'6-week1'!B:D,3,0),"-")</f>
        <v>65</v>
      </c>
      <c r="I261" s="18" t="n">
        <f aca="false">IF(G261&gt;179,5,IF(G261&gt;149,4,IF(G261&gt;119,3,IF(G261&gt;89,2,IF(G261&gt;59,1,IF(G261&lt;=59,0))))))</f>
        <v>0</v>
      </c>
      <c r="J261" s="18" t="n">
        <f aca="false">IF(H261&gt;39,1,IF(H261&gt;32,2,IF(H261&gt;26,3,IF(H261&gt;20,4,IF(H261&lt;=20,5)))))</f>
        <v>1</v>
      </c>
      <c r="K261" s="15" t="n">
        <f aca="false">AVERAGE(I261:J261)</f>
        <v>0.5</v>
      </c>
      <c r="L261" s="19" t="n">
        <f aca="false">IFERROR(VLOOKUP(B261,'6-week2'!B:D,2,0),0)</f>
        <v>10</v>
      </c>
      <c r="M261" s="19" t="n">
        <f aca="false">IFERROR(VLOOKUP(B261,'6-week2'!B:D,3,0),0)</f>
        <v>45</v>
      </c>
      <c r="N261" s="19" t="n">
        <f aca="false">IF(L261&gt;179,5,IF(L261&gt;149,4,IF(L261&gt;119,3,IF(L261&gt;89,2,IF(L261&gt;59,1,IF(L261&lt;=59,0))))))</f>
        <v>0</v>
      </c>
      <c r="O261" s="19" t="n">
        <f aca="false">IF(M261&gt;39,1,IF(M261&gt;32,2,IF(M261&gt;26,3,IF(M261&gt;20,4,IF(M261&lt;=20,5)))))</f>
        <v>1</v>
      </c>
      <c r="P261" s="19" t="n">
        <f aca="false">AVERAGE(N261,O261)</f>
        <v>0.5</v>
      </c>
      <c r="Q261" s="19" t="n">
        <f aca="false">IFERROR(VLOOKUP(B261,'6-week1'!B:F,5,0),0)</f>
        <v>0</v>
      </c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</row>
    <row r="262" customFormat="false" ht="18" hidden="false" customHeight="true" outlineLevel="0" collapsed="false">
      <c r="A262" s="18" t="s">
        <v>307</v>
      </c>
      <c r="B262" s="18" t="str">
        <f aca="false">TRIM(A262)</f>
        <v>مرکز صدور افسر | مانلی خالدیان</v>
      </c>
      <c r="C262" s="18" t="str">
        <f aca="false">VLOOKUP(B262,Company!B:E,3,0)</f>
        <v>سنتر</v>
      </c>
      <c r="D262" s="18" t="str">
        <f aca="false">VLOOKUP(B262,Company!B:E,2,0)</f>
        <v>صبح</v>
      </c>
      <c r="E262" s="18" t="str">
        <f aca="false" t="array" ref="E262:E262">IFERROR(INDEX('Team Leads'!$B:$D, MATCH(C262,'Team Leads'!$A:$A,0), MATCH(D262,'Team Leads'!$B$1:$D$1,0)), "")</f>
        <v>مریم ایزدی - شاهین شهریاری</v>
      </c>
      <c r="F262" s="18" t="n">
        <f aca="false">VLOOKUP(B262,'Operator Bugs'!A:P,16,0)</f>
        <v>0</v>
      </c>
      <c r="G262" s="18" t="n">
        <f aca="false">IFERROR(VLOOKUP(B262,'6-week1'!B:D,2,0),0)</f>
        <v>0</v>
      </c>
      <c r="H262" s="18" t="str">
        <f aca="false">IFERROR(VLOOKUP(B262,'6-week1'!B:D,3,0),"-")</f>
        <v>-</v>
      </c>
      <c r="I262" s="18" t="n">
        <f aca="false">IF(G262&gt;179,5,IF(G262&gt;149,4,IF(G262&gt;119,3,IF(G262&gt;89,2,IF(G262&gt;59,1,IF(G262&lt;=59,0))))))</f>
        <v>0</v>
      </c>
      <c r="J262" s="18" t="n">
        <f aca="false">IF(H262&gt;39,1,IF(H262&gt;32,2,IF(H262&gt;26,3,IF(H262&gt;20,4,IF(H262&lt;=20,5)))))</f>
        <v>1</v>
      </c>
      <c r="K262" s="15" t="n">
        <f aca="false">AVERAGE(I262:J262)</f>
        <v>0.5</v>
      </c>
      <c r="L262" s="19" t="n">
        <f aca="false">IFERROR(VLOOKUP(B262,'6-week2'!B:D,2,0),0)</f>
        <v>0</v>
      </c>
      <c r="M262" s="19" t="n">
        <f aca="false">IFERROR(VLOOKUP(B262,'6-week2'!B:D,3,0),0)</f>
        <v>0</v>
      </c>
      <c r="N262" s="19" t="n">
        <f aca="false">IF(L262&gt;179,5,IF(L262&gt;149,4,IF(L262&gt;119,3,IF(L262&gt;89,2,IF(L262&gt;59,1,IF(L262&lt;=59,0))))))</f>
        <v>0</v>
      </c>
      <c r="O262" s="19" t="n">
        <f aca="false">IF(M262&gt;39,1,IF(M262&gt;32,2,IF(M262&gt;26,3,IF(M262&gt;20,4,IF(M262&lt;=20,5)))))</f>
        <v>5</v>
      </c>
      <c r="P262" s="19" t="n">
        <f aca="false">AVERAGE(N262,O262)</f>
        <v>2.5</v>
      </c>
      <c r="Q262" s="19" t="n">
        <f aca="false">IFERROR(VLOOKUP(B262,'6-week1'!B:F,5,0),0)</f>
        <v>0</v>
      </c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</row>
    <row r="263" customFormat="false" ht="18" hidden="false" customHeight="true" outlineLevel="0" collapsed="false">
      <c r="A263" s="18" t="s">
        <v>308</v>
      </c>
      <c r="B263" s="18" t="str">
        <f aca="false">TRIM(A263)</f>
        <v>مرکز صدور امیرحسین خوش سیرت</v>
      </c>
      <c r="C263" s="18" t="str">
        <f aca="false">VLOOKUP(B263,Company!B:E,3,0)</f>
        <v>سنتر</v>
      </c>
      <c r="D263" s="18" t="str">
        <f aca="false">VLOOKUP(B263,Company!B:E,2,0)</f>
        <v>اکانت آموزشی</v>
      </c>
      <c r="E263" s="18" t="str">
        <f aca="false" t="array" ref="E263:E263">IFERROR(INDEX('Team Leads'!$B:$D, MATCH(C263,'Team Leads'!$A:$A,0), MATCH(D263,'Team Leads'!$B$1:$D$1,0)), "")</f>
        <v>شاهین شهریاری</v>
      </c>
      <c r="F263" s="18" t="n">
        <f aca="false">VLOOKUP(B263,'Operator Bugs'!A:P,16,0)</f>
        <v>0</v>
      </c>
      <c r="G263" s="18" t="n">
        <f aca="false">IFERROR(VLOOKUP(B263,'6-week1'!B:D,2,0),0)</f>
        <v>0</v>
      </c>
      <c r="H263" s="18" t="str">
        <f aca="false">IFERROR(VLOOKUP(B263,'6-week1'!B:D,3,0),"-")</f>
        <v>-</v>
      </c>
      <c r="I263" s="18" t="n">
        <f aca="false">IF(G263&gt;179,5,IF(G263&gt;149,4,IF(G263&gt;119,3,IF(G263&gt;89,2,IF(G263&gt;59,1,IF(G263&lt;=59,0))))))</f>
        <v>0</v>
      </c>
      <c r="J263" s="18" t="n">
        <f aca="false">IF(H263&gt;39,1,IF(H263&gt;32,2,IF(H263&gt;26,3,IF(H263&gt;20,4,IF(H263&lt;=20,5)))))</f>
        <v>1</v>
      </c>
      <c r="K263" s="15" t="n">
        <f aca="false">AVERAGE(I263:J263)</f>
        <v>0.5</v>
      </c>
      <c r="L263" s="19" t="n">
        <f aca="false">IFERROR(VLOOKUP(B263,'6-week2'!B:D,2,0),0)</f>
        <v>0</v>
      </c>
      <c r="M263" s="19" t="n">
        <f aca="false">IFERROR(VLOOKUP(B263,'6-week2'!B:D,3,0),0)</f>
        <v>0</v>
      </c>
      <c r="N263" s="19" t="n">
        <f aca="false">IF(L263&gt;179,5,IF(L263&gt;149,4,IF(L263&gt;119,3,IF(L263&gt;89,2,IF(L263&gt;59,1,IF(L263&lt;=59,0))))))</f>
        <v>0</v>
      </c>
      <c r="O263" s="19" t="n">
        <f aca="false">IF(M263&gt;39,1,IF(M263&gt;32,2,IF(M263&gt;26,3,IF(M263&gt;20,4,IF(M263&lt;=20,5)))))</f>
        <v>5</v>
      </c>
      <c r="P263" s="19" t="n">
        <f aca="false">AVERAGE(N263,O263)</f>
        <v>2.5</v>
      </c>
      <c r="Q263" s="19" t="n">
        <f aca="false">IFERROR(VLOOKUP(B263,'6-week1'!B:F,5,0),0)</f>
        <v>0</v>
      </c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</row>
    <row r="264" customFormat="false" ht="18" hidden="false" customHeight="true" outlineLevel="0" collapsed="false">
      <c r="A264" s="18" t="s">
        <v>309</v>
      </c>
      <c r="B264" s="18" t="str">
        <f aca="false">TRIM(A264)</f>
        <v>مرکز صدور پیرهادی | زهرا پیرهادی</v>
      </c>
      <c r="C264" s="18" t="str">
        <f aca="false">VLOOKUP(B264,Company!B:E,3,0)</f>
        <v>سنتر</v>
      </c>
      <c r="D264" s="18" t="str">
        <f aca="false">VLOOKUP(B264,Company!B:E,2,0)</f>
        <v>اکانت آموزشی</v>
      </c>
      <c r="E264" s="18" t="str">
        <f aca="false" t="array" ref="E264:E264">IFERROR(INDEX('Team Leads'!$B:$D, MATCH(C264,'Team Leads'!$A:$A,0), MATCH(D264,'Team Leads'!$B$1:$D$1,0)), "")</f>
        <v>شاهین شهریاری</v>
      </c>
      <c r="F264" s="18" t="n">
        <f aca="false">VLOOKUP(B264,'Operator Bugs'!A:P,16,0)</f>
        <v>0</v>
      </c>
      <c r="G264" s="18" t="n">
        <f aca="false">IFERROR(VLOOKUP(B264,'6-week1'!B:D,2,0),0)</f>
        <v>10</v>
      </c>
      <c r="H264" s="18" t="n">
        <f aca="false">IFERROR(VLOOKUP(B264,'6-week1'!B:D,3,0),"-")</f>
        <v>43</v>
      </c>
      <c r="I264" s="18" t="n">
        <f aca="false">IF(G264&gt;179,5,IF(G264&gt;149,4,IF(G264&gt;119,3,IF(G264&gt;89,2,IF(G264&gt;59,1,IF(G264&lt;=59,0))))))</f>
        <v>0</v>
      </c>
      <c r="J264" s="18" t="n">
        <f aca="false">IF(H264&gt;39,1,IF(H264&gt;32,2,IF(H264&gt;26,3,IF(H264&gt;20,4,IF(H264&lt;=20,5)))))</f>
        <v>1</v>
      </c>
      <c r="K264" s="15" t="n">
        <f aca="false">AVERAGE(I264:J264)</f>
        <v>0.5</v>
      </c>
      <c r="L264" s="19" t="n">
        <f aca="false">IFERROR(VLOOKUP(B264,'6-week2'!B:D,2,0),0)</f>
        <v>30</v>
      </c>
      <c r="M264" s="19" t="n">
        <f aca="false">IFERROR(VLOOKUP(B264,'6-week2'!B:D,3,0),0)</f>
        <v>34</v>
      </c>
      <c r="N264" s="19" t="n">
        <f aca="false">IF(L264&gt;179,5,IF(L264&gt;149,4,IF(L264&gt;119,3,IF(L264&gt;89,2,IF(L264&gt;59,1,IF(L264&lt;=59,0))))))</f>
        <v>0</v>
      </c>
      <c r="O264" s="19" t="n">
        <f aca="false">IF(M264&gt;39,1,IF(M264&gt;32,2,IF(M264&gt;26,3,IF(M264&gt;20,4,IF(M264&lt;=20,5)))))</f>
        <v>2</v>
      </c>
      <c r="P264" s="19" t="n">
        <f aca="false">AVERAGE(N264,O264)</f>
        <v>1</v>
      </c>
      <c r="Q264" s="19" t="n">
        <f aca="false">IFERROR(VLOOKUP(B264,'6-week1'!B:F,5,0),0)</f>
        <v>0</v>
      </c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</row>
    <row r="265" customFormat="false" ht="18" hidden="false" customHeight="true" outlineLevel="0" collapsed="false">
      <c r="A265" s="18" t="s">
        <v>310</v>
      </c>
      <c r="B265" s="18" t="str">
        <f aca="false">TRIM(A265)</f>
        <v>مرکز صدور خوش سیرت | میثم قمری</v>
      </c>
      <c r="C265" s="18" t="str">
        <f aca="false">VLOOKUP(B265,Company!B:E,3,0)</f>
        <v>سنتر</v>
      </c>
      <c r="D265" s="18" t="str">
        <f aca="false">VLOOKUP(B265,Company!B:E,2,0)</f>
        <v>صبح</v>
      </c>
      <c r="E265" s="18" t="str">
        <f aca="false" t="array" ref="E265:E265">IFERROR(INDEX('Team Leads'!$B:$D, MATCH(C265,'Team Leads'!$A:$A,0), MATCH(D265,'Team Leads'!$B$1:$D$1,0)), "")</f>
        <v>مریم ایزدی - شاهین شهریاری</v>
      </c>
      <c r="F265" s="18" t="n">
        <f aca="false">VLOOKUP(B265,'Operator Bugs'!A:P,16,0)</f>
        <v>0</v>
      </c>
      <c r="G265" s="18" t="n">
        <f aca="false">IFERROR(VLOOKUP(B265,'6-week1'!B:D,2,0),0)</f>
        <v>0</v>
      </c>
      <c r="H265" s="18" t="str">
        <f aca="false">IFERROR(VLOOKUP(B265,'6-week1'!B:D,3,0),"-")</f>
        <v>-</v>
      </c>
      <c r="I265" s="18" t="n">
        <f aca="false">IF(G265&gt;179,5,IF(G265&gt;149,4,IF(G265&gt;119,3,IF(G265&gt;89,2,IF(G265&gt;59,1,IF(G265&lt;=59,0))))))</f>
        <v>0</v>
      </c>
      <c r="J265" s="18" t="n">
        <f aca="false">IF(H265&gt;39,1,IF(H265&gt;32,2,IF(H265&gt;26,3,IF(H265&gt;20,4,IF(H265&lt;=20,5)))))</f>
        <v>1</v>
      </c>
      <c r="K265" s="15" t="n">
        <f aca="false">AVERAGE(I265:J265)</f>
        <v>0.5</v>
      </c>
      <c r="L265" s="19" t="n">
        <f aca="false">IFERROR(VLOOKUP(B265,'6-week2'!B:D,2,0),0)</f>
        <v>0</v>
      </c>
      <c r="M265" s="19" t="n">
        <f aca="false">IFERROR(VLOOKUP(B265,'6-week2'!B:D,3,0),0)</f>
        <v>0</v>
      </c>
      <c r="N265" s="19" t="n">
        <f aca="false">IF(L265&gt;179,5,IF(L265&gt;149,4,IF(L265&gt;119,3,IF(L265&gt;89,2,IF(L265&gt;59,1,IF(L265&lt;=59,0))))))</f>
        <v>0</v>
      </c>
      <c r="O265" s="19" t="n">
        <f aca="false">IF(M265&gt;39,1,IF(M265&gt;32,2,IF(M265&gt;26,3,IF(M265&gt;20,4,IF(M265&lt;=20,5)))))</f>
        <v>5</v>
      </c>
      <c r="P265" s="19" t="n">
        <f aca="false">AVERAGE(N265,O265)</f>
        <v>2.5</v>
      </c>
      <c r="Q265" s="19" t="n">
        <f aca="false">IFERROR(VLOOKUP(B265,'6-week1'!B:F,5,0),0)</f>
        <v>0</v>
      </c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</row>
    <row r="266" customFormat="false" ht="18" hidden="false" customHeight="true" outlineLevel="0" collapsed="false">
      <c r="A266" s="18" t="s">
        <v>311</v>
      </c>
      <c r="B266" s="18" t="str">
        <f aca="false">TRIM(A266)</f>
        <v>مرکز صدور رضوانی | متین آقاجانی</v>
      </c>
      <c r="C266" s="18" t="str">
        <f aca="false">VLOOKUP(B266,Company!B:E,3,0)</f>
        <v>سنتر</v>
      </c>
      <c r="D266" s="18" t="str">
        <f aca="false">VLOOKUP(B266,Company!B:E,2,0)</f>
        <v>عصر</v>
      </c>
      <c r="E266" s="18" t="str">
        <f aca="false" t="array" ref="E266:E266">IFERROR(INDEX('Team Leads'!$B:$D, MATCH(C266,'Team Leads'!$A:$A,0), MATCH(D266,'Team Leads'!$B$1:$D$1,0)), "")</f>
        <v>هومن قضائی</v>
      </c>
      <c r="F266" s="18" t="n">
        <f aca="false">VLOOKUP(B266,'Operator Bugs'!A:P,16,0)</f>
        <v>0</v>
      </c>
      <c r="G266" s="18" t="n">
        <f aca="false">IFERROR(VLOOKUP(B266,'6-week1'!B:D,2,0),0)</f>
        <v>0</v>
      </c>
      <c r="H266" s="18" t="str">
        <f aca="false">IFERROR(VLOOKUP(B266,'6-week1'!B:D,3,0),"-")</f>
        <v>-</v>
      </c>
      <c r="I266" s="18" t="n">
        <f aca="false">IF(G266&gt;179,5,IF(G266&gt;149,4,IF(G266&gt;119,3,IF(G266&gt;89,2,IF(G266&gt;59,1,IF(G266&lt;=59,0))))))</f>
        <v>0</v>
      </c>
      <c r="J266" s="18" t="n">
        <f aca="false">IF(H266&gt;39,1,IF(H266&gt;32,2,IF(H266&gt;26,3,IF(H266&gt;20,4,IF(H266&lt;=20,5)))))</f>
        <v>1</v>
      </c>
      <c r="K266" s="15" t="n">
        <f aca="false">AVERAGE(I266:J266)</f>
        <v>0.5</v>
      </c>
      <c r="L266" s="19" t="n">
        <f aca="false">IFERROR(VLOOKUP(B266,'6-week2'!B:D,2,0),0)</f>
        <v>0</v>
      </c>
      <c r="M266" s="19" t="n">
        <f aca="false">IFERROR(VLOOKUP(B266,'6-week2'!B:D,3,0),0)</f>
        <v>0</v>
      </c>
      <c r="N266" s="19" t="n">
        <f aca="false">IF(L266&gt;179,5,IF(L266&gt;149,4,IF(L266&gt;119,3,IF(L266&gt;89,2,IF(L266&gt;59,1,IF(L266&lt;=59,0))))))</f>
        <v>0</v>
      </c>
      <c r="O266" s="19" t="n">
        <f aca="false">IF(M266&gt;39,1,IF(M266&gt;32,2,IF(M266&gt;26,3,IF(M266&gt;20,4,IF(M266&lt;=20,5)))))</f>
        <v>5</v>
      </c>
      <c r="P266" s="19" t="n">
        <f aca="false">AVERAGE(N266,O266)</f>
        <v>2.5</v>
      </c>
      <c r="Q266" s="19" t="n">
        <f aca="false">IFERROR(VLOOKUP(B266,'6-week1'!B:F,5,0),0)</f>
        <v>0</v>
      </c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</row>
    <row r="267" customFormat="false" ht="18" hidden="false" customHeight="true" outlineLevel="0" collapsed="false">
      <c r="A267" s="18" t="s">
        <v>312</v>
      </c>
      <c r="B267" s="18" t="str">
        <f aca="false">TRIM(A267)</f>
        <v>مرکز صدور علی دادی | علی دانایی</v>
      </c>
      <c r="C267" s="18" t="str">
        <f aca="false">VLOOKUP(B267,Company!B:E,3,0)</f>
        <v>سنتر</v>
      </c>
      <c r="D267" s="18" t="str">
        <f aca="false">VLOOKUP(B267,Company!B:E,2,0)</f>
        <v>صبح</v>
      </c>
      <c r="E267" s="18" t="str">
        <f aca="false" t="array" ref="E267:E267">IFERROR(INDEX('Team Leads'!$B:$D, MATCH(C267,'Team Leads'!$A:$A,0), MATCH(D267,'Team Leads'!$B$1:$D$1,0)), "")</f>
        <v>مریم ایزدی - شاهین شهریاری</v>
      </c>
      <c r="F267" s="18" t="n">
        <f aca="false">VLOOKUP(B267,'Operator Bugs'!A:P,16,0)</f>
        <v>0</v>
      </c>
      <c r="G267" s="18" t="n">
        <f aca="false">IFERROR(VLOOKUP(B267,'6-week1'!B:D,2,0),0)</f>
        <v>0</v>
      </c>
      <c r="H267" s="18" t="str">
        <f aca="false">IFERROR(VLOOKUP(B267,'6-week1'!B:D,3,0),"-")</f>
        <v>-</v>
      </c>
      <c r="I267" s="18" t="n">
        <f aca="false">IF(G267&gt;179,5,IF(G267&gt;149,4,IF(G267&gt;119,3,IF(G267&gt;89,2,IF(G267&gt;59,1,IF(G267&lt;=59,0))))))</f>
        <v>0</v>
      </c>
      <c r="J267" s="18" t="n">
        <f aca="false">IF(H267&gt;39,1,IF(H267&gt;32,2,IF(H267&gt;26,3,IF(H267&gt;20,4,IF(H267&lt;=20,5)))))</f>
        <v>1</v>
      </c>
      <c r="K267" s="15" t="n">
        <f aca="false">AVERAGE(I267:J267)</f>
        <v>0.5</v>
      </c>
      <c r="L267" s="19" t="n">
        <f aca="false">IFERROR(VLOOKUP(B267,'6-week2'!B:D,2,0),0)</f>
        <v>72</v>
      </c>
      <c r="M267" s="19" t="n">
        <f aca="false">IFERROR(VLOOKUP(B267,'6-week2'!B:D,3,0),0)</f>
        <v>34</v>
      </c>
      <c r="N267" s="19" t="n">
        <f aca="false">IF(L267&gt;179,5,IF(L267&gt;149,4,IF(L267&gt;119,3,IF(L267&gt;89,2,IF(L267&gt;59,1,IF(L267&lt;=59,0))))))</f>
        <v>1</v>
      </c>
      <c r="O267" s="19" t="n">
        <f aca="false">IF(M267&gt;39,1,IF(M267&gt;32,2,IF(M267&gt;26,3,IF(M267&gt;20,4,IF(M267&lt;=20,5)))))</f>
        <v>2</v>
      </c>
      <c r="P267" s="19" t="n">
        <f aca="false">AVERAGE(N267,O267)</f>
        <v>1.5</v>
      </c>
      <c r="Q267" s="19" t="n">
        <f aca="false">IFERROR(VLOOKUP(B267,'6-week1'!B:F,5,0),0)</f>
        <v>0</v>
      </c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</row>
    <row r="268" customFormat="false" ht="18" hidden="false" customHeight="true" outlineLevel="0" collapsed="false">
      <c r="A268" s="18" t="s">
        <v>313</v>
      </c>
      <c r="B268" s="18" t="str">
        <f aca="false">TRIM(A268)</f>
        <v>مرکز صدور کاظمی | اعظم قنبری</v>
      </c>
      <c r="C268" s="18" t="str">
        <f aca="false">VLOOKUP(B268,Company!B:E,3,0)</f>
        <v>سنتر</v>
      </c>
      <c r="D268" s="18" t="str">
        <f aca="false">VLOOKUP(B268,Company!B:E,2,0)</f>
        <v>صبح</v>
      </c>
      <c r="E268" s="18" t="str">
        <f aca="false" t="array" ref="E268:E268">IFERROR(INDEX('Team Leads'!$B:$D, MATCH(C268,'Team Leads'!$A:$A,0), MATCH(D268,'Team Leads'!$B$1:$D$1,0)), "")</f>
        <v>مریم ایزدی - شاهین شهریاری</v>
      </c>
      <c r="F268" s="18" t="n">
        <f aca="false">VLOOKUP(B268,'Operator Bugs'!A:P,16,0)</f>
        <v>0</v>
      </c>
      <c r="G268" s="18" t="n">
        <f aca="false">IFERROR(VLOOKUP(B268,'6-week1'!B:D,2,0),0)</f>
        <v>45</v>
      </c>
      <c r="H268" s="18" t="n">
        <f aca="false">IFERROR(VLOOKUP(B268,'6-week1'!B:D,3,0),"-")</f>
        <v>41</v>
      </c>
      <c r="I268" s="18" t="n">
        <f aca="false">IF(G268&gt;179,5,IF(G268&gt;149,4,IF(G268&gt;119,3,IF(G268&gt;89,2,IF(G268&gt;59,1,IF(G268&lt;=59,0))))))</f>
        <v>0</v>
      </c>
      <c r="J268" s="18" t="n">
        <f aca="false">IF(H268&gt;39,1,IF(H268&gt;32,2,IF(H268&gt;26,3,IF(H268&gt;20,4,IF(H268&lt;=20,5)))))</f>
        <v>1</v>
      </c>
      <c r="K268" s="15" t="n">
        <f aca="false">AVERAGE(I268:J268)</f>
        <v>0.5</v>
      </c>
      <c r="L268" s="19" t="n">
        <f aca="false">IFERROR(VLOOKUP(B268,'6-week2'!B:D,2,0),0)</f>
        <v>38</v>
      </c>
      <c r="M268" s="19" t="n">
        <f aca="false">IFERROR(VLOOKUP(B268,'6-week2'!B:D,3,0),0)</f>
        <v>40</v>
      </c>
      <c r="N268" s="19" t="n">
        <f aca="false">IF(L268&gt;179,5,IF(L268&gt;149,4,IF(L268&gt;119,3,IF(L268&gt;89,2,IF(L268&gt;59,1,IF(L268&lt;=59,0))))))</f>
        <v>0</v>
      </c>
      <c r="O268" s="19" t="n">
        <f aca="false">IF(M268&gt;39,1,IF(M268&gt;32,2,IF(M268&gt;26,3,IF(M268&gt;20,4,IF(M268&lt;=20,5)))))</f>
        <v>1</v>
      </c>
      <c r="P268" s="19" t="n">
        <f aca="false">AVERAGE(N268,O268)</f>
        <v>0.5</v>
      </c>
      <c r="Q268" s="19" t="n">
        <f aca="false">IFERROR(VLOOKUP(B268,'6-week1'!B:F,5,0),0)</f>
        <v>0</v>
      </c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</row>
    <row r="269" customFormat="false" ht="18" hidden="false" customHeight="true" outlineLevel="0" collapsed="false">
      <c r="A269" s="18" t="s">
        <v>314</v>
      </c>
      <c r="B269" s="18" t="str">
        <f aca="false">TRIM(A269)</f>
        <v>مرکز صدور یارعلی | متین کیومرثی</v>
      </c>
      <c r="C269" s="18" t="str">
        <f aca="false">VLOOKUP(B269,Company!B:E,3,0)</f>
        <v>سنتر</v>
      </c>
      <c r="D269" s="18" t="str">
        <f aca="false">VLOOKUP(B269,Company!B:E,2,0)</f>
        <v>صبح</v>
      </c>
      <c r="E269" s="18" t="str">
        <f aca="false" t="array" ref="E269:E269">IFERROR(INDEX('Team Leads'!$B:$D, MATCH(C269,'Team Leads'!$A:$A,0), MATCH(D269,'Team Leads'!$B$1:$D$1,0)), "")</f>
        <v>مریم ایزدی - شاهین شهریاری</v>
      </c>
      <c r="F269" s="18" t="n">
        <f aca="false">VLOOKUP(B269,'Operator Bugs'!A:P,16,0)</f>
        <v>0</v>
      </c>
      <c r="G269" s="18" t="n">
        <f aca="false">IFERROR(VLOOKUP(B269,'6-week1'!B:D,2,0),0)</f>
        <v>59</v>
      </c>
      <c r="H269" s="18" t="n">
        <f aca="false">IFERROR(VLOOKUP(B269,'6-week1'!B:D,3,0),"-")</f>
        <v>40</v>
      </c>
      <c r="I269" s="18" t="n">
        <f aca="false">IF(G269&gt;179,5,IF(G269&gt;149,4,IF(G269&gt;119,3,IF(G269&gt;89,2,IF(G269&gt;59,1,IF(G269&lt;=59,0))))))</f>
        <v>0</v>
      </c>
      <c r="J269" s="18" t="n">
        <f aca="false">IF(H269&gt;39,1,IF(H269&gt;32,2,IF(H269&gt;26,3,IF(H269&gt;20,4,IF(H269&lt;=20,5)))))</f>
        <v>1</v>
      </c>
      <c r="K269" s="15" t="n">
        <f aca="false">AVERAGE(I269:J269)</f>
        <v>0.5</v>
      </c>
      <c r="L269" s="19" t="n">
        <f aca="false">IFERROR(VLOOKUP(B269,'6-week2'!B:D,2,0),0)</f>
        <v>101</v>
      </c>
      <c r="M269" s="19" t="n">
        <f aca="false">IFERROR(VLOOKUP(B269,'6-week2'!B:D,3,0),0)</f>
        <v>33</v>
      </c>
      <c r="N269" s="19" t="n">
        <f aca="false">IF(L269&gt;179,5,IF(L269&gt;149,4,IF(L269&gt;119,3,IF(L269&gt;89,2,IF(L269&gt;59,1,IF(L269&lt;=59,0))))))</f>
        <v>2</v>
      </c>
      <c r="O269" s="19" t="n">
        <f aca="false">IF(M269&gt;39,1,IF(M269&gt;32,2,IF(M269&gt;26,3,IF(M269&gt;20,4,IF(M269&lt;=20,5)))))</f>
        <v>2</v>
      </c>
      <c r="P269" s="19" t="n">
        <f aca="false">AVERAGE(N269,O269)</f>
        <v>2</v>
      </c>
      <c r="Q269" s="19" t="n">
        <f aca="false">IFERROR(VLOOKUP(B269,'6-week1'!B:F,5,0),0)</f>
        <v>0</v>
      </c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</row>
    <row r="270" customFormat="false" ht="18" hidden="false" customHeight="true" outlineLevel="0" collapsed="false">
      <c r="A270" s="18" t="s">
        <v>315</v>
      </c>
      <c r="B270" s="18" t="str">
        <f aca="false">TRIM(A270)</f>
        <v>مریم محمودی</v>
      </c>
      <c r="C270" s="18" t="str">
        <f aca="false">VLOOKUP(B270,Company!B:E,3,0)</f>
        <v>رازی</v>
      </c>
      <c r="D270" s="18" t="str">
        <f aca="false">VLOOKUP(B270,Company!B:E,2,0)</f>
        <v>صبح</v>
      </c>
      <c r="E270" s="18" t="str">
        <f aca="false" t="array" ref="E270:E270">IFERROR(INDEX('Team Leads'!$B:$D, MATCH(C270,'Team Leads'!$A:$A,0), MATCH(D270,'Team Leads'!$B$1:$D$1,0)), "")</f>
        <v>آتنا مالمیر</v>
      </c>
      <c r="F270" s="18" t="n">
        <f aca="false">VLOOKUP(B270,'Operator Bugs'!A:P,16,0)</f>
        <v>0</v>
      </c>
      <c r="G270" s="18" t="n">
        <f aca="false">IFERROR(VLOOKUP(B270,'6-week1'!B:D,2,0),0)</f>
        <v>0</v>
      </c>
      <c r="H270" s="18" t="str">
        <f aca="false">IFERROR(VLOOKUP(B270,'6-week1'!B:D,3,0),"-")</f>
        <v>-</v>
      </c>
      <c r="I270" s="18" t="n">
        <f aca="false">IF(G270&gt;179,5,IF(G270&gt;149,4,IF(G270&gt;119,3,IF(G270&gt;89,2,IF(G270&gt;59,1,IF(G270&lt;=59,0))))))</f>
        <v>0</v>
      </c>
      <c r="J270" s="18" t="n">
        <f aca="false">IF(H270&gt;39,1,IF(H270&gt;32,2,IF(H270&gt;26,3,IF(H270&gt;20,4,IF(H270&lt;=20,5)))))</f>
        <v>1</v>
      </c>
      <c r="K270" s="15" t="n">
        <f aca="false">AVERAGE(I270:J270)</f>
        <v>0.5</v>
      </c>
      <c r="L270" s="19" t="n">
        <f aca="false">IFERROR(VLOOKUP(B270,'6-week2'!B:D,2,0),0)</f>
        <v>0</v>
      </c>
      <c r="M270" s="19" t="n">
        <f aca="false">IFERROR(VLOOKUP(B270,'6-week2'!B:D,3,0),0)</f>
        <v>0</v>
      </c>
      <c r="N270" s="19" t="n">
        <f aca="false">IF(L270&gt;179,5,IF(L270&gt;149,4,IF(L270&gt;119,3,IF(L270&gt;89,2,IF(L270&gt;59,1,IF(L270&lt;=59,0))))))</f>
        <v>0</v>
      </c>
      <c r="O270" s="19" t="n">
        <f aca="false">IF(M270&gt;39,1,IF(M270&gt;32,2,IF(M270&gt;26,3,IF(M270&gt;20,4,IF(M270&lt;=20,5)))))</f>
        <v>5</v>
      </c>
      <c r="P270" s="19" t="n">
        <f aca="false">AVERAGE(N270,O270)</f>
        <v>2.5</v>
      </c>
      <c r="Q270" s="19" t="n">
        <f aca="false">IFERROR(VLOOKUP(B270,'6-week1'!B:F,5,0),0)</f>
        <v>0</v>
      </c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</row>
    <row r="271" customFormat="false" ht="18" hidden="false" customHeight="true" outlineLevel="0" collapsed="false">
      <c r="A271" s="18" t="s">
        <v>316</v>
      </c>
      <c r="B271" s="18" t="str">
        <f aca="false">TRIM(A271)</f>
        <v>مهدی ایزدی</v>
      </c>
      <c r="C271" s="18" t="str">
        <f aca="false">VLOOKUP(B271,Company!B:E,3,0)</f>
        <v>تعاون</v>
      </c>
      <c r="D271" s="18" t="str">
        <f aca="false">VLOOKUP(B271,Company!B:E,2,0)</f>
        <v>عصر</v>
      </c>
      <c r="E271" s="18" t="str">
        <f aca="false" t="array" ref="E271:E271">IFERROR(INDEX('Team Leads'!$B:$D, MATCH(C271,'Team Leads'!$A:$A,0), MATCH(D271,'Team Leads'!$B$1:$D$1,0)), "")</f>
        <v>علیرضا زمانیان</v>
      </c>
      <c r="F271" s="18" t="n">
        <f aca="false">VLOOKUP(B271,'Operator Bugs'!A:P,16,0)</f>
        <v>0</v>
      </c>
      <c r="G271" s="18" t="n">
        <f aca="false">IFERROR(VLOOKUP(B271,'6-week1'!B:D,2,0),0)</f>
        <v>8</v>
      </c>
      <c r="H271" s="18" t="n">
        <f aca="false">IFERROR(VLOOKUP(B271,'6-week1'!B:D,3,0),"-")</f>
        <v>50</v>
      </c>
      <c r="I271" s="18" t="n">
        <f aca="false">IF(G271&gt;179,5,IF(G271&gt;149,4,IF(G271&gt;119,3,IF(G271&gt;89,2,IF(G271&gt;59,1,IF(G271&lt;=59,0))))))</f>
        <v>0</v>
      </c>
      <c r="J271" s="18" t="n">
        <f aca="false">IF(H271&gt;39,1,IF(H271&gt;32,2,IF(H271&gt;26,3,IF(H271&gt;20,4,IF(H271&lt;=20,5)))))</f>
        <v>1</v>
      </c>
      <c r="K271" s="15" t="n">
        <f aca="false">AVERAGE(I271:J271)</f>
        <v>0.5</v>
      </c>
      <c r="L271" s="19" t="n">
        <f aca="false">IFERROR(VLOOKUP(B271,'6-week2'!B:D,2,0),0)</f>
        <v>0</v>
      </c>
      <c r="M271" s="19" t="n">
        <f aca="false">IFERROR(VLOOKUP(B271,'6-week2'!B:D,3,0),0)</f>
        <v>0</v>
      </c>
      <c r="N271" s="19" t="n">
        <f aca="false">IF(L271&gt;179,5,IF(L271&gt;149,4,IF(L271&gt;119,3,IF(L271&gt;89,2,IF(L271&gt;59,1,IF(L271&lt;=59,0))))))</f>
        <v>0</v>
      </c>
      <c r="O271" s="19" t="n">
        <f aca="false">IF(M271&gt;39,1,IF(M271&gt;32,2,IF(M271&gt;26,3,IF(M271&gt;20,4,IF(M271&lt;=20,5)))))</f>
        <v>5</v>
      </c>
      <c r="P271" s="19" t="n">
        <f aca="false">AVERAGE(N271,O271)</f>
        <v>2.5</v>
      </c>
      <c r="Q271" s="19" t="n">
        <f aca="false">IFERROR(VLOOKUP(B271,'6-week1'!B:F,5,0),0)</f>
        <v>0</v>
      </c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</row>
    <row r="272" customFormat="false" ht="18" hidden="false" customHeight="true" outlineLevel="0" collapsed="false">
      <c r="A272" s="18" t="s">
        <v>317</v>
      </c>
      <c r="B272" s="18" t="str">
        <f aca="false">TRIM(A272)</f>
        <v>مهدی عابدینی</v>
      </c>
      <c r="C272" s="18" t="str">
        <f aca="false">VLOOKUP(B272,Company!B:E,3,0)</f>
        <v>سینا</v>
      </c>
      <c r="D272" s="18" t="str">
        <f aca="false">VLOOKUP(B272,Company!B:E,2,0)</f>
        <v>صبح</v>
      </c>
      <c r="E272" s="18" t="str">
        <f aca="false" t="array" ref="E272:E272">IFERROR(INDEX('Team Leads'!$B:$D, MATCH(C272,'Team Leads'!$A:$A,0), MATCH(D272,'Team Leads'!$B$1:$D$1,0)), "")</f>
        <v>فاطمه دهقانپور</v>
      </c>
      <c r="F272" s="18" t="n">
        <f aca="false">VLOOKUP(B272,'Operator Bugs'!A:P,16,0)</f>
        <v>0</v>
      </c>
      <c r="G272" s="18" t="n">
        <f aca="false">IFERROR(VLOOKUP(B272,'6-week1'!B:D,2,0),0)</f>
        <v>0</v>
      </c>
      <c r="H272" s="18" t="str">
        <f aca="false">IFERROR(VLOOKUP(B272,'6-week1'!B:D,3,0),"-")</f>
        <v>-</v>
      </c>
      <c r="I272" s="18" t="n">
        <f aca="false">IF(G272&gt;179,5,IF(G272&gt;149,4,IF(G272&gt;119,3,IF(G272&gt;89,2,IF(G272&gt;59,1,IF(G272&lt;=59,0))))))</f>
        <v>0</v>
      </c>
      <c r="J272" s="18" t="n">
        <f aca="false">IF(H272&gt;39,1,IF(H272&gt;32,2,IF(H272&gt;26,3,IF(H272&gt;20,4,IF(H272&lt;=20,5)))))</f>
        <v>1</v>
      </c>
      <c r="K272" s="15" t="n">
        <f aca="false">AVERAGE(I272:J272)</f>
        <v>0.5</v>
      </c>
      <c r="L272" s="19" t="n">
        <f aca="false">IFERROR(VLOOKUP(B272,'6-week2'!B:D,2,0),0)</f>
        <v>0</v>
      </c>
      <c r="M272" s="19" t="n">
        <f aca="false">IFERROR(VLOOKUP(B272,'6-week2'!B:D,3,0),0)</f>
        <v>0</v>
      </c>
      <c r="N272" s="19" t="n">
        <f aca="false">IF(L272&gt;179,5,IF(L272&gt;149,4,IF(L272&gt;119,3,IF(L272&gt;89,2,IF(L272&gt;59,1,IF(L272&lt;=59,0))))))</f>
        <v>0</v>
      </c>
      <c r="O272" s="19" t="n">
        <f aca="false">IF(M272&gt;39,1,IF(M272&gt;32,2,IF(M272&gt;26,3,IF(M272&gt;20,4,IF(M272&lt;=20,5)))))</f>
        <v>5</v>
      </c>
      <c r="P272" s="19" t="n">
        <f aca="false">AVERAGE(N272,O272)</f>
        <v>2.5</v>
      </c>
      <c r="Q272" s="19" t="n">
        <f aca="false">IFERROR(VLOOKUP(B272,'6-week1'!B:F,5,0),0)</f>
        <v>0</v>
      </c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</row>
    <row r="273" customFormat="false" ht="18" hidden="false" customHeight="true" outlineLevel="0" collapsed="false">
      <c r="A273" s="18" t="s">
        <v>318</v>
      </c>
      <c r="B273" s="18" t="str">
        <f aca="false">TRIM(A273)</f>
        <v>مهدی عظیمی</v>
      </c>
      <c r="C273" s="18" t="str">
        <f aca="false">VLOOKUP(B273,Company!B:E,3,0)</f>
        <v>پارسیان</v>
      </c>
      <c r="D273" s="18" t="str">
        <f aca="false">VLOOKUP(B273,Company!B:E,2,0)</f>
        <v>عصر</v>
      </c>
      <c r="E273" s="18" t="str">
        <f aca="false" t="array" ref="E273:E273">IFERROR(INDEX('Team Leads'!$B:$D, MATCH(C273,'Team Leads'!$A:$A,0), MATCH(D273,'Team Leads'!$B$1:$D$1,0)), "")</f>
        <v>مهدی ایازی</v>
      </c>
      <c r="F273" s="18" t="n">
        <f aca="false">VLOOKUP(B273,'Operator Bugs'!A:P,16,0)</f>
        <v>0</v>
      </c>
      <c r="G273" s="18" t="n">
        <f aca="false">IFERROR(VLOOKUP(B273,'6-week1'!B:D,2,0),0)</f>
        <v>8</v>
      </c>
      <c r="H273" s="18" t="n">
        <f aca="false">IFERROR(VLOOKUP(B273,'6-week1'!B:D,3,0),"-")</f>
        <v>58</v>
      </c>
      <c r="I273" s="18" t="n">
        <f aca="false">IF(G273&gt;179,5,IF(G273&gt;149,4,IF(G273&gt;119,3,IF(G273&gt;89,2,IF(G273&gt;59,1,IF(G273&lt;=59,0))))))</f>
        <v>0</v>
      </c>
      <c r="J273" s="18" t="n">
        <f aca="false">IF(H273&gt;39,1,IF(H273&gt;32,2,IF(H273&gt;26,3,IF(H273&gt;20,4,IF(H273&lt;=20,5)))))</f>
        <v>1</v>
      </c>
      <c r="K273" s="15" t="n">
        <f aca="false">AVERAGE(I273:J273)</f>
        <v>0.5</v>
      </c>
      <c r="L273" s="19" t="n">
        <f aca="false">IFERROR(VLOOKUP(B273,'6-week2'!B:D,2,0),0)</f>
        <v>0</v>
      </c>
      <c r="M273" s="19" t="n">
        <f aca="false">IFERROR(VLOOKUP(B273,'6-week2'!B:D,3,0),0)</f>
        <v>0</v>
      </c>
      <c r="N273" s="19" t="n">
        <f aca="false">IF(L273&gt;179,5,IF(L273&gt;149,4,IF(L273&gt;119,3,IF(L273&gt;89,2,IF(L273&gt;59,1,IF(L273&lt;=59,0))))))</f>
        <v>0</v>
      </c>
      <c r="O273" s="19" t="n">
        <f aca="false">IF(M273&gt;39,1,IF(M273&gt;32,2,IF(M273&gt;26,3,IF(M273&gt;20,4,IF(M273&lt;=20,5)))))</f>
        <v>5</v>
      </c>
      <c r="P273" s="19" t="n">
        <f aca="false">AVERAGE(N273,O273)</f>
        <v>2.5</v>
      </c>
      <c r="Q273" s="19" t="n">
        <f aca="false">IFERROR(VLOOKUP(B273,'6-week1'!B:F,5,0),0)</f>
        <v>0</v>
      </c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</row>
    <row r="274" customFormat="false" ht="18" hidden="false" customHeight="true" outlineLevel="0" collapsed="false">
      <c r="A274" s="18" t="s">
        <v>319</v>
      </c>
      <c r="B274" s="18" t="str">
        <f aca="false">TRIM(A274)</f>
        <v>نازنین خالقی</v>
      </c>
      <c r="C274" s="18" t="str">
        <f aca="false">VLOOKUP(B274,Company!B:E,3,0)</f>
        <v>سینا</v>
      </c>
      <c r="D274" s="18" t="str">
        <f aca="false">VLOOKUP(B274,Company!B:E,2,0)</f>
        <v>صبح</v>
      </c>
      <c r="E274" s="18" t="str">
        <f aca="false" t="array" ref="E274:E274">IFERROR(INDEX('Team Leads'!$B:$D, MATCH(C274,'Team Leads'!$A:$A,0), MATCH(D274,'Team Leads'!$B$1:$D$1,0)), "")</f>
        <v>فاطمه دهقانپور</v>
      </c>
      <c r="F274" s="18" t="n">
        <f aca="false">VLOOKUP(B274,'Operator Bugs'!A:P,16,0)</f>
        <v>0</v>
      </c>
      <c r="G274" s="18" t="n">
        <f aca="false">IFERROR(VLOOKUP(B274,'6-week1'!B:D,2,0),0)</f>
        <v>14</v>
      </c>
      <c r="H274" s="18" t="n">
        <f aca="false">IFERROR(VLOOKUP(B274,'6-week1'!B:D,3,0),"-")</f>
        <v>49</v>
      </c>
      <c r="I274" s="18" t="n">
        <f aca="false">IF(G274&gt;179,5,IF(G274&gt;149,4,IF(G274&gt;119,3,IF(G274&gt;89,2,IF(G274&gt;59,1,IF(G274&lt;=59,0))))))</f>
        <v>0</v>
      </c>
      <c r="J274" s="18" t="n">
        <f aca="false">IF(H274&gt;39,1,IF(H274&gt;32,2,IF(H274&gt;26,3,IF(H274&gt;20,4,IF(H274&lt;=20,5)))))</f>
        <v>1</v>
      </c>
      <c r="K274" s="15" t="n">
        <f aca="false">AVERAGE(I274:J274)</f>
        <v>0.5</v>
      </c>
      <c r="L274" s="19" t="n">
        <f aca="false">IFERROR(VLOOKUP(B274,'6-week2'!B:D,2,0),0)</f>
        <v>24</v>
      </c>
      <c r="M274" s="19" t="n">
        <f aca="false">IFERROR(VLOOKUP(B274,'6-week2'!B:D,3,0),0)</f>
        <v>34</v>
      </c>
      <c r="N274" s="19" t="n">
        <f aca="false">IF(L274&gt;179,5,IF(L274&gt;149,4,IF(L274&gt;119,3,IF(L274&gt;89,2,IF(L274&gt;59,1,IF(L274&lt;=59,0))))))</f>
        <v>0</v>
      </c>
      <c r="O274" s="19" t="n">
        <f aca="false">IF(M274&gt;39,1,IF(M274&gt;32,2,IF(M274&gt;26,3,IF(M274&gt;20,4,IF(M274&lt;=20,5)))))</f>
        <v>2</v>
      </c>
      <c r="P274" s="19" t="n">
        <f aca="false">AVERAGE(N274,O274)</f>
        <v>1</v>
      </c>
      <c r="Q274" s="19" t="n">
        <f aca="false">IFERROR(VLOOKUP(B274,'6-week1'!B:F,5,0),0)</f>
        <v>0</v>
      </c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</row>
    <row r="275" customFormat="false" ht="18" hidden="false" customHeight="true" outlineLevel="0" collapsed="false">
      <c r="A275" s="18" t="s">
        <v>320</v>
      </c>
      <c r="B275" s="18" t="str">
        <f aca="false">TRIM(A275)</f>
        <v>نازنین نیکوبین</v>
      </c>
      <c r="C275" s="18" t="str">
        <f aca="false">VLOOKUP(B275,Company!B:E,3,0)</f>
        <v>سینا</v>
      </c>
      <c r="D275" s="18" t="str">
        <f aca="false">VLOOKUP(B275,Company!B:E,2,0)</f>
        <v>صبح</v>
      </c>
      <c r="E275" s="18" t="str">
        <f aca="false" t="array" ref="E275:E275">IFERROR(INDEX('Team Leads'!$B:$D, MATCH(C275,'Team Leads'!$A:$A,0), MATCH(D275,'Team Leads'!$B$1:$D$1,0)), "")</f>
        <v>فاطمه دهقانپور</v>
      </c>
      <c r="F275" s="18" t="n">
        <f aca="false">VLOOKUP(B275,'Operator Bugs'!A:P,16,0)</f>
        <v>0</v>
      </c>
      <c r="G275" s="18" t="n">
        <f aca="false">IFERROR(VLOOKUP(B275,'6-week1'!B:D,2,0),0)</f>
        <v>26</v>
      </c>
      <c r="H275" s="18" t="n">
        <f aca="false">IFERROR(VLOOKUP(B275,'6-week1'!B:D,3,0),"-")</f>
        <v>50</v>
      </c>
      <c r="I275" s="18" t="n">
        <f aca="false">IF(G275&gt;179,5,IF(G275&gt;149,4,IF(G275&gt;119,3,IF(G275&gt;89,2,IF(G275&gt;59,1,IF(G275&lt;=59,0))))))</f>
        <v>0</v>
      </c>
      <c r="J275" s="18" t="n">
        <f aca="false">IF(H275&gt;39,1,IF(H275&gt;32,2,IF(H275&gt;26,3,IF(H275&gt;20,4,IF(H275&lt;=20,5)))))</f>
        <v>1</v>
      </c>
      <c r="K275" s="15" t="n">
        <f aca="false">AVERAGE(I275:J275)</f>
        <v>0.5</v>
      </c>
      <c r="L275" s="19" t="n">
        <f aca="false">IFERROR(VLOOKUP(B275,'6-week2'!B:D,2,0),0)</f>
        <v>45</v>
      </c>
      <c r="M275" s="19" t="n">
        <f aca="false">IFERROR(VLOOKUP(B275,'6-week2'!B:D,3,0),0)</f>
        <v>43</v>
      </c>
      <c r="N275" s="19" t="n">
        <f aca="false">IF(L275&gt;179,5,IF(L275&gt;149,4,IF(L275&gt;119,3,IF(L275&gt;89,2,IF(L275&gt;59,1,IF(L275&lt;=59,0))))))</f>
        <v>0</v>
      </c>
      <c r="O275" s="19" t="n">
        <f aca="false">IF(M275&gt;39,1,IF(M275&gt;32,2,IF(M275&gt;26,3,IF(M275&gt;20,4,IF(M275&lt;=20,5)))))</f>
        <v>1</v>
      </c>
      <c r="P275" s="19" t="n">
        <f aca="false">AVERAGE(N275,O275)</f>
        <v>0.5</v>
      </c>
      <c r="Q275" s="19" t="n">
        <f aca="false">IFERROR(VLOOKUP(B275,'6-week1'!B:F,5,0),0)</f>
        <v>0</v>
      </c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</row>
    <row r="276" customFormat="false" ht="18" hidden="false" customHeight="true" outlineLevel="0" collapsed="false">
      <c r="A276" s="18" t="s">
        <v>321</v>
      </c>
      <c r="B276" s="18" t="str">
        <f aca="false">TRIM(A276)</f>
        <v>نرگس احمدی</v>
      </c>
      <c r="C276" s="18" t="str">
        <f aca="false">VLOOKUP(B276,Company!B:E,3,0)</f>
        <v>رازی</v>
      </c>
      <c r="D276" s="18" t="str">
        <f aca="false">VLOOKUP(B276,Company!B:E,2,0)</f>
        <v>صبح</v>
      </c>
      <c r="E276" s="18" t="str">
        <f aca="false" t="array" ref="E276:E276">IFERROR(INDEX('Team Leads'!$B:$D, MATCH(C276,'Team Leads'!$A:$A,0), MATCH(D276,'Team Leads'!$B$1:$D$1,0)), "")</f>
        <v>آتنا مالمیر</v>
      </c>
      <c r="F276" s="18" t="n">
        <f aca="false">VLOOKUP(B276,'Operator Bugs'!A:P,16,0)</f>
        <v>0</v>
      </c>
      <c r="G276" s="18" t="n">
        <f aca="false">IFERROR(VLOOKUP(B276,'6-week1'!B:D,2,0),0)</f>
        <v>27</v>
      </c>
      <c r="H276" s="18" t="n">
        <f aca="false">IFERROR(VLOOKUP(B276,'6-week1'!B:D,3,0),"-")</f>
        <v>48</v>
      </c>
      <c r="I276" s="18" t="n">
        <f aca="false">IF(G276&gt;179,5,IF(G276&gt;149,4,IF(G276&gt;119,3,IF(G276&gt;89,2,IF(G276&gt;59,1,IF(G276&lt;=59,0))))))</f>
        <v>0</v>
      </c>
      <c r="J276" s="18" t="n">
        <f aca="false">IF(H276&gt;39,1,IF(H276&gt;32,2,IF(H276&gt;26,3,IF(H276&gt;20,4,IF(H276&lt;=20,5)))))</f>
        <v>1</v>
      </c>
      <c r="K276" s="15" t="n">
        <f aca="false">AVERAGE(I276:J276)</f>
        <v>0.5</v>
      </c>
      <c r="L276" s="19" t="n">
        <f aca="false">IFERROR(VLOOKUP(B276,'6-week2'!B:D,2,0),0)</f>
        <v>31</v>
      </c>
      <c r="M276" s="19" t="n">
        <f aca="false">IFERROR(VLOOKUP(B276,'6-week2'!B:D,3,0),0)</f>
        <v>29</v>
      </c>
      <c r="N276" s="19" t="n">
        <f aca="false">IF(L276&gt;179,5,IF(L276&gt;149,4,IF(L276&gt;119,3,IF(L276&gt;89,2,IF(L276&gt;59,1,IF(L276&lt;=59,0))))))</f>
        <v>0</v>
      </c>
      <c r="O276" s="19" t="n">
        <f aca="false">IF(M276&gt;39,1,IF(M276&gt;32,2,IF(M276&gt;26,3,IF(M276&gt;20,4,IF(M276&lt;=20,5)))))</f>
        <v>3</v>
      </c>
      <c r="P276" s="19" t="n">
        <f aca="false">AVERAGE(N276,O276)</f>
        <v>1.5</v>
      </c>
      <c r="Q276" s="19" t="n">
        <f aca="false">IFERROR(VLOOKUP(B276,'6-week1'!B:F,5,0),0)</f>
        <v>0</v>
      </c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</row>
    <row r="277" customFormat="false" ht="18" hidden="false" customHeight="true" outlineLevel="0" collapsed="false">
      <c r="A277" s="18" t="s">
        <v>322</v>
      </c>
      <c r="B277" s="18" t="str">
        <f aca="false">TRIM(A277)</f>
        <v>نرمین سرمستی</v>
      </c>
      <c r="C277" s="18" t="str">
        <f aca="false">VLOOKUP(B277,Company!B:E,3,0)</f>
        <v>رازی</v>
      </c>
      <c r="D277" s="18" t="str">
        <f aca="false">VLOOKUP(B277,Company!B:E,2,0)</f>
        <v>صبح</v>
      </c>
      <c r="E277" s="18" t="str">
        <f aca="false" t="array" ref="E277:E277">IFERROR(INDEX('Team Leads'!$B:$D, MATCH(C277,'Team Leads'!$A:$A,0), MATCH(D277,'Team Leads'!$B$1:$D$1,0)), "")</f>
        <v>آتنا مالمیر</v>
      </c>
      <c r="F277" s="18" t="n">
        <f aca="false">VLOOKUP(B277,'Operator Bugs'!A:P,16,0)</f>
        <v>0</v>
      </c>
      <c r="G277" s="18" t="n">
        <f aca="false">IFERROR(VLOOKUP(B277,'6-week1'!B:D,2,0),0)</f>
        <v>54</v>
      </c>
      <c r="H277" s="18" t="n">
        <f aca="false">IFERROR(VLOOKUP(B277,'6-week1'!B:D,3,0),"-")</f>
        <v>43</v>
      </c>
      <c r="I277" s="18" t="n">
        <f aca="false">IF(G277&gt;179,5,IF(G277&gt;149,4,IF(G277&gt;119,3,IF(G277&gt;89,2,IF(G277&gt;59,1,IF(G277&lt;=59,0))))))</f>
        <v>0</v>
      </c>
      <c r="J277" s="18" t="n">
        <f aca="false">IF(H277&gt;39,1,IF(H277&gt;32,2,IF(H277&gt;26,3,IF(H277&gt;20,4,IF(H277&lt;=20,5)))))</f>
        <v>1</v>
      </c>
      <c r="K277" s="15" t="n">
        <f aca="false">AVERAGE(I277:J277)</f>
        <v>0.5</v>
      </c>
      <c r="L277" s="19" t="n">
        <f aca="false">IFERROR(VLOOKUP(B277,'6-week2'!B:D,2,0),0)</f>
        <v>34</v>
      </c>
      <c r="M277" s="19" t="n">
        <f aca="false">IFERROR(VLOOKUP(B277,'6-week2'!B:D,3,0),0)</f>
        <v>40</v>
      </c>
      <c r="N277" s="19" t="n">
        <f aca="false">IF(L277&gt;179,5,IF(L277&gt;149,4,IF(L277&gt;119,3,IF(L277&gt;89,2,IF(L277&gt;59,1,IF(L277&lt;=59,0))))))</f>
        <v>0</v>
      </c>
      <c r="O277" s="19" t="n">
        <f aca="false">IF(M277&gt;39,1,IF(M277&gt;32,2,IF(M277&gt;26,3,IF(M277&gt;20,4,IF(M277&lt;=20,5)))))</f>
        <v>1</v>
      </c>
      <c r="P277" s="19" t="n">
        <f aca="false">AVERAGE(N277,O277)</f>
        <v>0.5</v>
      </c>
      <c r="Q277" s="19" t="n">
        <f aca="false">IFERROR(VLOOKUP(B277,'6-week1'!B:F,5,0),0)</f>
        <v>0</v>
      </c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</row>
    <row r="278" customFormat="false" ht="18" hidden="false" customHeight="true" outlineLevel="0" collapsed="false">
      <c r="A278" s="18" t="s">
        <v>323</v>
      </c>
      <c r="B278" s="18" t="str">
        <f aca="false">TRIM(A278)</f>
        <v>نوشین عامری</v>
      </c>
      <c r="C278" s="18" t="str">
        <f aca="false">VLOOKUP(B278,Company!B:E,3,0)</f>
        <v>تعاون</v>
      </c>
      <c r="D278" s="18" t="str">
        <f aca="false">VLOOKUP(B278,Company!B:E,2,0)</f>
        <v>صبح</v>
      </c>
      <c r="E278" s="18" t="str">
        <f aca="false" t="array" ref="E278:E278">IFERROR(INDEX('Team Leads'!$B:$D, MATCH(C278,'Team Leads'!$A:$A,0), MATCH(D278,'Team Leads'!$B$1:$D$1,0)), "")</f>
        <v>مهدی فراهانی</v>
      </c>
      <c r="F278" s="18" t="n">
        <f aca="false">VLOOKUP(B278,'Operator Bugs'!A:P,16,0)</f>
        <v>0</v>
      </c>
      <c r="G278" s="18" t="n">
        <f aca="false">IFERROR(VLOOKUP(B278,'6-week1'!B:D,2,0),0)</f>
        <v>0</v>
      </c>
      <c r="H278" s="18" t="str">
        <f aca="false">IFERROR(VLOOKUP(B278,'6-week1'!B:D,3,0),"-")</f>
        <v>-</v>
      </c>
      <c r="I278" s="18" t="n">
        <f aca="false">IF(G278&gt;179,5,IF(G278&gt;149,4,IF(G278&gt;119,3,IF(G278&gt;89,2,IF(G278&gt;59,1,IF(G278&lt;=59,0))))))</f>
        <v>0</v>
      </c>
      <c r="J278" s="18" t="n">
        <f aca="false">IF(H278&gt;39,1,IF(H278&gt;32,2,IF(H278&gt;26,3,IF(H278&gt;20,4,IF(H278&lt;=20,5)))))</f>
        <v>1</v>
      </c>
      <c r="K278" s="15" t="n">
        <f aca="false">AVERAGE(I278:J278)</f>
        <v>0.5</v>
      </c>
      <c r="L278" s="19" t="n">
        <f aca="false">IFERROR(VLOOKUP(B278,'6-week2'!B:D,2,0),0)</f>
        <v>0</v>
      </c>
      <c r="M278" s="19" t="n">
        <f aca="false">IFERROR(VLOOKUP(B278,'6-week2'!B:D,3,0),0)</f>
        <v>0</v>
      </c>
      <c r="N278" s="19" t="n">
        <f aca="false">IF(L278&gt;179,5,IF(L278&gt;149,4,IF(L278&gt;119,3,IF(L278&gt;89,2,IF(L278&gt;59,1,IF(L278&lt;=59,0))))))</f>
        <v>0</v>
      </c>
      <c r="O278" s="19" t="n">
        <f aca="false">IF(M278&gt;39,1,IF(M278&gt;32,2,IF(M278&gt;26,3,IF(M278&gt;20,4,IF(M278&lt;=20,5)))))</f>
        <v>5</v>
      </c>
      <c r="P278" s="19" t="n">
        <f aca="false">AVERAGE(N278,O278)</f>
        <v>2.5</v>
      </c>
      <c r="Q278" s="19" t="n">
        <f aca="false">IFERROR(VLOOKUP(B278,'6-week1'!B:F,5,0),0)</f>
        <v>0</v>
      </c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</row>
    <row r="279" customFormat="false" ht="18" hidden="false" customHeight="true" outlineLevel="0" collapsed="false">
      <c r="A279" s="18" t="s">
        <v>324</v>
      </c>
      <c r="B279" s="18" t="str">
        <f aca="false">TRIM(A279)</f>
        <v>وحید شجاعی</v>
      </c>
      <c r="C279" s="18" t="str">
        <f aca="false">VLOOKUP(B279,Company!B:E,3,0)</f>
        <v>سینا</v>
      </c>
      <c r="D279" s="18" t="str">
        <f aca="false">VLOOKUP(B279,Company!B:E,2,0)</f>
        <v>صبح</v>
      </c>
      <c r="E279" s="18" t="str">
        <f aca="false" t="array" ref="E279:E279">IFERROR(INDEX('Team Leads'!$B:$D, MATCH(C279,'Team Leads'!$A:$A,0), MATCH(D279,'Team Leads'!$B$1:$D$1,0)), "")</f>
        <v>فاطمه دهقانپور</v>
      </c>
      <c r="F279" s="18" t="n">
        <f aca="false">VLOOKUP(B279,'Operator Bugs'!A:P,16,0)</f>
        <v>0</v>
      </c>
      <c r="G279" s="18" t="n">
        <f aca="false">IFERROR(VLOOKUP(B279,'6-week1'!B:D,2,0),0)</f>
        <v>12</v>
      </c>
      <c r="H279" s="18" t="n">
        <f aca="false">IFERROR(VLOOKUP(B279,'6-week1'!B:D,3,0),"-")</f>
        <v>51</v>
      </c>
      <c r="I279" s="18" t="n">
        <f aca="false">IF(G279&gt;179,5,IF(G279&gt;149,4,IF(G279&gt;119,3,IF(G279&gt;89,2,IF(G279&gt;59,1,IF(G279&lt;=59,0))))))</f>
        <v>0</v>
      </c>
      <c r="J279" s="18" t="n">
        <f aca="false">IF(H279&gt;39,1,IF(H279&gt;32,2,IF(H279&gt;26,3,IF(H279&gt;20,4,IF(H279&lt;=20,5)))))</f>
        <v>1</v>
      </c>
      <c r="K279" s="15" t="n">
        <f aca="false">AVERAGE(I279:J279)</f>
        <v>0.5</v>
      </c>
      <c r="L279" s="19" t="n">
        <f aca="false">IFERROR(VLOOKUP(B279,'6-week2'!B:D,2,0),0)</f>
        <v>12</v>
      </c>
      <c r="M279" s="19" t="n">
        <f aca="false">IFERROR(VLOOKUP(B279,'6-week2'!B:D,3,0),0)</f>
        <v>46</v>
      </c>
      <c r="N279" s="19" t="n">
        <f aca="false">IF(L279&gt;179,5,IF(L279&gt;149,4,IF(L279&gt;119,3,IF(L279&gt;89,2,IF(L279&gt;59,1,IF(L279&lt;=59,0))))))</f>
        <v>0</v>
      </c>
      <c r="O279" s="19" t="n">
        <f aca="false">IF(M279&gt;39,1,IF(M279&gt;32,2,IF(M279&gt;26,3,IF(M279&gt;20,4,IF(M279&lt;=20,5)))))</f>
        <v>1</v>
      </c>
      <c r="P279" s="19" t="n">
        <f aca="false">AVERAGE(N279,O279)</f>
        <v>0.5</v>
      </c>
      <c r="Q279" s="19" t="n">
        <f aca="false">IFERROR(VLOOKUP(B279,'6-week1'!B:F,5,0),0)</f>
        <v>0</v>
      </c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</row>
    <row r="280" customFormat="false" ht="18" hidden="false" customHeight="true" outlineLevel="0" collapsed="false">
      <c r="A280" s="15"/>
      <c r="B280" s="15" t="s">
        <v>325</v>
      </c>
      <c r="C280" s="18" t="str">
        <f aca="false">VLOOKUP(B280,Company!B:E,3,0)</f>
        <v>سنتر</v>
      </c>
      <c r="D280" s="18" t="str">
        <f aca="false">VLOOKUP(B280,Company!B:E,2,0)</f>
        <v>صبح</v>
      </c>
      <c r="E280" s="18" t="str">
        <f aca="false" t="array" ref="E280:E280">IFERROR(INDEX('Team Leads'!$B:$D, MATCH(C280,'Team Leads'!$A:$A,0), MATCH(D280,'Team Leads'!$B$1:$D$1,0)), "")</f>
        <v>مریم ایزدی - شاهین شهریاری</v>
      </c>
      <c r="F280" s="18" t="n">
        <f aca="false">VLOOKUP(B280,'Operator Bugs'!A:P,16,0)</f>
        <v>0</v>
      </c>
      <c r="G280" s="18" t="n">
        <f aca="false">IFERROR(VLOOKUP(B280,'6-week1'!B:D,2,0),0)</f>
        <v>26</v>
      </c>
      <c r="H280" s="18" t="n">
        <f aca="false">IFERROR(VLOOKUP(B280,'6-week1'!B:D,3,0),"-")</f>
        <v>48</v>
      </c>
      <c r="I280" s="18" t="n">
        <f aca="false">IF(G280&gt;179,5,IF(G280&gt;149,4,IF(G280&gt;119,3,IF(G280&gt;89,2,IF(G280&gt;59,1,IF(G280&lt;=59,0))))))</f>
        <v>0</v>
      </c>
      <c r="J280" s="18" t="n">
        <f aca="false">IF(H280&gt;39,1,IF(H280&gt;32,2,IF(H280&gt;26,3,IF(H280&gt;20,4,IF(H280&lt;=20,5)))))</f>
        <v>1</v>
      </c>
      <c r="K280" s="15" t="n">
        <f aca="false">AVERAGE(I280:J280)</f>
        <v>0.5</v>
      </c>
      <c r="L280" s="19" t="n">
        <f aca="false">IFERROR(VLOOKUP(B280,'6-week2'!B:D,2,0),0)</f>
        <v>69</v>
      </c>
      <c r="M280" s="19" t="n">
        <f aca="false">IFERROR(VLOOKUP(B280,'6-week2'!B:D,3,0),0)</f>
        <v>35</v>
      </c>
      <c r="N280" s="19" t="n">
        <f aca="false">IF(L280&gt;179,5,IF(L280&gt;149,4,IF(L280&gt;119,3,IF(L280&gt;89,2,IF(L280&gt;59,1,IF(L280&lt;=59,0))))))</f>
        <v>1</v>
      </c>
      <c r="O280" s="19" t="n">
        <f aca="false">IF(M280&gt;39,1,IF(M280&gt;32,2,IF(M280&gt;26,3,IF(M280&gt;20,4,IF(M280&lt;=20,5)))))</f>
        <v>2</v>
      </c>
      <c r="P280" s="19" t="n">
        <f aca="false">AVERAGE(N280,O280)</f>
        <v>1.5</v>
      </c>
      <c r="Q280" s="19" t="n">
        <f aca="false">IFERROR(VLOOKUP(B280,'6-week1'!B:F,5,0),0)</f>
        <v>0</v>
      </c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</row>
    <row r="281" customFormat="false" ht="18" hidden="false" customHeight="true" outlineLevel="0" collapsed="false">
      <c r="A281" s="15"/>
      <c r="B281" s="15" t="s">
        <v>326</v>
      </c>
      <c r="C281" s="18" t="str">
        <f aca="false">VLOOKUP(B281,Company!B:E,3,0)</f>
        <v>سنتر</v>
      </c>
      <c r="D281" s="18" t="str">
        <f aca="false">VLOOKUP(B281,Company!B:E,2,0)</f>
        <v>عصر</v>
      </c>
      <c r="E281" s="18" t="str">
        <f aca="false" t="array" ref="E281:E281">IFERROR(INDEX('Team Leads'!$B:$D, MATCH(C281,'Team Leads'!$A:$A,0), MATCH(D281,'Team Leads'!$B$1:$D$1,0)), "")</f>
        <v>هومن قضائی</v>
      </c>
      <c r="F281" s="18" t="n">
        <f aca="false">VLOOKUP(B281,'Operator Bugs'!A:P,16,0)</f>
        <v>0</v>
      </c>
      <c r="G281" s="18" t="n">
        <f aca="false">IFERROR(VLOOKUP(B281,'6-week1'!B:D,2,0),0)</f>
        <v>6</v>
      </c>
      <c r="H281" s="18" t="n">
        <f aca="false">IFERROR(VLOOKUP(B281,'6-week1'!B:D,3,0),"-")</f>
        <v>48</v>
      </c>
      <c r="I281" s="18" t="n">
        <f aca="false">IF(G281&gt;179,5,IF(G281&gt;149,4,IF(G281&gt;119,3,IF(G281&gt;89,2,IF(G281&gt;59,1,IF(G281&lt;=59,0))))))</f>
        <v>0</v>
      </c>
      <c r="J281" s="18" t="n">
        <f aca="false">IF(H281&gt;39,1,IF(H281&gt;32,2,IF(H281&gt;26,3,IF(H281&gt;20,4,IF(H281&lt;=20,5)))))</f>
        <v>1</v>
      </c>
      <c r="K281" s="15" t="n">
        <f aca="false">AVERAGE(I281:J281)</f>
        <v>0.5</v>
      </c>
      <c r="L281" s="19" t="n">
        <f aca="false">IFERROR(VLOOKUP(B281,'6-week2'!B:D,2,0),0)</f>
        <v>14</v>
      </c>
      <c r="M281" s="19" t="n">
        <f aca="false">IFERROR(VLOOKUP(B281,'6-week2'!B:D,3,0),0)</f>
        <v>32</v>
      </c>
      <c r="N281" s="19" t="n">
        <f aca="false">IF(L281&gt;179,5,IF(L281&gt;149,4,IF(L281&gt;119,3,IF(L281&gt;89,2,IF(L281&gt;59,1,IF(L281&lt;=59,0))))))</f>
        <v>0</v>
      </c>
      <c r="O281" s="19" t="n">
        <f aca="false">IF(M281&gt;39,1,IF(M281&gt;32,2,IF(M281&gt;26,3,IF(M281&gt;20,4,IF(M281&lt;=20,5)))))</f>
        <v>3</v>
      </c>
      <c r="P281" s="19" t="n">
        <f aca="false">AVERAGE(N281,O281)</f>
        <v>1.5</v>
      </c>
      <c r="Q281" s="19" t="n">
        <f aca="false">IFERROR(VLOOKUP(B281,'6-week1'!B:F,5,0),0)</f>
        <v>0</v>
      </c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</row>
    <row r="282" customFormat="false" ht="18" hidden="false" customHeight="true" outlineLevel="0" collapsed="false">
      <c r="A282" s="15"/>
      <c r="B282" s="15" t="s">
        <v>327</v>
      </c>
      <c r="C282" s="18" t="str">
        <f aca="false">VLOOKUP(B282,Company!B:E,3,0)</f>
        <v>سنتر</v>
      </c>
      <c r="D282" s="18" t="str">
        <f aca="false">VLOOKUP(B282,Company!B:E,2,0)</f>
        <v>عصر</v>
      </c>
      <c r="E282" s="18" t="str">
        <f aca="false" t="array" ref="E282:E282">IFERROR(INDEX('Team Leads'!$B:$D, MATCH(C282,'Team Leads'!$A:$A,0), MATCH(D282,'Team Leads'!$B$1:$D$1,0)), "")</f>
        <v>هومن قضائی</v>
      </c>
      <c r="F282" s="18" t="n">
        <f aca="false">VLOOKUP(B282,'Operator Bugs'!A:P,16,0)</f>
        <v>0</v>
      </c>
      <c r="G282" s="18" t="n">
        <f aca="false">IFERROR(VLOOKUP(B282,'6-week1'!B:D,2,0),0)</f>
        <v>1</v>
      </c>
      <c r="H282" s="18" t="n">
        <f aca="false">IFERROR(VLOOKUP(B282,'6-week1'!B:D,3,0),"-")</f>
        <v>100</v>
      </c>
      <c r="I282" s="18" t="n">
        <f aca="false">IF(G282&gt;179,5,IF(G282&gt;149,4,IF(G282&gt;119,3,IF(G282&gt;89,2,IF(G282&gt;59,1,IF(G282&lt;=59,0))))))</f>
        <v>0</v>
      </c>
      <c r="J282" s="18" t="n">
        <f aca="false">IF(H282&gt;39,1,IF(H282&gt;32,2,IF(H282&gt;26,3,IF(H282&gt;20,4,IF(H282&lt;=20,5)))))</f>
        <v>1</v>
      </c>
      <c r="K282" s="15" t="n">
        <f aca="false">AVERAGE(I282:J282)</f>
        <v>0.5</v>
      </c>
      <c r="L282" s="19" t="n">
        <f aca="false">IFERROR(VLOOKUP(B282,'6-week2'!B:D,2,0),0)</f>
        <v>0</v>
      </c>
      <c r="M282" s="19" t="n">
        <f aca="false">IFERROR(VLOOKUP(B282,'6-week2'!B:D,3,0),0)</f>
        <v>0</v>
      </c>
      <c r="N282" s="19" t="n">
        <f aca="false">IF(L282&gt;179,5,IF(L282&gt;149,4,IF(L282&gt;119,3,IF(L282&gt;89,2,IF(L282&gt;59,1,IF(L282&lt;=59,0))))))</f>
        <v>0</v>
      </c>
      <c r="O282" s="19" t="n">
        <f aca="false">IF(M282&gt;39,1,IF(M282&gt;32,2,IF(M282&gt;26,3,IF(M282&gt;20,4,IF(M282&lt;=20,5)))))</f>
        <v>5</v>
      </c>
      <c r="P282" s="19" t="n">
        <f aca="false">AVERAGE(N282,O282)</f>
        <v>2.5</v>
      </c>
      <c r="Q282" s="19" t="n">
        <f aca="false">IFERROR(VLOOKUP(B282,'6-week1'!B:F,5,0),0)</f>
        <v>0</v>
      </c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</row>
    <row r="283" customFormat="false" ht="18" hidden="false" customHeight="true" outlineLevel="0" collapsed="false">
      <c r="A283" s="15"/>
      <c r="B283" s="15" t="s">
        <v>328</v>
      </c>
      <c r="C283" s="18" t="str">
        <f aca="false">VLOOKUP(B283,Company!B:E,3,0)</f>
        <v>تعاون</v>
      </c>
      <c r="D283" s="18" t="str">
        <f aca="false">VLOOKUP(B283,Company!B:E,2,0)</f>
        <v>عصر</v>
      </c>
      <c r="E283" s="18" t="str">
        <f aca="false" t="array" ref="E283:E283">IFERROR(INDEX('Team Leads'!$B:$D, MATCH(C283,'Team Leads'!$A:$A,0), MATCH(D283,'Team Leads'!$B$1:$D$1,0)), "")</f>
        <v>علیرضا زمانیان</v>
      </c>
      <c r="F283" s="18" t="n">
        <f aca="false">VLOOKUP(B283,'Operator Bugs'!A:P,16,0)</f>
        <v>0</v>
      </c>
      <c r="G283" s="18" t="n">
        <f aca="false">IFERROR(VLOOKUP(B283,'6-week1'!B:D,2,0),0)</f>
        <v>0</v>
      </c>
      <c r="H283" s="18" t="str">
        <f aca="false">IFERROR(VLOOKUP(B283,'6-week1'!B:D,3,0),"-")</f>
        <v>-</v>
      </c>
      <c r="I283" s="18" t="n">
        <f aca="false">IF(G283&gt;179,5,IF(G283&gt;149,4,IF(G283&gt;119,3,IF(G283&gt;89,2,IF(G283&gt;59,1,IF(G283&lt;=59,0))))))</f>
        <v>0</v>
      </c>
      <c r="J283" s="18" t="n">
        <f aca="false">IF(H283&gt;39,1,IF(H283&gt;32,2,IF(H283&gt;26,3,IF(H283&gt;20,4,IF(H283&lt;=20,5)))))</f>
        <v>1</v>
      </c>
      <c r="K283" s="15" t="n">
        <f aca="false">AVERAGE(I283:J283)</f>
        <v>0.5</v>
      </c>
      <c r="L283" s="19" t="n">
        <f aca="false">IFERROR(VLOOKUP(B283,'6-week2'!B:D,2,0),0)</f>
        <v>210</v>
      </c>
      <c r="M283" s="19" t="n">
        <f aca="false">IFERROR(VLOOKUP(B283,'6-week2'!B:D,3,0),0)</f>
        <v>17</v>
      </c>
      <c r="N283" s="19" t="n">
        <f aca="false">IF(L283&gt;179,5,IF(L283&gt;149,4,IF(L283&gt;119,3,IF(L283&gt;89,2,IF(L283&gt;59,1,IF(L283&lt;=59,0))))))</f>
        <v>5</v>
      </c>
      <c r="O283" s="19" t="n">
        <f aca="false">IF(M283&gt;39,1,IF(M283&gt;32,2,IF(M283&gt;26,3,IF(M283&gt;20,4,IF(M283&lt;=20,5)))))</f>
        <v>5</v>
      </c>
      <c r="P283" s="19" t="n">
        <f aca="false">AVERAGE(N283,O283)</f>
        <v>5</v>
      </c>
      <c r="Q283" s="19" t="n">
        <f aca="false">IFERROR(VLOOKUP(B283,'6-week1'!B:F,5,0),0)</f>
        <v>0</v>
      </c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</row>
    <row r="284" customFormat="false" ht="18" hidden="false" customHeight="true" outlineLevel="0" collapsed="false">
      <c r="A284" s="15"/>
      <c r="B284" s="15" t="s">
        <v>329</v>
      </c>
      <c r="C284" s="18" t="str">
        <f aca="false">VLOOKUP(B284,Company!B:E,3,0)</f>
        <v>رازی</v>
      </c>
      <c r="D284" s="18" t="str">
        <f aca="false">VLOOKUP(B284,Company!B:E,2,0)</f>
        <v>عصر</v>
      </c>
      <c r="E284" s="18" t="str">
        <f aca="false" t="array" ref="E284:E284">IFERROR(INDEX('Team Leads'!$B:$D, MATCH(C284,'Team Leads'!$A:$A,0), MATCH(D284,'Team Leads'!$B$1:$D$1,0)), "")</f>
        <v>امیررضا فلاح</v>
      </c>
      <c r="F284" s="18" t="n">
        <f aca="false">VLOOKUP(B284,'Operator Bugs'!A:P,16,0)</f>
        <v>0</v>
      </c>
      <c r="G284" s="18" t="n">
        <f aca="false">IFERROR(VLOOKUP(B284,'6-week1'!B:D,2,0),0)</f>
        <v>0</v>
      </c>
      <c r="H284" s="18" t="str">
        <f aca="false">IFERROR(VLOOKUP(B284,'6-week1'!B:D,3,0),"-")</f>
        <v>-</v>
      </c>
      <c r="I284" s="18" t="n">
        <f aca="false">IF(G284&gt;179,5,IF(G284&gt;149,4,IF(G284&gt;119,3,IF(G284&gt;89,2,IF(G284&gt;59,1,IF(G284&lt;=59,0))))))</f>
        <v>0</v>
      </c>
      <c r="J284" s="18" t="n">
        <f aca="false">IF(H284&gt;39,1,IF(H284&gt;32,2,IF(H284&gt;26,3,IF(H284&gt;20,4,IF(H284&lt;=20,5)))))</f>
        <v>1</v>
      </c>
      <c r="K284" s="15" t="n">
        <f aca="false">AVERAGE(I284:J284)</f>
        <v>0.5</v>
      </c>
      <c r="L284" s="19" t="n">
        <f aca="false">IFERROR(VLOOKUP(B284,'6-week2'!B:D,2,0),0)</f>
        <v>89</v>
      </c>
      <c r="M284" s="19" t="n">
        <f aca="false">IFERROR(VLOOKUP(B284,'6-week2'!B:D,3,0),0)</f>
        <v>18</v>
      </c>
      <c r="N284" s="19" t="n">
        <f aca="false">IF(L284&gt;179,5,IF(L284&gt;149,4,IF(L284&gt;119,3,IF(L284&gt;89,2,IF(L284&gt;59,1,IF(L284&lt;=59,0))))))</f>
        <v>1</v>
      </c>
      <c r="O284" s="19" t="n">
        <f aca="false">IF(M284&gt;39,1,IF(M284&gt;32,2,IF(M284&gt;26,3,IF(M284&gt;20,4,IF(M284&lt;=20,5)))))</f>
        <v>5</v>
      </c>
      <c r="P284" s="19" t="n">
        <f aca="false">AVERAGE(N284,O284)</f>
        <v>3</v>
      </c>
      <c r="Q284" s="19" t="n">
        <f aca="false">IFERROR(VLOOKUP(B284,'6-week1'!B:F,5,0),0)</f>
        <v>0</v>
      </c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</row>
    <row r="285" customFormat="false" ht="18" hidden="false" customHeight="true" outlineLevel="0" collapsed="false">
      <c r="A285" s="15"/>
      <c r="B285" s="15"/>
      <c r="C285" s="15"/>
      <c r="D285" s="15"/>
      <c r="E285" s="18"/>
      <c r="F285" s="18"/>
      <c r="G285" s="18"/>
      <c r="H285" s="15"/>
      <c r="I285" s="15"/>
      <c r="J285" s="15"/>
      <c r="K285" s="15"/>
      <c r="L285" s="19"/>
      <c r="M285" s="19"/>
      <c r="N285" s="19"/>
      <c r="O285" s="19"/>
      <c r="P285" s="19"/>
      <c r="Q285" s="19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</row>
    <row r="286" customFormat="false" ht="18" hidden="false" customHeight="true" outlineLevel="0" collapsed="false">
      <c r="A286" s="15"/>
      <c r="B286" s="15"/>
      <c r="C286" s="15"/>
      <c r="D286" s="15"/>
      <c r="E286" s="18"/>
      <c r="F286" s="18"/>
      <c r="G286" s="18"/>
      <c r="H286" s="15"/>
      <c r="I286" s="15"/>
      <c r="J286" s="15"/>
      <c r="K286" s="15"/>
      <c r="L286" s="19"/>
      <c r="M286" s="19"/>
      <c r="N286" s="19"/>
      <c r="O286" s="19"/>
      <c r="P286" s="19"/>
      <c r="Q286" s="19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</row>
    <row r="287" customFormat="false" ht="18" hidden="false" customHeight="true" outlineLevel="0" collapsed="false">
      <c r="A287" s="15"/>
      <c r="B287" s="15"/>
      <c r="C287" s="15"/>
      <c r="D287" s="15"/>
      <c r="E287" s="18"/>
      <c r="F287" s="18"/>
      <c r="G287" s="18"/>
      <c r="H287" s="15"/>
      <c r="I287" s="15"/>
      <c r="J287" s="15"/>
      <c r="K287" s="15"/>
      <c r="L287" s="19"/>
      <c r="M287" s="19"/>
      <c r="N287" s="19"/>
      <c r="O287" s="19"/>
      <c r="P287" s="19"/>
      <c r="Q287" s="19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</row>
    <row r="288" customFormat="false" ht="18" hidden="false" customHeight="true" outlineLevel="0" collapsed="false">
      <c r="A288" s="15"/>
      <c r="B288" s="15"/>
      <c r="C288" s="15"/>
      <c r="D288" s="15"/>
      <c r="E288" s="18"/>
      <c r="F288" s="18"/>
      <c r="G288" s="18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</row>
    <row r="289" customFormat="false" ht="18" hidden="false" customHeight="true" outlineLevel="0" collapsed="false">
      <c r="A289" s="15"/>
      <c r="B289" s="15"/>
      <c r="C289" s="15"/>
      <c r="D289" s="15"/>
      <c r="E289" s="18"/>
      <c r="F289" s="18"/>
      <c r="G289" s="18"/>
      <c r="H289" s="15"/>
      <c r="I289" s="15"/>
      <c r="J289" s="15"/>
      <c r="K289" s="15"/>
      <c r="L289" s="19"/>
      <c r="M289" s="19"/>
      <c r="N289" s="19"/>
      <c r="O289" s="19"/>
      <c r="P289" s="19"/>
      <c r="Q289" s="19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</row>
    <row r="290" customFormat="false" ht="18" hidden="false" customHeight="true" outlineLevel="0" collapsed="false">
      <c r="A290" s="15"/>
      <c r="B290" s="15"/>
      <c r="C290" s="15"/>
      <c r="D290" s="15"/>
      <c r="E290" s="18"/>
      <c r="F290" s="18"/>
      <c r="G290" s="18"/>
      <c r="H290" s="15"/>
      <c r="I290" s="15"/>
      <c r="J290" s="15"/>
      <c r="K290" s="15"/>
      <c r="L290" s="19"/>
      <c r="M290" s="19"/>
      <c r="N290" s="19"/>
      <c r="O290" s="19"/>
      <c r="P290" s="19"/>
      <c r="Q290" s="19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</row>
    <row r="291" customFormat="false" ht="18" hidden="false" customHeight="true" outlineLevel="0" collapsed="false">
      <c r="A291" s="15"/>
      <c r="B291" s="15"/>
      <c r="C291" s="15"/>
      <c r="D291" s="15"/>
      <c r="E291" s="18"/>
      <c r="F291" s="18"/>
      <c r="G291" s="18"/>
      <c r="H291" s="15"/>
      <c r="I291" s="15"/>
      <c r="J291" s="15"/>
      <c r="K291" s="15"/>
      <c r="L291" s="19"/>
      <c r="M291" s="19"/>
      <c r="N291" s="19"/>
      <c r="O291" s="19"/>
      <c r="P291" s="19"/>
      <c r="Q291" s="19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</row>
    <row r="292" customFormat="false" ht="18" hidden="false" customHeight="true" outlineLevel="0" collapsed="false">
      <c r="A292" s="15"/>
      <c r="B292" s="15"/>
      <c r="C292" s="15"/>
      <c r="D292" s="15"/>
      <c r="E292" s="18"/>
      <c r="F292" s="18"/>
      <c r="G292" s="18"/>
      <c r="H292" s="15"/>
      <c r="I292" s="15"/>
      <c r="J292" s="15"/>
      <c r="K292" s="15"/>
      <c r="L292" s="19"/>
      <c r="M292" s="19"/>
      <c r="N292" s="19"/>
      <c r="O292" s="19"/>
      <c r="P292" s="19"/>
      <c r="Q292" s="19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</row>
    <row r="293" customFormat="false" ht="18" hidden="false" customHeight="true" outlineLevel="0" collapsed="false">
      <c r="A293" s="15"/>
      <c r="B293" s="15"/>
      <c r="C293" s="15"/>
      <c r="D293" s="15"/>
      <c r="E293" s="18"/>
      <c r="F293" s="18"/>
      <c r="G293" s="18"/>
      <c r="H293" s="15"/>
      <c r="I293" s="15"/>
      <c r="J293" s="15"/>
      <c r="K293" s="15"/>
      <c r="L293" s="19"/>
      <c r="M293" s="19"/>
      <c r="N293" s="19"/>
      <c r="O293" s="19"/>
      <c r="P293" s="19"/>
      <c r="Q293" s="19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</row>
    <row r="294" customFormat="false" ht="18" hidden="false" customHeight="true" outlineLevel="0" collapsed="false">
      <c r="A294" s="15"/>
      <c r="B294" s="15"/>
      <c r="C294" s="15"/>
      <c r="D294" s="15"/>
      <c r="E294" s="18"/>
      <c r="F294" s="18"/>
      <c r="G294" s="18"/>
      <c r="H294" s="15"/>
      <c r="I294" s="15"/>
      <c r="J294" s="15"/>
      <c r="K294" s="15"/>
      <c r="L294" s="19"/>
      <c r="M294" s="19"/>
      <c r="N294" s="19"/>
      <c r="O294" s="19"/>
      <c r="P294" s="19"/>
      <c r="Q294" s="19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</row>
    <row r="295" customFormat="false" ht="18" hidden="false" customHeight="true" outlineLevel="0" collapsed="false">
      <c r="A295" s="15"/>
      <c r="B295" s="15"/>
      <c r="C295" s="15"/>
      <c r="D295" s="15"/>
      <c r="E295" s="18"/>
      <c r="F295" s="18"/>
      <c r="G295" s="18"/>
      <c r="H295" s="15"/>
      <c r="I295" s="15"/>
      <c r="J295" s="15"/>
      <c r="K295" s="15"/>
      <c r="L295" s="19"/>
      <c r="M295" s="19"/>
      <c r="N295" s="19"/>
      <c r="O295" s="19"/>
      <c r="P295" s="19"/>
      <c r="Q295" s="19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</row>
    <row r="296" customFormat="false" ht="18" hidden="false" customHeight="true" outlineLevel="0" collapsed="false">
      <c r="A296" s="15"/>
      <c r="B296" s="15"/>
      <c r="C296" s="15"/>
      <c r="D296" s="15"/>
      <c r="E296" s="18"/>
      <c r="F296" s="18"/>
      <c r="G296" s="18"/>
      <c r="H296" s="15"/>
      <c r="I296" s="15"/>
      <c r="J296" s="15"/>
      <c r="K296" s="15"/>
      <c r="L296" s="19"/>
      <c r="M296" s="19"/>
      <c r="N296" s="19"/>
      <c r="O296" s="19"/>
      <c r="P296" s="19"/>
      <c r="Q296" s="19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</row>
    <row r="297" customFormat="false" ht="18" hidden="false" customHeight="true" outlineLevel="0" collapsed="false">
      <c r="A297" s="15"/>
      <c r="B297" s="15"/>
      <c r="C297" s="15"/>
      <c r="D297" s="15"/>
      <c r="E297" s="18"/>
      <c r="F297" s="18"/>
      <c r="G297" s="18"/>
      <c r="H297" s="15"/>
      <c r="I297" s="15"/>
      <c r="J297" s="15"/>
      <c r="K297" s="15"/>
      <c r="L297" s="19"/>
      <c r="M297" s="19"/>
      <c r="N297" s="19"/>
      <c r="O297" s="19"/>
      <c r="P297" s="19"/>
      <c r="Q297" s="19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</row>
    <row r="298" customFormat="false" ht="18" hidden="false" customHeight="true" outlineLevel="0" collapsed="false">
      <c r="A298" s="15"/>
      <c r="B298" s="15"/>
      <c r="C298" s="15"/>
      <c r="D298" s="15"/>
      <c r="E298" s="18"/>
      <c r="F298" s="18"/>
      <c r="G298" s="18"/>
      <c r="H298" s="15"/>
      <c r="I298" s="15"/>
      <c r="J298" s="15"/>
      <c r="K298" s="15"/>
      <c r="L298" s="19"/>
      <c r="M298" s="19"/>
      <c r="N298" s="19"/>
      <c r="O298" s="19"/>
      <c r="P298" s="19"/>
      <c r="Q298" s="19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</row>
    <row r="299" customFormat="false" ht="18" hidden="false" customHeight="true" outlineLevel="0" collapsed="false">
      <c r="A299" s="15"/>
      <c r="B299" s="15"/>
      <c r="C299" s="15"/>
      <c r="D299" s="15"/>
      <c r="E299" s="18"/>
      <c r="F299" s="18"/>
      <c r="G299" s="18"/>
      <c r="H299" s="15"/>
      <c r="I299" s="15"/>
      <c r="J299" s="15"/>
      <c r="K299" s="15"/>
      <c r="L299" s="19"/>
      <c r="M299" s="19"/>
      <c r="N299" s="19"/>
      <c r="O299" s="19"/>
      <c r="P299" s="19"/>
      <c r="Q299" s="19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</row>
    <row r="300" customFormat="false" ht="18" hidden="false" customHeight="true" outlineLevel="0" collapsed="false">
      <c r="A300" s="15"/>
      <c r="B300" s="15"/>
      <c r="C300" s="15"/>
      <c r="D300" s="15"/>
      <c r="E300" s="18"/>
      <c r="F300" s="18"/>
      <c r="G300" s="18"/>
      <c r="H300" s="15"/>
      <c r="I300" s="15"/>
      <c r="J300" s="15"/>
      <c r="K300" s="15"/>
      <c r="L300" s="19"/>
      <c r="M300" s="19"/>
      <c r="N300" s="19"/>
      <c r="O300" s="19"/>
      <c r="P300" s="19"/>
      <c r="Q300" s="19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</row>
    <row r="301" customFormat="false" ht="18" hidden="false" customHeight="true" outlineLevel="0" collapsed="false">
      <c r="A301" s="15"/>
      <c r="B301" s="15"/>
      <c r="C301" s="15"/>
      <c r="D301" s="15"/>
      <c r="E301" s="18"/>
      <c r="F301" s="18"/>
      <c r="G301" s="18"/>
      <c r="H301" s="15"/>
      <c r="I301" s="15"/>
      <c r="J301" s="15"/>
      <c r="K301" s="15"/>
      <c r="L301" s="19"/>
      <c r="M301" s="19"/>
      <c r="N301" s="19"/>
      <c r="O301" s="19"/>
      <c r="P301" s="19"/>
      <c r="Q301" s="19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</row>
    <row r="302" customFormat="false" ht="18" hidden="false" customHeight="true" outlineLevel="0" collapsed="false">
      <c r="A302" s="15"/>
      <c r="B302" s="15"/>
      <c r="C302" s="15"/>
      <c r="D302" s="15"/>
      <c r="E302" s="18"/>
      <c r="F302" s="18"/>
      <c r="G302" s="18"/>
      <c r="H302" s="15"/>
      <c r="I302" s="15"/>
      <c r="J302" s="15"/>
      <c r="K302" s="15"/>
      <c r="L302" s="19"/>
      <c r="M302" s="19"/>
      <c r="N302" s="19"/>
      <c r="O302" s="19"/>
      <c r="P302" s="19"/>
      <c r="Q302" s="19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</row>
    <row r="303" customFormat="false" ht="18" hidden="false" customHeight="true" outlineLevel="0" collapsed="false">
      <c r="A303" s="15"/>
      <c r="B303" s="15"/>
      <c r="C303" s="15"/>
      <c r="D303" s="15"/>
      <c r="E303" s="18"/>
      <c r="F303" s="18"/>
      <c r="G303" s="18"/>
      <c r="H303" s="15"/>
      <c r="I303" s="15"/>
      <c r="J303" s="15"/>
      <c r="K303" s="15"/>
      <c r="L303" s="19"/>
      <c r="M303" s="19"/>
      <c r="N303" s="19"/>
      <c r="O303" s="19"/>
      <c r="P303" s="19"/>
      <c r="Q303" s="19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</row>
    <row r="304" customFormat="false" ht="18" hidden="false" customHeight="true" outlineLevel="0" collapsed="false">
      <c r="A304" s="15"/>
      <c r="B304" s="15"/>
      <c r="C304" s="15"/>
      <c r="D304" s="15"/>
      <c r="E304" s="18"/>
      <c r="F304" s="18"/>
      <c r="G304" s="18"/>
      <c r="H304" s="15"/>
      <c r="I304" s="15"/>
      <c r="J304" s="15"/>
      <c r="K304" s="15"/>
      <c r="L304" s="19"/>
      <c r="M304" s="19"/>
      <c r="N304" s="19"/>
      <c r="O304" s="19"/>
      <c r="P304" s="19"/>
      <c r="Q304" s="19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</row>
    <row r="305" customFormat="false" ht="18" hidden="false" customHeight="true" outlineLevel="0" collapsed="false">
      <c r="A305" s="15"/>
      <c r="B305" s="15"/>
      <c r="C305" s="15"/>
      <c r="D305" s="15"/>
      <c r="E305" s="18"/>
      <c r="F305" s="18"/>
      <c r="G305" s="18"/>
      <c r="H305" s="15"/>
      <c r="I305" s="15"/>
      <c r="J305" s="15"/>
      <c r="K305" s="15"/>
      <c r="L305" s="19"/>
      <c r="M305" s="19"/>
      <c r="N305" s="19"/>
      <c r="O305" s="19"/>
      <c r="P305" s="19"/>
      <c r="Q305" s="19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</row>
    <row r="306" customFormat="false" ht="18" hidden="false" customHeight="true" outlineLevel="0" collapsed="false">
      <c r="A306" s="15"/>
      <c r="B306" s="15"/>
      <c r="C306" s="15"/>
      <c r="D306" s="15"/>
      <c r="E306" s="18"/>
      <c r="F306" s="18"/>
      <c r="G306" s="18"/>
      <c r="H306" s="15"/>
      <c r="I306" s="15"/>
      <c r="J306" s="15"/>
      <c r="K306" s="15"/>
      <c r="L306" s="19"/>
      <c r="M306" s="19"/>
      <c r="N306" s="19"/>
      <c r="O306" s="19"/>
      <c r="P306" s="19"/>
      <c r="Q306" s="19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</row>
    <row r="307" customFormat="false" ht="18" hidden="false" customHeight="true" outlineLevel="0" collapsed="false">
      <c r="A307" s="15"/>
      <c r="B307" s="15"/>
      <c r="C307" s="15"/>
      <c r="D307" s="15"/>
      <c r="E307" s="18"/>
      <c r="F307" s="18"/>
      <c r="G307" s="18"/>
      <c r="H307" s="15"/>
      <c r="I307" s="15"/>
      <c r="J307" s="15"/>
      <c r="K307" s="15"/>
      <c r="L307" s="19"/>
      <c r="M307" s="19"/>
      <c r="N307" s="19"/>
      <c r="O307" s="19"/>
      <c r="P307" s="19"/>
      <c r="Q307" s="19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</row>
    <row r="308" customFormat="false" ht="18" hidden="false" customHeight="true" outlineLevel="0" collapsed="false">
      <c r="A308" s="15"/>
      <c r="B308" s="15"/>
      <c r="C308" s="15"/>
      <c r="D308" s="15"/>
      <c r="E308" s="18"/>
      <c r="F308" s="18"/>
      <c r="G308" s="18"/>
      <c r="H308" s="15"/>
      <c r="I308" s="15"/>
      <c r="J308" s="15"/>
      <c r="K308" s="15"/>
      <c r="L308" s="19"/>
      <c r="M308" s="19"/>
      <c r="N308" s="19"/>
      <c r="O308" s="19"/>
      <c r="P308" s="19"/>
      <c r="Q308" s="19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</row>
    <row r="309" customFormat="false" ht="18" hidden="false" customHeight="true" outlineLevel="0" collapsed="false">
      <c r="A309" s="15"/>
      <c r="B309" s="15"/>
      <c r="C309" s="15"/>
      <c r="D309" s="15"/>
      <c r="E309" s="18"/>
      <c r="F309" s="18"/>
      <c r="G309" s="18"/>
      <c r="H309" s="15"/>
      <c r="I309" s="15"/>
      <c r="J309" s="15"/>
      <c r="K309" s="15"/>
      <c r="L309" s="19"/>
      <c r="M309" s="19"/>
      <c r="N309" s="19"/>
      <c r="O309" s="19"/>
      <c r="P309" s="19"/>
      <c r="Q309" s="19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</row>
    <row r="310" customFormat="false" ht="18" hidden="false" customHeight="true" outlineLevel="0" collapsed="false">
      <c r="A310" s="15"/>
      <c r="B310" s="15"/>
      <c r="C310" s="15"/>
      <c r="D310" s="15"/>
      <c r="E310" s="18"/>
      <c r="F310" s="18"/>
      <c r="G310" s="18"/>
      <c r="H310" s="15"/>
      <c r="I310" s="15"/>
      <c r="J310" s="15"/>
      <c r="K310" s="15"/>
      <c r="L310" s="19"/>
      <c r="M310" s="19"/>
      <c r="N310" s="19"/>
      <c r="O310" s="19"/>
      <c r="P310" s="19"/>
      <c r="Q310" s="19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</row>
    <row r="311" customFormat="false" ht="18" hidden="false" customHeight="true" outlineLevel="0" collapsed="false">
      <c r="A311" s="15"/>
      <c r="B311" s="15"/>
      <c r="C311" s="15"/>
      <c r="D311" s="15"/>
      <c r="E311" s="18"/>
      <c r="F311" s="18"/>
      <c r="G311" s="18"/>
      <c r="H311" s="15"/>
      <c r="I311" s="15"/>
      <c r="J311" s="15"/>
      <c r="K311" s="15"/>
      <c r="L311" s="19"/>
      <c r="M311" s="19"/>
      <c r="N311" s="19"/>
      <c r="O311" s="19"/>
      <c r="P311" s="19"/>
      <c r="Q311" s="19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</row>
    <row r="312" customFormat="false" ht="18" hidden="false" customHeight="true" outlineLevel="0" collapsed="false">
      <c r="A312" s="15"/>
      <c r="B312" s="15"/>
      <c r="C312" s="15"/>
      <c r="D312" s="15"/>
      <c r="E312" s="18"/>
      <c r="F312" s="18"/>
      <c r="G312" s="18"/>
      <c r="H312" s="15"/>
      <c r="I312" s="15"/>
      <c r="J312" s="15"/>
      <c r="K312" s="15"/>
      <c r="L312" s="19"/>
      <c r="M312" s="19"/>
      <c r="N312" s="19"/>
      <c r="O312" s="19"/>
      <c r="P312" s="19"/>
      <c r="Q312" s="19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</row>
    <row r="313" customFormat="false" ht="18" hidden="false" customHeight="true" outlineLevel="0" collapsed="false">
      <c r="A313" s="15"/>
      <c r="B313" s="15"/>
      <c r="C313" s="15"/>
      <c r="D313" s="15"/>
      <c r="E313" s="18"/>
      <c r="F313" s="18"/>
      <c r="G313" s="18"/>
      <c r="H313" s="15"/>
      <c r="I313" s="15"/>
      <c r="J313" s="15"/>
      <c r="K313" s="15"/>
      <c r="L313" s="19"/>
      <c r="M313" s="19"/>
      <c r="N313" s="19"/>
      <c r="O313" s="19"/>
      <c r="P313" s="19"/>
      <c r="Q313" s="19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</row>
    <row r="314" customFormat="false" ht="18" hidden="false" customHeight="true" outlineLevel="0" collapsed="false">
      <c r="A314" s="15"/>
      <c r="B314" s="15"/>
      <c r="C314" s="15"/>
      <c r="D314" s="15"/>
      <c r="E314" s="18"/>
      <c r="F314" s="18"/>
      <c r="G314" s="18"/>
      <c r="H314" s="15"/>
      <c r="I314" s="15"/>
      <c r="J314" s="15"/>
      <c r="K314" s="15"/>
      <c r="L314" s="19"/>
      <c r="M314" s="19"/>
      <c r="N314" s="19"/>
      <c r="O314" s="19"/>
      <c r="P314" s="19"/>
      <c r="Q314" s="19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</row>
    <row r="315" customFormat="false" ht="18" hidden="false" customHeight="true" outlineLevel="0" collapsed="false">
      <c r="A315" s="15"/>
      <c r="B315" s="15"/>
      <c r="C315" s="15"/>
      <c r="D315" s="15"/>
      <c r="E315" s="18"/>
      <c r="F315" s="18"/>
      <c r="G315" s="18"/>
      <c r="H315" s="15"/>
      <c r="I315" s="15"/>
      <c r="J315" s="15"/>
      <c r="K315" s="15"/>
      <c r="L315" s="19"/>
      <c r="M315" s="19"/>
      <c r="N315" s="19"/>
      <c r="O315" s="19"/>
      <c r="P315" s="19"/>
      <c r="Q315" s="19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</row>
    <row r="316" customFormat="false" ht="18" hidden="false" customHeight="true" outlineLevel="0" collapsed="false">
      <c r="A316" s="15"/>
      <c r="B316" s="15"/>
      <c r="C316" s="15"/>
      <c r="D316" s="15"/>
      <c r="E316" s="18"/>
      <c r="F316" s="18"/>
      <c r="G316" s="18"/>
      <c r="H316" s="15"/>
      <c r="I316" s="15"/>
      <c r="J316" s="15"/>
      <c r="K316" s="15"/>
      <c r="L316" s="19"/>
      <c r="M316" s="19"/>
      <c r="N316" s="19"/>
      <c r="O316" s="19"/>
      <c r="P316" s="19"/>
      <c r="Q316" s="19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</row>
    <row r="317" customFormat="false" ht="18" hidden="false" customHeight="true" outlineLevel="0" collapsed="false">
      <c r="A317" s="15"/>
      <c r="B317" s="15"/>
      <c r="C317" s="15"/>
      <c r="D317" s="15"/>
      <c r="E317" s="18"/>
      <c r="F317" s="18"/>
      <c r="G317" s="18"/>
      <c r="H317" s="15"/>
      <c r="I317" s="15"/>
      <c r="J317" s="15"/>
      <c r="K317" s="15"/>
      <c r="L317" s="19"/>
      <c r="M317" s="19"/>
      <c r="N317" s="19"/>
      <c r="O317" s="19"/>
      <c r="P317" s="19"/>
      <c r="Q317" s="19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</row>
    <row r="318" customFormat="false" ht="18" hidden="false" customHeight="true" outlineLevel="0" collapsed="false">
      <c r="A318" s="15"/>
      <c r="B318" s="15"/>
      <c r="C318" s="15"/>
      <c r="D318" s="15"/>
      <c r="E318" s="18"/>
      <c r="F318" s="18"/>
      <c r="G318" s="18"/>
      <c r="H318" s="15"/>
      <c r="I318" s="15"/>
      <c r="J318" s="15"/>
      <c r="K318" s="15"/>
      <c r="L318" s="19"/>
      <c r="M318" s="19"/>
      <c r="N318" s="19"/>
      <c r="O318" s="19"/>
      <c r="P318" s="19"/>
      <c r="Q318" s="19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</row>
    <row r="319" customFormat="false" ht="18" hidden="false" customHeight="true" outlineLevel="0" collapsed="false">
      <c r="A319" s="15"/>
      <c r="B319" s="15"/>
      <c r="C319" s="15"/>
      <c r="D319" s="15"/>
      <c r="E319" s="18"/>
      <c r="F319" s="18"/>
      <c r="G319" s="18"/>
      <c r="H319" s="15"/>
      <c r="I319" s="15"/>
      <c r="J319" s="15"/>
      <c r="K319" s="15"/>
      <c r="L319" s="19"/>
      <c r="M319" s="19"/>
      <c r="N319" s="19"/>
      <c r="O319" s="19"/>
      <c r="P319" s="19"/>
      <c r="Q319" s="19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</row>
    <row r="320" customFormat="false" ht="18" hidden="false" customHeight="true" outlineLevel="0" collapsed="false">
      <c r="A320" s="15"/>
      <c r="B320" s="15"/>
      <c r="C320" s="15"/>
      <c r="D320" s="15"/>
      <c r="E320" s="18"/>
      <c r="F320" s="18"/>
      <c r="G320" s="18"/>
      <c r="H320" s="15"/>
      <c r="I320" s="15"/>
      <c r="J320" s="15"/>
      <c r="K320" s="15"/>
      <c r="L320" s="19"/>
      <c r="M320" s="19"/>
      <c r="N320" s="19"/>
      <c r="O320" s="19"/>
      <c r="P320" s="19"/>
      <c r="Q320" s="19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</row>
    <row r="321" customFormat="false" ht="18" hidden="false" customHeight="true" outlineLevel="0" collapsed="false">
      <c r="A321" s="15"/>
      <c r="B321" s="15"/>
      <c r="C321" s="15"/>
      <c r="D321" s="15"/>
      <c r="E321" s="18"/>
      <c r="F321" s="18"/>
      <c r="G321" s="18"/>
      <c r="H321" s="15"/>
      <c r="I321" s="15"/>
      <c r="J321" s="15"/>
      <c r="K321" s="15"/>
      <c r="L321" s="19"/>
      <c r="M321" s="19"/>
      <c r="N321" s="19"/>
      <c r="O321" s="19"/>
      <c r="P321" s="19"/>
      <c r="Q321" s="19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</row>
    <row r="322" customFormat="false" ht="18" hidden="false" customHeight="true" outlineLevel="0" collapsed="false">
      <c r="A322" s="15"/>
      <c r="B322" s="15"/>
      <c r="C322" s="15"/>
      <c r="D322" s="15"/>
      <c r="E322" s="18"/>
      <c r="F322" s="18"/>
      <c r="G322" s="18"/>
      <c r="H322" s="15"/>
      <c r="I322" s="15"/>
      <c r="J322" s="15"/>
      <c r="K322" s="15"/>
      <c r="L322" s="19"/>
      <c r="M322" s="19"/>
      <c r="N322" s="19"/>
      <c r="O322" s="19"/>
      <c r="P322" s="19"/>
      <c r="Q322" s="19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</row>
    <row r="323" customFormat="false" ht="18" hidden="false" customHeight="true" outlineLevel="0" collapsed="false">
      <c r="A323" s="15"/>
      <c r="B323" s="15"/>
      <c r="C323" s="15"/>
      <c r="D323" s="15"/>
      <c r="E323" s="18"/>
      <c r="F323" s="18"/>
      <c r="G323" s="18"/>
      <c r="H323" s="15"/>
      <c r="I323" s="15"/>
      <c r="J323" s="15"/>
      <c r="K323" s="15"/>
      <c r="L323" s="19"/>
      <c r="M323" s="19"/>
      <c r="N323" s="19"/>
      <c r="O323" s="19"/>
      <c r="P323" s="19"/>
      <c r="Q323" s="19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</row>
    <row r="324" customFormat="false" ht="18" hidden="false" customHeight="true" outlineLevel="0" collapsed="false">
      <c r="A324" s="15"/>
      <c r="B324" s="15"/>
      <c r="C324" s="15"/>
      <c r="D324" s="15"/>
      <c r="E324" s="18"/>
      <c r="F324" s="18"/>
      <c r="G324" s="18"/>
      <c r="H324" s="15"/>
      <c r="I324" s="15"/>
      <c r="J324" s="15"/>
      <c r="K324" s="15"/>
      <c r="L324" s="19"/>
      <c r="M324" s="19"/>
      <c r="N324" s="19"/>
      <c r="O324" s="19"/>
      <c r="P324" s="19"/>
      <c r="Q324" s="19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</row>
    <row r="325" customFormat="false" ht="18" hidden="false" customHeight="true" outlineLevel="0" collapsed="false">
      <c r="A325" s="15"/>
      <c r="B325" s="15"/>
      <c r="C325" s="15"/>
      <c r="D325" s="15"/>
      <c r="E325" s="18"/>
      <c r="F325" s="18"/>
      <c r="G325" s="18"/>
      <c r="H325" s="15"/>
      <c r="I325" s="15"/>
      <c r="J325" s="15"/>
      <c r="K325" s="15"/>
      <c r="L325" s="19"/>
      <c r="M325" s="19"/>
      <c r="N325" s="19"/>
      <c r="O325" s="19"/>
      <c r="P325" s="19"/>
      <c r="Q325" s="19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</row>
    <row r="326" customFormat="false" ht="18" hidden="false" customHeight="true" outlineLevel="0" collapsed="false">
      <c r="A326" s="15"/>
      <c r="B326" s="15"/>
      <c r="C326" s="15"/>
      <c r="D326" s="15"/>
      <c r="E326" s="18"/>
      <c r="F326" s="18"/>
      <c r="G326" s="18"/>
      <c r="H326" s="15"/>
      <c r="I326" s="15"/>
      <c r="J326" s="15"/>
      <c r="K326" s="15"/>
      <c r="L326" s="19"/>
      <c r="M326" s="19"/>
      <c r="N326" s="19"/>
      <c r="O326" s="19"/>
      <c r="P326" s="19"/>
      <c r="Q326" s="19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</row>
    <row r="327" customFormat="false" ht="18" hidden="false" customHeight="true" outlineLevel="0" collapsed="false">
      <c r="A327" s="15"/>
      <c r="B327" s="15"/>
      <c r="C327" s="15"/>
      <c r="D327" s="15"/>
      <c r="E327" s="18"/>
      <c r="F327" s="18"/>
      <c r="G327" s="18"/>
      <c r="H327" s="15"/>
      <c r="I327" s="15"/>
      <c r="J327" s="15"/>
      <c r="K327" s="15"/>
      <c r="L327" s="19"/>
      <c r="M327" s="19"/>
      <c r="N327" s="19"/>
      <c r="O327" s="19"/>
      <c r="P327" s="19"/>
      <c r="Q327" s="19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</row>
    <row r="328" customFormat="false" ht="18" hidden="false" customHeight="true" outlineLevel="0" collapsed="false">
      <c r="A328" s="15"/>
      <c r="B328" s="15"/>
      <c r="C328" s="15"/>
      <c r="D328" s="15"/>
      <c r="E328" s="18"/>
      <c r="F328" s="18"/>
      <c r="G328" s="18"/>
      <c r="H328" s="15"/>
      <c r="I328" s="15"/>
      <c r="J328" s="15"/>
      <c r="K328" s="15"/>
      <c r="L328" s="19"/>
      <c r="M328" s="19"/>
      <c r="N328" s="19"/>
      <c r="O328" s="19"/>
      <c r="P328" s="19"/>
      <c r="Q328" s="19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</row>
    <row r="329" customFormat="false" ht="18" hidden="false" customHeight="true" outlineLevel="0" collapsed="false">
      <c r="A329" s="15"/>
      <c r="B329" s="15"/>
      <c r="C329" s="15"/>
      <c r="D329" s="15"/>
      <c r="E329" s="18"/>
      <c r="F329" s="18"/>
      <c r="G329" s="18"/>
      <c r="H329" s="15"/>
      <c r="I329" s="15"/>
      <c r="J329" s="15"/>
      <c r="K329" s="15"/>
      <c r="L329" s="19"/>
      <c r="M329" s="19"/>
      <c r="N329" s="19"/>
      <c r="O329" s="19"/>
      <c r="P329" s="19"/>
      <c r="Q329" s="19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</row>
    <row r="330" customFormat="false" ht="18" hidden="false" customHeight="true" outlineLevel="0" collapsed="false">
      <c r="A330" s="15"/>
      <c r="B330" s="15"/>
      <c r="C330" s="15"/>
      <c r="D330" s="15"/>
      <c r="E330" s="18"/>
      <c r="F330" s="18"/>
      <c r="G330" s="18"/>
      <c r="H330" s="15"/>
      <c r="I330" s="15"/>
      <c r="J330" s="15"/>
      <c r="K330" s="15"/>
      <c r="L330" s="19"/>
      <c r="M330" s="19"/>
      <c r="N330" s="19"/>
      <c r="O330" s="19"/>
      <c r="P330" s="19"/>
      <c r="Q330" s="19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</row>
    <row r="331" customFormat="false" ht="18" hidden="false" customHeight="true" outlineLevel="0" collapsed="false">
      <c r="A331" s="15"/>
      <c r="B331" s="15"/>
      <c r="C331" s="15"/>
      <c r="D331" s="15"/>
      <c r="E331" s="18"/>
      <c r="F331" s="18"/>
      <c r="G331" s="18"/>
      <c r="H331" s="15"/>
      <c r="I331" s="15"/>
      <c r="J331" s="15"/>
      <c r="K331" s="15"/>
      <c r="L331" s="19"/>
      <c r="M331" s="19"/>
      <c r="N331" s="19"/>
      <c r="O331" s="19"/>
      <c r="P331" s="19"/>
      <c r="Q331" s="19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</row>
    <row r="332" customFormat="false" ht="18" hidden="false" customHeight="true" outlineLevel="0" collapsed="false">
      <c r="A332" s="15"/>
      <c r="B332" s="15"/>
      <c r="C332" s="15"/>
      <c r="D332" s="15"/>
      <c r="E332" s="18"/>
      <c r="F332" s="18"/>
      <c r="G332" s="18"/>
      <c r="H332" s="15"/>
      <c r="I332" s="15"/>
      <c r="J332" s="15"/>
      <c r="K332" s="15"/>
      <c r="L332" s="19"/>
      <c r="M332" s="19"/>
      <c r="N332" s="19"/>
      <c r="O332" s="19"/>
      <c r="P332" s="19"/>
      <c r="Q332" s="19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</row>
    <row r="333" customFormat="false" ht="18" hidden="false" customHeight="true" outlineLevel="0" collapsed="false">
      <c r="A333" s="15"/>
      <c r="B333" s="15"/>
      <c r="C333" s="15"/>
      <c r="D333" s="15"/>
      <c r="E333" s="18"/>
      <c r="F333" s="18"/>
      <c r="G333" s="18"/>
      <c r="H333" s="15"/>
      <c r="I333" s="15"/>
      <c r="J333" s="15"/>
      <c r="K333" s="15"/>
      <c r="L333" s="19"/>
      <c r="M333" s="19"/>
      <c r="N333" s="19"/>
      <c r="O333" s="19"/>
      <c r="P333" s="19"/>
      <c r="Q333" s="19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</row>
    <row r="334" customFormat="false" ht="18" hidden="false" customHeight="true" outlineLevel="0" collapsed="false">
      <c r="A334" s="15"/>
      <c r="B334" s="15"/>
      <c r="C334" s="15"/>
      <c r="D334" s="15"/>
      <c r="E334" s="18"/>
      <c r="F334" s="18"/>
      <c r="G334" s="18"/>
      <c r="H334" s="15"/>
      <c r="I334" s="15"/>
      <c r="J334" s="15"/>
      <c r="K334" s="15"/>
      <c r="L334" s="19"/>
      <c r="M334" s="19"/>
      <c r="N334" s="19"/>
      <c r="O334" s="19"/>
      <c r="P334" s="19"/>
      <c r="Q334" s="19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</row>
    <row r="335" customFormat="false" ht="18" hidden="false" customHeight="true" outlineLevel="0" collapsed="false">
      <c r="A335" s="15"/>
      <c r="B335" s="15"/>
      <c r="C335" s="15"/>
      <c r="D335" s="15"/>
      <c r="E335" s="18"/>
      <c r="F335" s="18"/>
      <c r="G335" s="18"/>
      <c r="H335" s="15"/>
      <c r="I335" s="15"/>
      <c r="J335" s="15"/>
      <c r="K335" s="15"/>
      <c r="L335" s="19"/>
      <c r="M335" s="19"/>
      <c r="N335" s="19"/>
      <c r="O335" s="19"/>
      <c r="P335" s="19"/>
      <c r="Q335" s="19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</row>
    <row r="336" customFormat="false" ht="18" hidden="false" customHeight="true" outlineLevel="0" collapsed="false">
      <c r="A336" s="15"/>
      <c r="B336" s="15"/>
      <c r="C336" s="15"/>
      <c r="D336" s="15"/>
      <c r="E336" s="18"/>
      <c r="F336" s="18"/>
      <c r="G336" s="18"/>
      <c r="H336" s="15"/>
      <c r="I336" s="15"/>
      <c r="J336" s="15"/>
      <c r="K336" s="15"/>
      <c r="L336" s="19"/>
      <c r="M336" s="19"/>
      <c r="N336" s="19"/>
      <c r="O336" s="19"/>
      <c r="P336" s="19"/>
      <c r="Q336" s="19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</row>
    <row r="337" customFormat="false" ht="18" hidden="false" customHeight="true" outlineLevel="0" collapsed="false">
      <c r="A337" s="15"/>
      <c r="B337" s="15"/>
      <c r="C337" s="15"/>
      <c r="D337" s="15"/>
      <c r="E337" s="18"/>
      <c r="F337" s="18"/>
      <c r="G337" s="18"/>
      <c r="H337" s="15"/>
      <c r="I337" s="15"/>
      <c r="J337" s="15"/>
      <c r="K337" s="15"/>
      <c r="L337" s="19"/>
      <c r="M337" s="19"/>
      <c r="N337" s="19"/>
      <c r="O337" s="19"/>
      <c r="P337" s="19"/>
      <c r="Q337" s="19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</row>
    <row r="338" customFormat="false" ht="18" hidden="false" customHeight="true" outlineLevel="0" collapsed="false">
      <c r="A338" s="15"/>
      <c r="B338" s="15"/>
      <c r="C338" s="15"/>
      <c r="D338" s="15"/>
      <c r="E338" s="18"/>
      <c r="F338" s="18"/>
      <c r="G338" s="18"/>
      <c r="H338" s="15"/>
      <c r="I338" s="15"/>
      <c r="J338" s="15"/>
      <c r="K338" s="15"/>
      <c r="L338" s="19"/>
      <c r="M338" s="19"/>
      <c r="N338" s="19"/>
      <c r="O338" s="19"/>
      <c r="P338" s="19"/>
      <c r="Q338" s="19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</row>
    <row r="339" customFormat="false" ht="18" hidden="false" customHeight="true" outlineLevel="0" collapsed="false">
      <c r="A339" s="15"/>
      <c r="B339" s="15"/>
      <c r="C339" s="15"/>
      <c r="D339" s="15"/>
      <c r="E339" s="18"/>
      <c r="F339" s="18"/>
      <c r="G339" s="18"/>
      <c r="H339" s="15"/>
      <c r="I339" s="15"/>
      <c r="J339" s="15"/>
      <c r="K339" s="15"/>
      <c r="L339" s="19"/>
      <c r="M339" s="19"/>
      <c r="N339" s="19"/>
      <c r="O339" s="19"/>
      <c r="P339" s="19"/>
      <c r="Q339" s="19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</row>
    <row r="340" customFormat="false" ht="18" hidden="false" customHeight="true" outlineLevel="0" collapsed="false">
      <c r="A340" s="15"/>
      <c r="B340" s="15"/>
      <c r="C340" s="15"/>
      <c r="D340" s="15"/>
      <c r="E340" s="18"/>
      <c r="F340" s="18"/>
      <c r="G340" s="18"/>
      <c r="H340" s="15"/>
      <c r="I340" s="15"/>
      <c r="J340" s="15"/>
      <c r="K340" s="15"/>
      <c r="L340" s="19"/>
      <c r="M340" s="19"/>
      <c r="N340" s="19"/>
      <c r="O340" s="19"/>
      <c r="P340" s="19"/>
      <c r="Q340" s="19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</row>
    <row r="341" customFormat="false" ht="18" hidden="false" customHeight="true" outlineLevel="0" collapsed="false">
      <c r="A341" s="15"/>
      <c r="B341" s="15"/>
      <c r="C341" s="15"/>
      <c r="D341" s="15"/>
      <c r="E341" s="18"/>
      <c r="F341" s="18"/>
      <c r="G341" s="18"/>
      <c r="H341" s="15"/>
      <c r="I341" s="15"/>
      <c r="J341" s="15"/>
      <c r="K341" s="15"/>
      <c r="L341" s="19"/>
      <c r="M341" s="19"/>
      <c r="N341" s="19"/>
      <c r="O341" s="19"/>
      <c r="P341" s="19"/>
      <c r="Q341" s="19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</row>
    <row r="342" customFormat="false" ht="18" hidden="false" customHeight="true" outlineLevel="0" collapsed="false">
      <c r="A342" s="15"/>
      <c r="B342" s="15"/>
      <c r="C342" s="15"/>
      <c r="D342" s="15"/>
      <c r="E342" s="18"/>
      <c r="F342" s="18"/>
      <c r="G342" s="18"/>
      <c r="H342" s="15"/>
      <c r="I342" s="15"/>
      <c r="J342" s="15"/>
      <c r="K342" s="15"/>
      <c r="L342" s="19"/>
      <c r="M342" s="19"/>
      <c r="N342" s="19"/>
      <c r="O342" s="19"/>
      <c r="P342" s="19"/>
      <c r="Q342" s="19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</row>
    <row r="343" customFormat="false" ht="18" hidden="false" customHeight="true" outlineLevel="0" collapsed="false">
      <c r="A343" s="15"/>
      <c r="B343" s="15"/>
      <c r="C343" s="15"/>
      <c r="D343" s="15"/>
      <c r="E343" s="18"/>
      <c r="F343" s="18"/>
      <c r="G343" s="18"/>
      <c r="H343" s="15"/>
      <c r="I343" s="15"/>
      <c r="J343" s="15"/>
      <c r="K343" s="15"/>
      <c r="L343" s="19"/>
      <c r="M343" s="19"/>
      <c r="N343" s="19"/>
      <c r="O343" s="19"/>
      <c r="P343" s="19"/>
      <c r="Q343" s="19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</row>
    <row r="344" customFormat="false" ht="18" hidden="false" customHeight="true" outlineLevel="0" collapsed="false">
      <c r="A344" s="15"/>
      <c r="B344" s="15"/>
      <c r="C344" s="15"/>
      <c r="D344" s="15"/>
      <c r="E344" s="18"/>
      <c r="F344" s="18"/>
      <c r="G344" s="18"/>
      <c r="H344" s="15"/>
      <c r="I344" s="15"/>
      <c r="J344" s="15"/>
      <c r="K344" s="15"/>
      <c r="L344" s="19"/>
      <c r="M344" s="19"/>
      <c r="N344" s="19"/>
      <c r="O344" s="19"/>
      <c r="P344" s="19"/>
      <c r="Q344" s="19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</row>
    <row r="345" customFormat="false" ht="18" hidden="false" customHeight="true" outlineLevel="0" collapsed="false">
      <c r="A345" s="15"/>
      <c r="B345" s="15"/>
      <c r="C345" s="15"/>
      <c r="D345" s="15"/>
      <c r="E345" s="18"/>
      <c r="F345" s="18"/>
      <c r="G345" s="18"/>
      <c r="H345" s="15"/>
      <c r="I345" s="15"/>
      <c r="J345" s="15"/>
      <c r="K345" s="15"/>
      <c r="L345" s="19"/>
      <c r="M345" s="19"/>
      <c r="N345" s="19"/>
      <c r="O345" s="19"/>
      <c r="P345" s="19"/>
      <c r="Q345" s="19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</row>
    <row r="346" customFormat="false" ht="18" hidden="false" customHeight="true" outlineLevel="0" collapsed="false">
      <c r="A346" s="15"/>
      <c r="B346" s="15"/>
      <c r="C346" s="15"/>
      <c r="D346" s="15"/>
      <c r="E346" s="18"/>
      <c r="F346" s="18"/>
      <c r="G346" s="18"/>
      <c r="H346" s="15"/>
      <c r="I346" s="15"/>
      <c r="J346" s="15"/>
      <c r="K346" s="15"/>
      <c r="L346" s="19"/>
      <c r="M346" s="19"/>
      <c r="N346" s="19"/>
      <c r="O346" s="19"/>
      <c r="P346" s="19"/>
      <c r="Q346" s="19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</row>
    <row r="347" customFormat="false" ht="18" hidden="false" customHeight="true" outlineLevel="0" collapsed="false">
      <c r="A347" s="15"/>
      <c r="B347" s="15"/>
      <c r="C347" s="15"/>
      <c r="D347" s="15"/>
      <c r="E347" s="18"/>
      <c r="F347" s="18"/>
      <c r="G347" s="18"/>
      <c r="H347" s="15"/>
      <c r="I347" s="15"/>
      <c r="J347" s="15"/>
      <c r="K347" s="15"/>
      <c r="L347" s="19"/>
      <c r="M347" s="19"/>
      <c r="N347" s="19"/>
      <c r="O347" s="19"/>
      <c r="P347" s="19"/>
      <c r="Q347" s="19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</row>
    <row r="348" customFormat="false" ht="18" hidden="false" customHeight="true" outlineLevel="0" collapsed="false">
      <c r="A348" s="15"/>
      <c r="B348" s="15"/>
      <c r="C348" s="15"/>
      <c r="D348" s="15"/>
      <c r="E348" s="18"/>
      <c r="F348" s="18"/>
      <c r="G348" s="18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</row>
    <row r="349" customFormat="false" ht="18" hidden="false" customHeight="true" outlineLevel="0" collapsed="false">
      <c r="A349" s="15"/>
      <c r="B349" s="15"/>
      <c r="C349" s="15"/>
      <c r="D349" s="15"/>
      <c r="E349" s="18"/>
      <c r="F349" s="18"/>
      <c r="G349" s="18"/>
      <c r="H349" s="15"/>
      <c r="I349" s="15"/>
      <c r="J349" s="15"/>
      <c r="K349" s="15"/>
      <c r="L349" s="19"/>
      <c r="M349" s="19"/>
      <c r="N349" s="19"/>
      <c r="O349" s="19"/>
      <c r="P349" s="19"/>
      <c r="Q349" s="19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</row>
    <row r="350" customFormat="false" ht="18" hidden="false" customHeight="true" outlineLevel="0" collapsed="false">
      <c r="A350" s="15"/>
      <c r="B350" s="15"/>
      <c r="C350" s="15"/>
      <c r="D350" s="15"/>
      <c r="E350" s="18"/>
      <c r="F350" s="18"/>
      <c r="G350" s="18"/>
      <c r="H350" s="15"/>
      <c r="I350" s="15"/>
      <c r="J350" s="15"/>
      <c r="K350" s="15"/>
      <c r="L350" s="19"/>
      <c r="M350" s="19"/>
      <c r="N350" s="19"/>
      <c r="O350" s="19"/>
      <c r="P350" s="19"/>
      <c r="Q350" s="19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</row>
    <row r="351" customFormat="false" ht="18" hidden="false" customHeight="true" outlineLevel="0" collapsed="false">
      <c r="A351" s="15"/>
      <c r="B351" s="15"/>
      <c r="C351" s="15"/>
      <c r="D351" s="15"/>
      <c r="E351" s="18"/>
      <c r="F351" s="18"/>
      <c r="G351" s="18"/>
      <c r="H351" s="15"/>
      <c r="I351" s="15"/>
      <c r="J351" s="15"/>
      <c r="K351" s="15"/>
      <c r="L351" s="19"/>
      <c r="M351" s="19"/>
      <c r="N351" s="19"/>
      <c r="O351" s="19"/>
      <c r="P351" s="19"/>
      <c r="Q351" s="19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</row>
    <row r="352" customFormat="false" ht="18" hidden="false" customHeight="true" outlineLevel="0" collapsed="false">
      <c r="A352" s="15"/>
      <c r="B352" s="15"/>
      <c r="C352" s="15"/>
      <c r="D352" s="15"/>
      <c r="E352" s="18"/>
      <c r="F352" s="18"/>
      <c r="G352" s="18"/>
      <c r="H352" s="15"/>
      <c r="I352" s="15"/>
      <c r="J352" s="15"/>
      <c r="K352" s="15"/>
      <c r="L352" s="19"/>
      <c r="M352" s="19"/>
      <c r="N352" s="19"/>
      <c r="O352" s="19"/>
      <c r="P352" s="19"/>
      <c r="Q352" s="19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</row>
    <row r="353" customFormat="false" ht="18" hidden="false" customHeight="true" outlineLevel="0" collapsed="false">
      <c r="A353" s="15"/>
      <c r="B353" s="15"/>
      <c r="C353" s="15"/>
      <c r="D353" s="15"/>
      <c r="E353" s="18"/>
      <c r="F353" s="18"/>
      <c r="G353" s="18"/>
      <c r="H353" s="15"/>
      <c r="I353" s="15"/>
      <c r="J353" s="15"/>
      <c r="K353" s="15"/>
      <c r="L353" s="19"/>
      <c r="M353" s="19"/>
      <c r="N353" s="19"/>
      <c r="O353" s="19"/>
      <c r="P353" s="19"/>
      <c r="Q353" s="19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</row>
    <row r="354" customFormat="false" ht="18" hidden="false" customHeight="true" outlineLevel="0" collapsed="false">
      <c r="A354" s="15"/>
      <c r="B354" s="15"/>
      <c r="C354" s="15"/>
      <c r="D354" s="15"/>
      <c r="E354" s="18"/>
      <c r="F354" s="18"/>
      <c r="G354" s="18"/>
      <c r="H354" s="15"/>
      <c r="I354" s="15"/>
      <c r="J354" s="15"/>
      <c r="K354" s="15"/>
      <c r="L354" s="19"/>
      <c r="M354" s="19"/>
      <c r="N354" s="19"/>
      <c r="O354" s="19"/>
      <c r="P354" s="19"/>
      <c r="Q354" s="19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</row>
    <row r="355" customFormat="false" ht="18" hidden="false" customHeight="true" outlineLevel="0" collapsed="false">
      <c r="A355" s="15"/>
      <c r="B355" s="15"/>
      <c r="C355" s="15"/>
      <c r="D355" s="15"/>
      <c r="E355" s="18"/>
      <c r="F355" s="18"/>
      <c r="G355" s="18"/>
      <c r="H355" s="15"/>
      <c r="I355" s="15"/>
      <c r="J355" s="15"/>
      <c r="K355" s="15"/>
      <c r="L355" s="19"/>
      <c r="M355" s="19"/>
      <c r="N355" s="19"/>
      <c r="O355" s="19"/>
      <c r="P355" s="19"/>
      <c r="Q355" s="19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</row>
    <row r="356" customFormat="false" ht="18" hidden="false" customHeight="true" outlineLevel="0" collapsed="false">
      <c r="A356" s="15"/>
      <c r="B356" s="15"/>
      <c r="C356" s="15"/>
      <c r="D356" s="15"/>
      <c r="E356" s="18"/>
      <c r="F356" s="18"/>
      <c r="G356" s="18"/>
      <c r="H356" s="15"/>
      <c r="I356" s="15"/>
      <c r="J356" s="15"/>
      <c r="K356" s="15"/>
      <c r="L356" s="19"/>
      <c r="M356" s="19"/>
      <c r="N356" s="19"/>
      <c r="O356" s="19"/>
      <c r="P356" s="19"/>
      <c r="Q356" s="19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</row>
    <row r="357" customFormat="false" ht="18" hidden="false" customHeight="true" outlineLevel="0" collapsed="false">
      <c r="A357" s="15"/>
      <c r="B357" s="15"/>
      <c r="C357" s="15"/>
      <c r="D357" s="15"/>
      <c r="E357" s="18"/>
      <c r="F357" s="18"/>
      <c r="G357" s="18"/>
      <c r="H357" s="15"/>
      <c r="I357" s="15"/>
      <c r="J357" s="15"/>
      <c r="K357" s="15"/>
      <c r="L357" s="19"/>
      <c r="M357" s="19"/>
      <c r="N357" s="19"/>
      <c r="O357" s="19"/>
      <c r="P357" s="19"/>
      <c r="Q357" s="19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</row>
    <row r="358" customFormat="false" ht="18" hidden="false" customHeight="true" outlineLevel="0" collapsed="false">
      <c r="A358" s="15"/>
      <c r="B358" s="15"/>
      <c r="C358" s="15"/>
      <c r="D358" s="15"/>
      <c r="E358" s="18"/>
      <c r="F358" s="18"/>
      <c r="G358" s="18"/>
      <c r="H358" s="15"/>
      <c r="I358" s="15"/>
      <c r="J358" s="15"/>
      <c r="K358" s="15"/>
      <c r="L358" s="19"/>
      <c r="M358" s="19"/>
      <c r="N358" s="19"/>
      <c r="O358" s="19"/>
      <c r="P358" s="19"/>
      <c r="Q358" s="19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</row>
    <row r="359" customFormat="false" ht="18" hidden="false" customHeight="true" outlineLevel="0" collapsed="false">
      <c r="A359" s="15"/>
      <c r="B359" s="15"/>
      <c r="C359" s="15"/>
      <c r="D359" s="15"/>
      <c r="E359" s="18"/>
      <c r="F359" s="18"/>
      <c r="G359" s="18"/>
      <c r="H359" s="15"/>
      <c r="I359" s="15"/>
      <c r="J359" s="15"/>
      <c r="K359" s="15"/>
      <c r="L359" s="19"/>
      <c r="M359" s="19"/>
      <c r="N359" s="19"/>
      <c r="O359" s="19"/>
      <c r="P359" s="19"/>
      <c r="Q359" s="19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</row>
    <row r="360" customFormat="false" ht="18" hidden="false" customHeight="true" outlineLevel="0" collapsed="false">
      <c r="A360" s="15"/>
      <c r="B360" s="15"/>
      <c r="C360" s="15"/>
      <c r="D360" s="15"/>
      <c r="E360" s="18"/>
      <c r="F360" s="18"/>
      <c r="G360" s="18"/>
      <c r="H360" s="15"/>
      <c r="I360" s="15"/>
      <c r="J360" s="15"/>
      <c r="K360" s="15"/>
      <c r="L360" s="19"/>
      <c r="M360" s="19"/>
      <c r="N360" s="19"/>
      <c r="O360" s="19"/>
      <c r="P360" s="19"/>
      <c r="Q360" s="19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</row>
    <row r="361" customFormat="false" ht="18" hidden="false" customHeight="true" outlineLevel="0" collapsed="false">
      <c r="A361" s="15"/>
      <c r="B361" s="15"/>
      <c r="C361" s="15"/>
      <c r="D361" s="15"/>
      <c r="E361" s="18"/>
      <c r="F361" s="18"/>
      <c r="G361" s="18"/>
      <c r="H361" s="15"/>
      <c r="I361" s="15"/>
      <c r="J361" s="15"/>
      <c r="K361" s="15"/>
      <c r="L361" s="19"/>
      <c r="M361" s="19"/>
      <c r="N361" s="19"/>
      <c r="O361" s="19"/>
      <c r="P361" s="19"/>
      <c r="Q361" s="19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</row>
    <row r="362" customFormat="false" ht="18" hidden="false" customHeight="true" outlineLevel="0" collapsed="false">
      <c r="A362" s="15"/>
      <c r="B362" s="15"/>
      <c r="C362" s="15"/>
      <c r="D362" s="15"/>
      <c r="E362" s="18"/>
      <c r="F362" s="18"/>
      <c r="G362" s="18"/>
      <c r="H362" s="15"/>
      <c r="I362" s="15"/>
      <c r="J362" s="15"/>
      <c r="K362" s="15"/>
      <c r="L362" s="19"/>
      <c r="M362" s="19"/>
      <c r="N362" s="19"/>
      <c r="O362" s="19"/>
      <c r="P362" s="19"/>
      <c r="Q362" s="19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</row>
    <row r="363" customFormat="false" ht="18" hidden="false" customHeight="true" outlineLevel="0" collapsed="false">
      <c r="A363" s="15"/>
      <c r="B363" s="15"/>
      <c r="C363" s="15"/>
      <c r="D363" s="15"/>
      <c r="E363" s="18"/>
      <c r="F363" s="18"/>
      <c r="G363" s="18"/>
      <c r="H363" s="15"/>
      <c r="I363" s="15"/>
      <c r="J363" s="15"/>
      <c r="K363" s="15"/>
      <c r="L363" s="19"/>
      <c r="M363" s="19"/>
      <c r="N363" s="19"/>
      <c r="O363" s="19"/>
      <c r="P363" s="19"/>
      <c r="Q363" s="19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</row>
    <row r="364" customFormat="false" ht="18" hidden="false" customHeight="true" outlineLevel="0" collapsed="false">
      <c r="A364" s="15"/>
      <c r="B364" s="15"/>
      <c r="C364" s="15"/>
      <c r="D364" s="15"/>
      <c r="E364" s="18"/>
      <c r="F364" s="18"/>
      <c r="G364" s="18"/>
      <c r="H364" s="15"/>
      <c r="I364" s="15"/>
      <c r="J364" s="15"/>
      <c r="K364" s="15"/>
      <c r="L364" s="19"/>
      <c r="M364" s="19"/>
      <c r="N364" s="19"/>
      <c r="O364" s="19"/>
      <c r="P364" s="19"/>
      <c r="Q364" s="19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</row>
    <row r="365" customFormat="false" ht="18" hidden="false" customHeight="true" outlineLevel="0" collapsed="false">
      <c r="A365" s="15"/>
      <c r="B365" s="15"/>
      <c r="C365" s="15"/>
      <c r="D365" s="15"/>
      <c r="E365" s="18"/>
      <c r="F365" s="18"/>
      <c r="G365" s="18"/>
      <c r="H365" s="15"/>
      <c r="I365" s="15"/>
      <c r="J365" s="15"/>
      <c r="K365" s="15"/>
      <c r="L365" s="19"/>
      <c r="M365" s="19"/>
      <c r="N365" s="19"/>
      <c r="O365" s="19"/>
      <c r="P365" s="19"/>
      <c r="Q365" s="19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</row>
    <row r="366" customFormat="false" ht="18" hidden="false" customHeight="true" outlineLevel="0" collapsed="false">
      <c r="A366" s="15"/>
      <c r="B366" s="15"/>
      <c r="C366" s="15"/>
      <c r="D366" s="15"/>
      <c r="E366" s="18"/>
      <c r="F366" s="18"/>
      <c r="G366" s="18"/>
      <c r="H366" s="15"/>
      <c r="I366" s="15"/>
      <c r="J366" s="15"/>
      <c r="K366" s="15"/>
      <c r="L366" s="19"/>
      <c r="M366" s="19"/>
      <c r="N366" s="19"/>
      <c r="O366" s="19"/>
      <c r="P366" s="19"/>
      <c r="Q366" s="19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</row>
    <row r="367" customFormat="false" ht="18" hidden="false" customHeight="true" outlineLevel="0" collapsed="false">
      <c r="A367" s="15"/>
      <c r="B367" s="15"/>
      <c r="C367" s="15"/>
      <c r="D367" s="15"/>
      <c r="E367" s="18"/>
      <c r="F367" s="18"/>
      <c r="G367" s="18"/>
      <c r="H367" s="15"/>
      <c r="I367" s="15"/>
      <c r="J367" s="15"/>
      <c r="K367" s="15"/>
      <c r="L367" s="19"/>
      <c r="M367" s="19"/>
      <c r="N367" s="19"/>
      <c r="O367" s="19"/>
      <c r="P367" s="19"/>
      <c r="Q367" s="19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</row>
    <row r="368" customFormat="false" ht="18" hidden="false" customHeight="true" outlineLevel="0" collapsed="false">
      <c r="A368" s="15"/>
      <c r="B368" s="15"/>
      <c r="C368" s="15"/>
      <c r="D368" s="15"/>
      <c r="E368" s="18"/>
      <c r="F368" s="18"/>
      <c r="G368" s="18"/>
      <c r="H368" s="15"/>
      <c r="I368" s="15"/>
      <c r="J368" s="15"/>
      <c r="K368" s="15"/>
      <c r="L368" s="19"/>
      <c r="M368" s="19"/>
      <c r="N368" s="19"/>
      <c r="O368" s="19"/>
      <c r="P368" s="19"/>
      <c r="Q368" s="19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</row>
    <row r="369" customFormat="false" ht="18" hidden="false" customHeight="true" outlineLevel="0" collapsed="false">
      <c r="A369" s="15"/>
      <c r="B369" s="15"/>
      <c r="C369" s="15"/>
      <c r="D369" s="15"/>
      <c r="E369" s="18"/>
      <c r="F369" s="18"/>
      <c r="G369" s="18"/>
      <c r="H369" s="15"/>
      <c r="I369" s="15"/>
      <c r="J369" s="15"/>
      <c r="K369" s="15"/>
      <c r="L369" s="19"/>
      <c r="M369" s="19"/>
      <c r="N369" s="19"/>
      <c r="O369" s="19"/>
      <c r="P369" s="19"/>
      <c r="Q369" s="19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</row>
    <row r="370" customFormat="false" ht="18" hidden="false" customHeight="true" outlineLevel="0" collapsed="false">
      <c r="A370" s="15"/>
      <c r="B370" s="15"/>
      <c r="C370" s="15"/>
      <c r="D370" s="15"/>
      <c r="E370" s="18"/>
      <c r="F370" s="18"/>
      <c r="G370" s="18"/>
      <c r="H370" s="15"/>
      <c r="I370" s="15"/>
      <c r="J370" s="15"/>
      <c r="K370" s="15"/>
      <c r="L370" s="19"/>
      <c r="M370" s="19"/>
      <c r="N370" s="19"/>
      <c r="O370" s="19"/>
      <c r="P370" s="19"/>
      <c r="Q370" s="19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</row>
    <row r="371" customFormat="false" ht="18" hidden="false" customHeight="true" outlineLevel="0" collapsed="false">
      <c r="A371" s="15"/>
      <c r="B371" s="15"/>
      <c r="C371" s="15"/>
      <c r="D371" s="15"/>
      <c r="E371" s="18"/>
      <c r="F371" s="18"/>
      <c r="G371" s="18"/>
      <c r="H371" s="15"/>
      <c r="I371" s="15"/>
      <c r="J371" s="15"/>
      <c r="K371" s="15"/>
      <c r="L371" s="19"/>
      <c r="M371" s="19"/>
      <c r="N371" s="19"/>
      <c r="O371" s="19"/>
      <c r="P371" s="19"/>
      <c r="Q371" s="19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</row>
    <row r="372" customFormat="false" ht="18" hidden="false" customHeight="true" outlineLevel="0" collapsed="false">
      <c r="A372" s="15"/>
      <c r="B372" s="15"/>
      <c r="C372" s="15"/>
      <c r="D372" s="15"/>
      <c r="E372" s="18"/>
      <c r="F372" s="18"/>
      <c r="G372" s="18"/>
      <c r="H372" s="15"/>
      <c r="I372" s="15"/>
      <c r="J372" s="15"/>
      <c r="K372" s="15"/>
      <c r="L372" s="19"/>
      <c r="M372" s="19"/>
      <c r="N372" s="19"/>
      <c r="O372" s="19"/>
      <c r="P372" s="19"/>
      <c r="Q372" s="19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</row>
    <row r="373" customFormat="false" ht="18" hidden="false" customHeight="true" outlineLevel="0" collapsed="false">
      <c r="A373" s="15"/>
      <c r="B373" s="15"/>
      <c r="C373" s="15"/>
      <c r="D373" s="15"/>
      <c r="E373" s="18"/>
      <c r="F373" s="18"/>
      <c r="G373" s="18"/>
      <c r="H373" s="15"/>
      <c r="I373" s="15"/>
      <c r="J373" s="15"/>
      <c r="K373" s="15"/>
      <c r="L373" s="19"/>
      <c r="M373" s="19"/>
      <c r="N373" s="19"/>
      <c r="O373" s="19"/>
      <c r="P373" s="19"/>
      <c r="Q373" s="19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</row>
    <row r="374" customFormat="false" ht="18" hidden="false" customHeight="true" outlineLevel="0" collapsed="false">
      <c r="A374" s="15"/>
      <c r="B374" s="15"/>
      <c r="C374" s="15"/>
      <c r="D374" s="15"/>
      <c r="E374" s="18"/>
      <c r="F374" s="18"/>
      <c r="G374" s="18"/>
      <c r="H374" s="15"/>
      <c r="I374" s="15"/>
      <c r="J374" s="15"/>
      <c r="K374" s="15"/>
      <c r="L374" s="19"/>
      <c r="M374" s="19"/>
      <c r="N374" s="19"/>
      <c r="O374" s="19"/>
      <c r="P374" s="19"/>
      <c r="Q374" s="19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</row>
    <row r="375" customFormat="false" ht="18" hidden="false" customHeight="true" outlineLevel="0" collapsed="false">
      <c r="A375" s="15"/>
      <c r="B375" s="15"/>
      <c r="C375" s="15"/>
      <c r="D375" s="15"/>
      <c r="E375" s="18"/>
      <c r="F375" s="18"/>
      <c r="G375" s="18"/>
      <c r="H375" s="15"/>
      <c r="I375" s="15"/>
      <c r="J375" s="15"/>
      <c r="K375" s="15"/>
      <c r="L375" s="19"/>
      <c r="M375" s="19"/>
      <c r="N375" s="19"/>
      <c r="O375" s="19"/>
      <c r="P375" s="19"/>
      <c r="Q375" s="19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</row>
    <row r="376" customFormat="false" ht="18" hidden="false" customHeight="true" outlineLevel="0" collapsed="false">
      <c r="A376" s="15"/>
      <c r="B376" s="15"/>
      <c r="C376" s="15"/>
      <c r="D376" s="15"/>
      <c r="E376" s="18"/>
      <c r="F376" s="18"/>
      <c r="G376" s="18"/>
      <c r="H376" s="15"/>
      <c r="I376" s="15"/>
      <c r="J376" s="15"/>
      <c r="K376" s="15"/>
      <c r="L376" s="19"/>
      <c r="M376" s="19"/>
      <c r="N376" s="19"/>
      <c r="O376" s="19"/>
      <c r="P376" s="19"/>
      <c r="Q376" s="19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</row>
    <row r="377" customFormat="false" ht="18" hidden="false" customHeight="true" outlineLevel="0" collapsed="false">
      <c r="A377" s="15"/>
      <c r="B377" s="15"/>
      <c r="C377" s="15"/>
      <c r="D377" s="15"/>
      <c r="E377" s="18"/>
      <c r="F377" s="18"/>
      <c r="G377" s="18"/>
      <c r="H377" s="15"/>
      <c r="I377" s="15"/>
      <c r="J377" s="15"/>
      <c r="K377" s="15"/>
      <c r="L377" s="19"/>
      <c r="M377" s="19"/>
      <c r="N377" s="19"/>
      <c r="O377" s="19"/>
      <c r="P377" s="19"/>
      <c r="Q377" s="19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</row>
    <row r="378" customFormat="false" ht="18" hidden="false" customHeight="true" outlineLevel="0" collapsed="false">
      <c r="A378" s="15"/>
      <c r="B378" s="15"/>
      <c r="C378" s="15"/>
      <c r="D378" s="15"/>
      <c r="E378" s="18"/>
      <c r="F378" s="18"/>
      <c r="G378" s="18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</row>
    <row r="379" customFormat="false" ht="18" hidden="false" customHeight="true" outlineLevel="0" collapsed="false">
      <c r="A379" s="15"/>
      <c r="B379" s="15"/>
      <c r="C379" s="15"/>
      <c r="D379" s="15"/>
      <c r="E379" s="18"/>
      <c r="F379" s="18"/>
      <c r="G379" s="18"/>
      <c r="H379" s="15"/>
      <c r="I379" s="15"/>
      <c r="J379" s="15"/>
      <c r="K379" s="15"/>
      <c r="L379" s="19"/>
      <c r="M379" s="19"/>
      <c r="N379" s="19"/>
      <c r="O379" s="19"/>
      <c r="P379" s="19"/>
      <c r="Q379" s="19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</row>
    <row r="380" customFormat="false" ht="18" hidden="false" customHeight="true" outlineLevel="0" collapsed="false">
      <c r="A380" s="15"/>
      <c r="B380" s="15"/>
      <c r="C380" s="15"/>
      <c r="D380" s="15"/>
      <c r="E380" s="18"/>
      <c r="F380" s="18"/>
      <c r="G380" s="18"/>
      <c r="H380" s="15"/>
      <c r="I380" s="15"/>
      <c r="J380" s="15"/>
      <c r="K380" s="15"/>
      <c r="L380" s="19"/>
      <c r="M380" s="19"/>
      <c r="N380" s="19"/>
      <c r="O380" s="19"/>
      <c r="P380" s="19"/>
      <c r="Q380" s="19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</row>
    <row r="381" customFormat="false" ht="18" hidden="false" customHeight="true" outlineLevel="0" collapsed="false">
      <c r="A381" s="15"/>
      <c r="B381" s="15"/>
      <c r="C381" s="15"/>
      <c r="D381" s="15"/>
      <c r="E381" s="18"/>
      <c r="F381" s="18"/>
      <c r="G381" s="18"/>
      <c r="H381" s="15"/>
      <c r="I381" s="15"/>
      <c r="J381" s="15"/>
      <c r="K381" s="15"/>
      <c r="L381" s="19"/>
      <c r="M381" s="19"/>
      <c r="N381" s="19"/>
      <c r="O381" s="19"/>
      <c r="P381" s="19"/>
      <c r="Q381" s="19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</row>
    <row r="382" customFormat="false" ht="18" hidden="false" customHeight="true" outlineLevel="0" collapsed="false">
      <c r="A382" s="15"/>
      <c r="B382" s="15"/>
      <c r="C382" s="15"/>
      <c r="D382" s="15"/>
      <c r="E382" s="18"/>
      <c r="F382" s="18"/>
      <c r="G382" s="18"/>
      <c r="H382" s="15"/>
      <c r="I382" s="15"/>
      <c r="J382" s="15"/>
      <c r="K382" s="15"/>
      <c r="L382" s="19"/>
      <c r="M382" s="19"/>
      <c r="N382" s="19"/>
      <c r="O382" s="19"/>
      <c r="P382" s="19"/>
      <c r="Q382" s="19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</row>
    <row r="383" customFormat="false" ht="18" hidden="false" customHeight="true" outlineLevel="0" collapsed="false">
      <c r="A383" s="15"/>
      <c r="B383" s="15"/>
      <c r="C383" s="15"/>
      <c r="D383" s="15"/>
      <c r="E383" s="18"/>
      <c r="F383" s="18"/>
      <c r="G383" s="18"/>
      <c r="H383" s="15"/>
      <c r="I383" s="15"/>
      <c r="J383" s="15"/>
      <c r="K383" s="15"/>
      <c r="L383" s="19"/>
      <c r="M383" s="19"/>
      <c r="N383" s="19"/>
      <c r="O383" s="19"/>
      <c r="P383" s="19"/>
      <c r="Q383" s="19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</row>
    <row r="384" customFormat="false" ht="18" hidden="false" customHeight="true" outlineLevel="0" collapsed="false">
      <c r="A384" s="15"/>
      <c r="B384" s="15"/>
      <c r="C384" s="15"/>
      <c r="D384" s="15"/>
      <c r="E384" s="18"/>
      <c r="F384" s="18"/>
      <c r="G384" s="18"/>
      <c r="H384" s="15"/>
      <c r="I384" s="15"/>
      <c r="J384" s="15"/>
      <c r="K384" s="15"/>
      <c r="L384" s="19"/>
      <c r="M384" s="19"/>
      <c r="N384" s="19"/>
      <c r="O384" s="19"/>
      <c r="P384" s="19"/>
      <c r="Q384" s="19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</row>
    <row r="385" customFormat="false" ht="18" hidden="false" customHeight="true" outlineLevel="0" collapsed="false">
      <c r="A385" s="15"/>
      <c r="B385" s="15"/>
      <c r="C385" s="15"/>
      <c r="D385" s="15"/>
      <c r="E385" s="18"/>
      <c r="F385" s="18"/>
      <c r="G385" s="18"/>
      <c r="H385" s="15"/>
      <c r="I385" s="15"/>
      <c r="J385" s="15"/>
      <c r="K385" s="15"/>
      <c r="L385" s="19"/>
      <c r="M385" s="19"/>
      <c r="N385" s="19"/>
      <c r="O385" s="19"/>
      <c r="P385" s="19"/>
      <c r="Q385" s="19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</row>
    <row r="386" customFormat="false" ht="18" hidden="false" customHeight="true" outlineLevel="0" collapsed="false">
      <c r="A386" s="15"/>
      <c r="B386" s="15"/>
      <c r="C386" s="15"/>
      <c r="D386" s="15"/>
      <c r="E386" s="18"/>
      <c r="F386" s="18"/>
      <c r="G386" s="18"/>
      <c r="H386" s="15"/>
      <c r="I386" s="15"/>
      <c r="J386" s="15"/>
      <c r="K386" s="15"/>
      <c r="L386" s="19"/>
      <c r="M386" s="19"/>
      <c r="N386" s="19"/>
      <c r="O386" s="19"/>
      <c r="P386" s="19"/>
      <c r="Q386" s="19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</row>
    <row r="387" customFormat="false" ht="18" hidden="false" customHeight="true" outlineLevel="0" collapsed="false">
      <c r="A387" s="15"/>
      <c r="B387" s="15"/>
      <c r="C387" s="15"/>
      <c r="D387" s="15"/>
      <c r="E387" s="18"/>
      <c r="F387" s="18"/>
      <c r="G387" s="18"/>
      <c r="H387" s="15"/>
      <c r="I387" s="15"/>
      <c r="J387" s="15"/>
      <c r="K387" s="15"/>
      <c r="L387" s="19"/>
      <c r="M387" s="19"/>
      <c r="N387" s="19"/>
      <c r="O387" s="19"/>
      <c r="P387" s="19"/>
      <c r="Q387" s="19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</row>
    <row r="388" customFormat="false" ht="18" hidden="false" customHeight="true" outlineLevel="0" collapsed="false">
      <c r="A388" s="15"/>
      <c r="B388" s="15"/>
      <c r="C388" s="15"/>
      <c r="D388" s="15"/>
      <c r="E388" s="18"/>
      <c r="F388" s="18"/>
      <c r="G388" s="18"/>
      <c r="H388" s="15"/>
      <c r="I388" s="15"/>
      <c r="J388" s="15"/>
      <c r="K388" s="15"/>
      <c r="L388" s="19"/>
      <c r="M388" s="19"/>
      <c r="N388" s="19"/>
      <c r="O388" s="19"/>
      <c r="P388" s="19"/>
      <c r="Q388" s="19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</row>
    <row r="389" customFormat="false" ht="18" hidden="false" customHeight="true" outlineLevel="0" collapsed="false">
      <c r="A389" s="15"/>
      <c r="B389" s="15"/>
      <c r="C389" s="15"/>
      <c r="D389" s="15"/>
      <c r="E389" s="18"/>
      <c r="F389" s="18"/>
      <c r="G389" s="18"/>
      <c r="H389" s="15"/>
      <c r="I389" s="15"/>
      <c r="J389" s="15"/>
      <c r="K389" s="15"/>
      <c r="L389" s="19"/>
      <c r="M389" s="19"/>
      <c r="N389" s="19"/>
      <c r="O389" s="19"/>
      <c r="P389" s="19"/>
      <c r="Q389" s="19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</row>
    <row r="390" customFormat="false" ht="18" hidden="false" customHeight="true" outlineLevel="0" collapsed="false">
      <c r="A390" s="15"/>
      <c r="B390" s="15"/>
      <c r="C390" s="15"/>
      <c r="D390" s="15"/>
      <c r="E390" s="18"/>
      <c r="F390" s="18"/>
      <c r="G390" s="18"/>
      <c r="H390" s="15"/>
      <c r="I390" s="15"/>
      <c r="J390" s="15"/>
      <c r="K390" s="15"/>
      <c r="L390" s="19"/>
      <c r="M390" s="19"/>
      <c r="N390" s="19"/>
      <c r="O390" s="19"/>
      <c r="P390" s="19"/>
      <c r="Q390" s="19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</row>
    <row r="391" customFormat="false" ht="18" hidden="false" customHeight="true" outlineLevel="0" collapsed="false">
      <c r="A391" s="15"/>
      <c r="B391" s="15"/>
      <c r="C391" s="15"/>
      <c r="D391" s="15"/>
      <c r="E391" s="18"/>
      <c r="F391" s="18"/>
      <c r="G391" s="18"/>
      <c r="H391" s="15"/>
      <c r="I391" s="15"/>
      <c r="J391" s="15"/>
      <c r="K391" s="15"/>
      <c r="L391" s="19"/>
      <c r="M391" s="19"/>
      <c r="N391" s="19"/>
      <c r="O391" s="19"/>
      <c r="P391" s="19"/>
      <c r="Q391" s="19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</row>
    <row r="392" customFormat="false" ht="18" hidden="false" customHeight="true" outlineLevel="0" collapsed="false">
      <c r="A392" s="15"/>
      <c r="B392" s="15"/>
      <c r="C392" s="15"/>
      <c r="D392" s="15"/>
      <c r="E392" s="18"/>
      <c r="F392" s="18"/>
      <c r="G392" s="18"/>
      <c r="H392" s="15"/>
      <c r="I392" s="15"/>
      <c r="J392" s="15"/>
      <c r="K392" s="15"/>
      <c r="L392" s="19"/>
      <c r="M392" s="19"/>
      <c r="N392" s="19"/>
      <c r="O392" s="19"/>
      <c r="P392" s="19"/>
      <c r="Q392" s="19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</row>
    <row r="393" customFormat="false" ht="18" hidden="false" customHeight="true" outlineLevel="0" collapsed="false">
      <c r="A393" s="15"/>
      <c r="B393" s="15"/>
      <c r="C393" s="15"/>
      <c r="D393" s="15"/>
      <c r="E393" s="18"/>
      <c r="F393" s="18"/>
      <c r="G393" s="18"/>
      <c r="H393" s="15"/>
      <c r="I393" s="15"/>
      <c r="J393" s="15"/>
      <c r="K393" s="15"/>
      <c r="L393" s="19"/>
      <c r="M393" s="19"/>
      <c r="N393" s="19"/>
      <c r="O393" s="19"/>
      <c r="P393" s="19"/>
      <c r="Q393" s="19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</row>
    <row r="394" customFormat="false" ht="18" hidden="false" customHeight="true" outlineLevel="0" collapsed="false">
      <c r="A394" s="15"/>
      <c r="B394" s="15"/>
      <c r="C394" s="15"/>
      <c r="D394" s="15"/>
      <c r="E394" s="18"/>
      <c r="F394" s="18"/>
      <c r="G394" s="18"/>
      <c r="H394" s="15"/>
      <c r="I394" s="15"/>
      <c r="J394" s="15"/>
      <c r="K394" s="15"/>
      <c r="L394" s="19"/>
      <c r="M394" s="19"/>
      <c r="N394" s="19"/>
      <c r="O394" s="19"/>
      <c r="P394" s="19"/>
      <c r="Q394" s="19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</row>
    <row r="395" customFormat="false" ht="18" hidden="false" customHeight="true" outlineLevel="0" collapsed="false">
      <c r="A395" s="15"/>
      <c r="B395" s="15"/>
      <c r="C395" s="15"/>
      <c r="D395" s="15"/>
      <c r="E395" s="18"/>
      <c r="F395" s="18"/>
      <c r="G395" s="18"/>
      <c r="H395" s="15"/>
      <c r="I395" s="15"/>
      <c r="J395" s="15"/>
      <c r="K395" s="15"/>
      <c r="L395" s="19"/>
      <c r="M395" s="19"/>
      <c r="N395" s="19"/>
      <c r="O395" s="19"/>
      <c r="P395" s="19"/>
      <c r="Q395" s="19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</row>
    <row r="396" customFormat="false" ht="18" hidden="false" customHeight="true" outlineLevel="0" collapsed="false">
      <c r="A396" s="15"/>
      <c r="B396" s="15"/>
      <c r="C396" s="15"/>
      <c r="D396" s="15"/>
      <c r="E396" s="18"/>
      <c r="F396" s="18"/>
      <c r="G396" s="18"/>
      <c r="H396" s="15"/>
      <c r="I396" s="15"/>
      <c r="J396" s="15"/>
      <c r="K396" s="15"/>
      <c r="L396" s="19"/>
      <c r="M396" s="19"/>
      <c r="N396" s="19"/>
      <c r="O396" s="19"/>
      <c r="P396" s="19"/>
      <c r="Q396" s="19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</row>
    <row r="397" customFormat="false" ht="18" hidden="false" customHeight="true" outlineLevel="0" collapsed="false">
      <c r="A397" s="15"/>
      <c r="B397" s="15"/>
      <c r="C397" s="15"/>
      <c r="D397" s="15"/>
      <c r="E397" s="18"/>
      <c r="F397" s="18"/>
      <c r="G397" s="18"/>
      <c r="H397" s="15"/>
      <c r="I397" s="15"/>
      <c r="J397" s="15"/>
      <c r="K397" s="15"/>
      <c r="L397" s="19"/>
      <c r="M397" s="19"/>
      <c r="N397" s="19"/>
      <c r="O397" s="19"/>
      <c r="P397" s="19"/>
      <c r="Q397" s="19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</row>
    <row r="398" customFormat="false" ht="18" hidden="false" customHeight="true" outlineLevel="0" collapsed="false">
      <c r="A398" s="15"/>
      <c r="B398" s="15"/>
      <c r="C398" s="15"/>
      <c r="D398" s="15"/>
      <c r="E398" s="18"/>
      <c r="F398" s="18"/>
      <c r="G398" s="18"/>
      <c r="H398" s="15"/>
      <c r="I398" s="15"/>
      <c r="J398" s="15"/>
      <c r="K398" s="15"/>
      <c r="L398" s="19"/>
      <c r="M398" s="19"/>
      <c r="N398" s="19"/>
      <c r="O398" s="19"/>
      <c r="P398" s="19"/>
      <c r="Q398" s="19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</row>
    <row r="399" customFormat="false" ht="18" hidden="false" customHeight="true" outlineLevel="0" collapsed="false">
      <c r="A399" s="15"/>
      <c r="B399" s="15"/>
      <c r="C399" s="15"/>
      <c r="D399" s="15"/>
      <c r="E399" s="18"/>
      <c r="F399" s="18"/>
      <c r="G399" s="18"/>
      <c r="H399" s="15"/>
      <c r="I399" s="15"/>
      <c r="J399" s="15"/>
      <c r="K399" s="15"/>
      <c r="L399" s="19"/>
      <c r="M399" s="19"/>
      <c r="N399" s="19"/>
      <c r="O399" s="19"/>
      <c r="P399" s="19"/>
      <c r="Q399" s="19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</row>
    <row r="400" customFormat="false" ht="18" hidden="false" customHeight="true" outlineLevel="0" collapsed="false">
      <c r="A400" s="15"/>
      <c r="B400" s="15"/>
      <c r="C400" s="15"/>
      <c r="D400" s="15"/>
      <c r="E400" s="18"/>
      <c r="F400" s="18"/>
      <c r="G400" s="18"/>
      <c r="H400" s="15"/>
      <c r="I400" s="15"/>
      <c r="J400" s="15"/>
      <c r="K400" s="15"/>
      <c r="L400" s="19"/>
      <c r="M400" s="19"/>
      <c r="N400" s="19"/>
      <c r="O400" s="19"/>
      <c r="P400" s="19"/>
      <c r="Q400" s="19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</row>
    <row r="401" customFormat="false" ht="18" hidden="false" customHeight="true" outlineLevel="0" collapsed="false">
      <c r="A401" s="15"/>
      <c r="B401" s="15"/>
      <c r="C401" s="15"/>
      <c r="D401" s="15"/>
      <c r="E401" s="18"/>
      <c r="F401" s="18"/>
      <c r="G401" s="18"/>
      <c r="H401" s="15"/>
      <c r="I401" s="15"/>
      <c r="J401" s="15"/>
      <c r="K401" s="15"/>
      <c r="L401" s="19"/>
      <c r="M401" s="19"/>
      <c r="N401" s="19"/>
      <c r="O401" s="19"/>
      <c r="P401" s="19"/>
      <c r="Q401" s="19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</row>
    <row r="402" customFormat="false" ht="18" hidden="false" customHeight="true" outlineLevel="0" collapsed="false">
      <c r="A402" s="15"/>
      <c r="B402" s="15"/>
      <c r="C402" s="15"/>
      <c r="D402" s="15"/>
      <c r="E402" s="18"/>
      <c r="F402" s="18"/>
      <c r="G402" s="18"/>
      <c r="H402" s="15"/>
      <c r="I402" s="15"/>
      <c r="J402" s="15"/>
      <c r="K402" s="15"/>
      <c r="L402" s="19"/>
      <c r="M402" s="19"/>
      <c r="N402" s="19"/>
      <c r="O402" s="19"/>
      <c r="P402" s="19"/>
      <c r="Q402" s="19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</row>
    <row r="403" customFormat="false" ht="18" hidden="false" customHeight="true" outlineLevel="0" collapsed="false">
      <c r="A403" s="15"/>
      <c r="B403" s="15"/>
      <c r="C403" s="15"/>
      <c r="D403" s="15"/>
      <c r="E403" s="18"/>
      <c r="F403" s="18"/>
      <c r="G403" s="18"/>
      <c r="H403" s="15"/>
      <c r="I403" s="15"/>
      <c r="J403" s="15"/>
      <c r="K403" s="15"/>
      <c r="L403" s="19"/>
      <c r="M403" s="19"/>
      <c r="N403" s="19"/>
      <c r="O403" s="19"/>
      <c r="P403" s="19"/>
      <c r="Q403" s="19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</row>
    <row r="404" customFormat="false" ht="18" hidden="false" customHeight="true" outlineLevel="0" collapsed="false">
      <c r="A404" s="15"/>
      <c r="B404" s="15"/>
      <c r="C404" s="15"/>
      <c r="D404" s="15"/>
      <c r="E404" s="18"/>
      <c r="F404" s="18"/>
      <c r="G404" s="18"/>
      <c r="H404" s="15"/>
      <c r="I404" s="15"/>
      <c r="J404" s="15"/>
      <c r="K404" s="15"/>
      <c r="L404" s="19"/>
      <c r="M404" s="19"/>
      <c r="N404" s="19"/>
      <c r="O404" s="19"/>
      <c r="P404" s="19"/>
      <c r="Q404" s="19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</row>
    <row r="405" customFormat="false" ht="18" hidden="false" customHeight="true" outlineLevel="0" collapsed="false">
      <c r="A405" s="15"/>
      <c r="B405" s="15"/>
      <c r="C405" s="15"/>
      <c r="D405" s="15"/>
      <c r="E405" s="18"/>
      <c r="F405" s="18"/>
      <c r="G405" s="18"/>
      <c r="H405" s="15"/>
      <c r="I405" s="15"/>
      <c r="J405" s="15"/>
      <c r="K405" s="15"/>
      <c r="L405" s="19"/>
      <c r="M405" s="19"/>
      <c r="N405" s="19"/>
      <c r="O405" s="19"/>
      <c r="P405" s="19"/>
      <c r="Q405" s="19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</row>
    <row r="406" customFormat="false" ht="18" hidden="false" customHeight="true" outlineLevel="0" collapsed="false">
      <c r="A406" s="15"/>
      <c r="B406" s="15"/>
      <c r="C406" s="15"/>
      <c r="D406" s="15"/>
      <c r="E406" s="18"/>
      <c r="F406" s="18"/>
      <c r="G406" s="18"/>
      <c r="H406" s="15"/>
      <c r="I406" s="15"/>
      <c r="J406" s="15"/>
      <c r="K406" s="15"/>
      <c r="L406" s="19"/>
      <c r="M406" s="19"/>
      <c r="N406" s="19"/>
      <c r="O406" s="19"/>
      <c r="P406" s="19"/>
      <c r="Q406" s="19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</row>
    <row r="407" customFormat="false" ht="18" hidden="false" customHeight="true" outlineLevel="0" collapsed="false">
      <c r="A407" s="15"/>
      <c r="B407" s="15"/>
      <c r="C407" s="15"/>
      <c r="D407" s="15"/>
      <c r="E407" s="18"/>
      <c r="F407" s="18"/>
      <c r="G407" s="18"/>
      <c r="H407" s="15"/>
      <c r="I407" s="15"/>
      <c r="J407" s="15"/>
      <c r="K407" s="15"/>
      <c r="L407" s="19"/>
      <c r="M407" s="19"/>
      <c r="N407" s="19"/>
      <c r="O407" s="19"/>
      <c r="P407" s="19"/>
      <c r="Q407" s="19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</row>
    <row r="408" customFormat="false" ht="18" hidden="false" customHeight="true" outlineLevel="0" collapsed="false">
      <c r="A408" s="15"/>
      <c r="B408" s="15"/>
      <c r="C408" s="15"/>
      <c r="D408" s="15"/>
      <c r="E408" s="18"/>
      <c r="F408" s="18"/>
      <c r="G408" s="18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</row>
    <row r="409" customFormat="false" ht="18" hidden="false" customHeight="true" outlineLevel="0" collapsed="false">
      <c r="A409" s="15"/>
      <c r="B409" s="15"/>
      <c r="C409" s="15"/>
      <c r="D409" s="15"/>
      <c r="E409" s="18"/>
      <c r="F409" s="18"/>
      <c r="G409" s="18"/>
      <c r="H409" s="15"/>
      <c r="I409" s="15"/>
      <c r="J409" s="15"/>
      <c r="K409" s="15"/>
      <c r="L409" s="19"/>
      <c r="M409" s="19"/>
      <c r="N409" s="19"/>
      <c r="O409" s="19"/>
      <c r="P409" s="19"/>
      <c r="Q409" s="19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</row>
    <row r="410" customFormat="false" ht="18" hidden="false" customHeight="true" outlineLevel="0" collapsed="false">
      <c r="A410" s="15"/>
      <c r="B410" s="15"/>
      <c r="C410" s="15"/>
      <c r="D410" s="15"/>
      <c r="E410" s="18"/>
      <c r="F410" s="18"/>
      <c r="G410" s="18"/>
      <c r="H410" s="15"/>
      <c r="I410" s="15"/>
      <c r="J410" s="15"/>
      <c r="K410" s="15"/>
      <c r="L410" s="19"/>
      <c r="M410" s="19"/>
      <c r="N410" s="19"/>
      <c r="O410" s="19"/>
      <c r="P410" s="19"/>
      <c r="Q410" s="19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</row>
    <row r="411" customFormat="false" ht="18" hidden="false" customHeight="true" outlineLevel="0" collapsed="false">
      <c r="A411" s="15"/>
      <c r="B411" s="15"/>
      <c r="C411" s="15"/>
      <c r="D411" s="15"/>
      <c r="E411" s="18"/>
      <c r="F411" s="18"/>
      <c r="G411" s="18"/>
      <c r="H411" s="15"/>
      <c r="I411" s="15"/>
      <c r="J411" s="15"/>
      <c r="K411" s="15"/>
      <c r="L411" s="19"/>
      <c r="M411" s="19"/>
      <c r="N411" s="19"/>
      <c r="O411" s="19"/>
      <c r="P411" s="19"/>
      <c r="Q411" s="19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</row>
    <row r="412" customFormat="false" ht="18" hidden="false" customHeight="true" outlineLevel="0" collapsed="false">
      <c r="A412" s="15"/>
      <c r="B412" s="15"/>
      <c r="C412" s="15"/>
      <c r="D412" s="15"/>
      <c r="E412" s="18"/>
      <c r="F412" s="18"/>
      <c r="G412" s="18"/>
      <c r="H412" s="15"/>
      <c r="I412" s="15"/>
      <c r="J412" s="15"/>
      <c r="K412" s="15"/>
      <c r="L412" s="19"/>
      <c r="M412" s="19"/>
      <c r="N412" s="19"/>
      <c r="O412" s="19"/>
      <c r="P412" s="19"/>
      <c r="Q412" s="19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</row>
    <row r="413" customFormat="false" ht="18" hidden="false" customHeight="true" outlineLevel="0" collapsed="false">
      <c r="A413" s="15"/>
      <c r="B413" s="15"/>
      <c r="C413" s="15"/>
      <c r="D413" s="15"/>
      <c r="E413" s="18"/>
      <c r="F413" s="18"/>
      <c r="G413" s="18"/>
      <c r="H413" s="15"/>
      <c r="I413" s="15"/>
      <c r="J413" s="15"/>
      <c r="K413" s="15"/>
      <c r="L413" s="19"/>
      <c r="M413" s="19"/>
      <c r="N413" s="19"/>
      <c r="O413" s="19"/>
      <c r="P413" s="19"/>
      <c r="Q413" s="19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</row>
    <row r="414" customFormat="false" ht="18" hidden="false" customHeight="true" outlineLevel="0" collapsed="false">
      <c r="A414" s="15"/>
      <c r="B414" s="15"/>
      <c r="C414" s="15"/>
      <c r="D414" s="15"/>
      <c r="E414" s="18"/>
      <c r="F414" s="18"/>
      <c r="G414" s="18"/>
      <c r="H414" s="15"/>
      <c r="I414" s="15"/>
      <c r="J414" s="15"/>
      <c r="K414" s="15"/>
      <c r="L414" s="19"/>
      <c r="M414" s="19"/>
      <c r="N414" s="19"/>
      <c r="O414" s="19"/>
      <c r="P414" s="19"/>
      <c r="Q414" s="19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</row>
    <row r="415" customFormat="false" ht="18" hidden="false" customHeight="true" outlineLevel="0" collapsed="false">
      <c r="A415" s="15"/>
      <c r="B415" s="15"/>
      <c r="C415" s="15"/>
      <c r="D415" s="15"/>
      <c r="E415" s="18"/>
      <c r="F415" s="18"/>
      <c r="G415" s="18"/>
      <c r="H415" s="15"/>
      <c r="I415" s="15"/>
      <c r="J415" s="15"/>
      <c r="K415" s="15"/>
      <c r="L415" s="19"/>
      <c r="M415" s="19"/>
      <c r="N415" s="19"/>
      <c r="O415" s="19"/>
      <c r="P415" s="19"/>
      <c r="Q415" s="19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</row>
    <row r="416" customFormat="false" ht="18" hidden="false" customHeight="true" outlineLevel="0" collapsed="false">
      <c r="A416" s="15"/>
      <c r="B416" s="15"/>
      <c r="C416" s="15"/>
      <c r="D416" s="15"/>
      <c r="E416" s="18"/>
      <c r="F416" s="18"/>
      <c r="G416" s="18"/>
      <c r="H416" s="15"/>
      <c r="I416" s="15"/>
      <c r="J416" s="15"/>
      <c r="K416" s="15"/>
      <c r="L416" s="19"/>
      <c r="M416" s="19"/>
      <c r="N416" s="19"/>
      <c r="O416" s="19"/>
      <c r="P416" s="19"/>
      <c r="Q416" s="19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</row>
    <row r="417" customFormat="false" ht="18" hidden="false" customHeight="true" outlineLevel="0" collapsed="false">
      <c r="A417" s="15"/>
      <c r="B417" s="15"/>
      <c r="C417" s="15"/>
      <c r="D417" s="15"/>
      <c r="E417" s="18"/>
      <c r="F417" s="18"/>
      <c r="G417" s="18"/>
      <c r="H417" s="15"/>
      <c r="I417" s="15"/>
      <c r="J417" s="15"/>
      <c r="K417" s="15"/>
      <c r="L417" s="19"/>
      <c r="M417" s="19"/>
      <c r="N417" s="19"/>
      <c r="O417" s="19"/>
      <c r="P417" s="19"/>
      <c r="Q417" s="19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</row>
    <row r="418" customFormat="false" ht="18" hidden="false" customHeight="true" outlineLevel="0" collapsed="false">
      <c r="A418" s="15"/>
      <c r="B418" s="15"/>
      <c r="C418" s="15"/>
      <c r="D418" s="15"/>
      <c r="E418" s="18"/>
      <c r="F418" s="18"/>
      <c r="G418" s="18"/>
      <c r="H418" s="15"/>
      <c r="I418" s="15"/>
      <c r="J418" s="15"/>
      <c r="K418" s="15"/>
      <c r="L418" s="19"/>
      <c r="M418" s="19"/>
      <c r="N418" s="19"/>
      <c r="O418" s="19"/>
      <c r="P418" s="19"/>
      <c r="Q418" s="19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</row>
    <row r="419" customFormat="false" ht="18" hidden="false" customHeight="true" outlineLevel="0" collapsed="false">
      <c r="A419" s="15"/>
      <c r="B419" s="15"/>
      <c r="C419" s="15"/>
      <c r="D419" s="15"/>
      <c r="E419" s="18"/>
      <c r="F419" s="18"/>
      <c r="G419" s="18"/>
      <c r="H419" s="15"/>
      <c r="I419" s="15"/>
      <c r="J419" s="15"/>
      <c r="K419" s="15"/>
      <c r="L419" s="19"/>
      <c r="M419" s="19"/>
      <c r="N419" s="19"/>
      <c r="O419" s="19"/>
      <c r="P419" s="19"/>
      <c r="Q419" s="19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</row>
    <row r="420" customFormat="false" ht="18" hidden="false" customHeight="true" outlineLevel="0" collapsed="false">
      <c r="A420" s="15"/>
      <c r="B420" s="15"/>
      <c r="C420" s="15"/>
      <c r="D420" s="15"/>
      <c r="E420" s="18"/>
      <c r="F420" s="18"/>
      <c r="G420" s="18"/>
      <c r="H420" s="15"/>
      <c r="I420" s="15"/>
      <c r="J420" s="15"/>
      <c r="K420" s="15"/>
      <c r="L420" s="19"/>
      <c r="M420" s="19"/>
      <c r="N420" s="19"/>
      <c r="O420" s="19"/>
      <c r="P420" s="19"/>
      <c r="Q420" s="19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</row>
    <row r="421" customFormat="false" ht="18" hidden="false" customHeight="true" outlineLevel="0" collapsed="false">
      <c r="A421" s="15"/>
      <c r="B421" s="15"/>
      <c r="C421" s="15"/>
      <c r="D421" s="15"/>
      <c r="E421" s="18"/>
      <c r="F421" s="18"/>
      <c r="G421" s="18"/>
      <c r="H421" s="15"/>
      <c r="I421" s="15"/>
      <c r="J421" s="15"/>
      <c r="K421" s="15"/>
      <c r="L421" s="19"/>
      <c r="M421" s="19"/>
      <c r="N421" s="19"/>
      <c r="O421" s="19"/>
      <c r="P421" s="19"/>
      <c r="Q421" s="19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</row>
    <row r="422" customFormat="false" ht="18" hidden="false" customHeight="true" outlineLevel="0" collapsed="false">
      <c r="A422" s="15"/>
      <c r="B422" s="15"/>
      <c r="C422" s="15"/>
      <c r="D422" s="15"/>
      <c r="E422" s="18"/>
      <c r="F422" s="18"/>
      <c r="G422" s="18"/>
      <c r="H422" s="15"/>
      <c r="I422" s="15"/>
      <c r="J422" s="15"/>
      <c r="K422" s="15"/>
      <c r="L422" s="19"/>
      <c r="M422" s="19"/>
      <c r="N422" s="19"/>
      <c r="O422" s="19"/>
      <c r="P422" s="19"/>
      <c r="Q422" s="19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</row>
    <row r="423" customFormat="false" ht="18" hidden="false" customHeight="true" outlineLevel="0" collapsed="false">
      <c r="A423" s="15"/>
      <c r="B423" s="15"/>
      <c r="C423" s="15"/>
      <c r="D423" s="15"/>
      <c r="E423" s="18"/>
      <c r="F423" s="18"/>
      <c r="G423" s="18"/>
      <c r="H423" s="15"/>
      <c r="I423" s="15"/>
      <c r="J423" s="15"/>
      <c r="K423" s="15"/>
      <c r="L423" s="19"/>
      <c r="M423" s="19"/>
      <c r="N423" s="19"/>
      <c r="O423" s="19"/>
      <c r="P423" s="19"/>
      <c r="Q423" s="19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</row>
    <row r="424" customFormat="false" ht="18" hidden="false" customHeight="true" outlineLevel="0" collapsed="false">
      <c r="A424" s="15"/>
      <c r="B424" s="15"/>
      <c r="C424" s="15"/>
      <c r="D424" s="15"/>
      <c r="E424" s="18"/>
      <c r="F424" s="18"/>
      <c r="G424" s="18"/>
      <c r="H424" s="15"/>
      <c r="I424" s="15"/>
      <c r="J424" s="15"/>
      <c r="K424" s="15"/>
      <c r="L424" s="19"/>
      <c r="M424" s="19"/>
      <c r="N424" s="19"/>
      <c r="O424" s="19"/>
      <c r="P424" s="19"/>
      <c r="Q424" s="19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</row>
    <row r="425" customFormat="false" ht="18" hidden="false" customHeight="true" outlineLevel="0" collapsed="false">
      <c r="A425" s="15"/>
      <c r="B425" s="15"/>
      <c r="C425" s="15"/>
      <c r="D425" s="15"/>
      <c r="E425" s="18"/>
      <c r="F425" s="18"/>
      <c r="G425" s="18"/>
      <c r="H425" s="15"/>
      <c r="I425" s="15"/>
      <c r="J425" s="15"/>
      <c r="K425" s="15"/>
      <c r="L425" s="19"/>
      <c r="M425" s="19"/>
      <c r="N425" s="19"/>
      <c r="O425" s="19"/>
      <c r="P425" s="19"/>
      <c r="Q425" s="19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</row>
    <row r="426" customFormat="false" ht="18" hidden="false" customHeight="true" outlineLevel="0" collapsed="false">
      <c r="A426" s="15"/>
      <c r="B426" s="15"/>
      <c r="C426" s="15"/>
      <c r="D426" s="15"/>
      <c r="E426" s="18"/>
      <c r="F426" s="18"/>
      <c r="G426" s="18"/>
      <c r="H426" s="15"/>
      <c r="I426" s="15"/>
      <c r="J426" s="15"/>
      <c r="K426" s="15"/>
      <c r="L426" s="19"/>
      <c r="M426" s="19"/>
      <c r="N426" s="19"/>
      <c r="O426" s="19"/>
      <c r="P426" s="19"/>
      <c r="Q426" s="19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</row>
    <row r="427" customFormat="false" ht="18" hidden="false" customHeight="true" outlineLevel="0" collapsed="false">
      <c r="A427" s="15"/>
      <c r="B427" s="15"/>
      <c r="C427" s="15"/>
      <c r="D427" s="15"/>
      <c r="E427" s="18"/>
      <c r="F427" s="18"/>
      <c r="G427" s="18"/>
      <c r="H427" s="15"/>
      <c r="I427" s="15"/>
      <c r="J427" s="15"/>
      <c r="K427" s="15"/>
      <c r="L427" s="19"/>
      <c r="M427" s="19"/>
      <c r="N427" s="19"/>
      <c r="O427" s="19"/>
      <c r="P427" s="19"/>
      <c r="Q427" s="19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</row>
    <row r="428" customFormat="false" ht="18" hidden="false" customHeight="true" outlineLevel="0" collapsed="false">
      <c r="A428" s="15"/>
      <c r="B428" s="15"/>
      <c r="C428" s="15"/>
      <c r="D428" s="15"/>
      <c r="E428" s="18"/>
      <c r="F428" s="18"/>
      <c r="G428" s="18"/>
      <c r="H428" s="15"/>
      <c r="I428" s="15"/>
      <c r="J428" s="15"/>
      <c r="K428" s="15"/>
      <c r="L428" s="19"/>
      <c r="M428" s="19"/>
      <c r="N428" s="19"/>
      <c r="O428" s="19"/>
      <c r="P428" s="19"/>
      <c r="Q428" s="19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</row>
    <row r="429" customFormat="false" ht="18" hidden="false" customHeight="true" outlineLevel="0" collapsed="false">
      <c r="A429" s="15"/>
      <c r="B429" s="15"/>
      <c r="C429" s="15"/>
      <c r="D429" s="15"/>
      <c r="E429" s="18"/>
      <c r="F429" s="18"/>
      <c r="G429" s="18"/>
      <c r="H429" s="15"/>
      <c r="I429" s="15"/>
      <c r="J429" s="15"/>
      <c r="K429" s="15"/>
      <c r="L429" s="19"/>
      <c r="M429" s="19"/>
      <c r="N429" s="19"/>
      <c r="O429" s="19"/>
      <c r="P429" s="19"/>
      <c r="Q429" s="19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</row>
    <row r="430" customFormat="false" ht="18" hidden="false" customHeight="true" outlineLevel="0" collapsed="false">
      <c r="A430" s="15"/>
      <c r="B430" s="15"/>
      <c r="C430" s="15"/>
      <c r="D430" s="15"/>
      <c r="E430" s="18"/>
      <c r="F430" s="18"/>
      <c r="G430" s="18"/>
      <c r="H430" s="15"/>
      <c r="I430" s="15"/>
      <c r="J430" s="15"/>
      <c r="K430" s="15"/>
      <c r="L430" s="19"/>
      <c r="M430" s="19"/>
      <c r="N430" s="19"/>
      <c r="O430" s="19"/>
      <c r="P430" s="19"/>
      <c r="Q430" s="19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</row>
    <row r="431" customFormat="false" ht="18" hidden="false" customHeight="true" outlineLevel="0" collapsed="false">
      <c r="A431" s="15"/>
      <c r="B431" s="15"/>
      <c r="C431" s="15"/>
      <c r="D431" s="15"/>
      <c r="E431" s="18"/>
      <c r="F431" s="18"/>
      <c r="G431" s="18"/>
      <c r="H431" s="15"/>
      <c r="I431" s="15"/>
      <c r="J431" s="15"/>
      <c r="K431" s="15"/>
      <c r="L431" s="19"/>
      <c r="M431" s="19"/>
      <c r="N431" s="19"/>
      <c r="O431" s="19"/>
      <c r="P431" s="19"/>
      <c r="Q431" s="19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</row>
    <row r="432" customFormat="false" ht="18" hidden="false" customHeight="true" outlineLevel="0" collapsed="false">
      <c r="A432" s="15"/>
      <c r="B432" s="15"/>
      <c r="C432" s="15"/>
      <c r="D432" s="15"/>
      <c r="E432" s="18"/>
      <c r="F432" s="18"/>
      <c r="G432" s="18"/>
      <c r="H432" s="15"/>
      <c r="I432" s="15"/>
      <c r="J432" s="15"/>
      <c r="K432" s="15"/>
      <c r="L432" s="19"/>
      <c r="M432" s="19"/>
      <c r="N432" s="19"/>
      <c r="O432" s="19"/>
      <c r="P432" s="19"/>
      <c r="Q432" s="19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</row>
    <row r="433" customFormat="false" ht="18" hidden="false" customHeight="true" outlineLevel="0" collapsed="false">
      <c r="A433" s="15"/>
      <c r="B433" s="15"/>
      <c r="C433" s="15"/>
      <c r="D433" s="15"/>
      <c r="E433" s="18"/>
      <c r="F433" s="18"/>
      <c r="G433" s="18"/>
      <c r="H433" s="15"/>
      <c r="I433" s="15"/>
      <c r="J433" s="15"/>
      <c r="K433" s="15"/>
      <c r="L433" s="19"/>
      <c r="M433" s="19"/>
      <c r="N433" s="19"/>
      <c r="O433" s="19"/>
      <c r="P433" s="19"/>
      <c r="Q433" s="19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</row>
    <row r="434" customFormat="false" ht="18" hidden="false" customHeight="true" outlineLevel="0" collapsed="false">
      <c r="A434" s="15"/>
      <c r="B434" s="15"/>
      <c r="C434" s="15"/>
      <c r="D434" s="15"/>
      <c r="E434" s="18"/>
      <c r="F434" s="18"/>
      <c r="G434" s="18"/>
      <c r="H434" s="15"/>
      <c r="I434" s="15"/>
      <c r="J434" s="15"/>
      <c r="K434" s="15"/>
      <c r="L434" s="19"/>
      <c r="M434" s="19"/>
      <c r="N434" s="19"/>
      <c r="O434" s="19"/>
      <c r="P434" s="19"/>
      <c r="Q434" s="19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</row>
    <row r="435" customFormat="false" ht="18" hidden="false" customHeight="true" outlineLevel="0" collapsed="false">
      <c r="A435" s="15"/>
      <c r="B435" s="15"/>
      <c r="C435" s="15"/>
      <c r="D435" s="15"/>
      <c r="E435" s="18"/>
      <c r="F435" s="18"/>
      <c r="G435" s="18"/>
      <c r="H435" s="15"/>
      <c r="I435" s="15"/>
      <c r="J435" s="15"/>
      <c r="K435" s="15"/>
      <c r="L435" s="19"/>
      <c r="M435" s="19"/>
      <c r="N435" s="19"/>
      <c r="O435" s="19"/>
      <c r="P435" s="19"/>
      <c r="Q435" s="19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</row>
    <row r="436" customFormat="false" ht="18" hidden="false" customHeight="true" outlineLevel="0" collapsed="false">
      <c r="A436" s="15"/>
      <c r="B436" s="15"/>
      <c r="C436" s="15"/>
      <c r="D436" s="15"/>
      <c r="E436" s="18"/>
      <c r="F436" s="18"/>
      <c r="G436" s="18"/>
      <c r="H436" s="15"/>
      <c r="I436" s="15"/>
      <c r="J436" s="15"/>
      <c r="K436" s="15"/>
      <c r="L436" s="19"/>
      <c r="M436" s="19"/>
      <c r="N436" s="19"/>
      <c r="O436" s="19"/>
      <c r="P436" s="19"/>
      <c r="Q436" s="19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</row>
    <row r="437" customFormat="false" ht="18" hidden="false" customHeight="true" outlineLevel="0" collapsed="false">
      <c r="A437" s="15"/>
      <c r="B437" s="15"/>
      <c r="C437" s="15"/>
      <c r="D437" s="15"/>
      <c r="E437" s="18"/>
      <c r="F437" s="18"/>
      <c r="G437" s="18"/>
      <c r="H437" s="15"/>
      <c r="I437" s="15"/>
      <c r="J437" s="15"/>
      <c r="K437" s="15"/>
      <c r="L437" s="19"/>
      <c r="M437" s="19"/>
      <c r="N437" s="19"/>
      <c r="O437" s="19"/>
      <c r="P437" s="19"/>
      <c r="Q437" s="19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</row>
    <row r="438" customFormat="false" ht="18" hidden="false" customHeight="true" outlineLevel="0" collapsed="false">
      <c r="A438" s="15"/>
      <c r="B438" s="15"/>
      <c r="C438" s="15"/>
      <c r="D438" s="15"/>
      <c r="E438" s="18"/>
      <c r="F438" s="18"/>
      <c r="G438" s="18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</row>
    <row r="439" customFormat="false" ht="18" hidden="false" customHeight="true" outlineLevel="0" collapsed="false">
      <c r="A439" s="15"/>
      <c r="B439" s="15"/>
      <c r="C439" s="15"/>
      <c r="D439" s="15"/>
      <c r="E439" s="18"/>
      <c r="F439" s="18"/>
      <c r="G439" s="18"/>
      <c r="H439" s="15"/>
      <c r="I439" s="15"/>
      <c r="J439" s="15"/>
      <c r="K439" s="15"/>
      <c r="L439" s="19"/>
      <c r="M439" s="19"/>
      <c r="N439" s="19"/>
      <c r="O439" s="19"/>
      <c r="P439" s="19"/>
      <c r="Q439" s="19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</row>
    <row r="440" customFormat="false" ht="18" hidden="false" customHeight="true" outlineLevel="0" collapsed="false">
      <c r="A440" s="15"/>
      <c r="B440" s="15"/>
      <c r="C440" s="15"/>
      <c r="D440" s="15"/>
      <c r="E440" s="18"/>
      <c r="F440" s="18"/>
      <c r="G440" s="18"/>
      <c r="H440" s="15"/>
      <c r="I440" s="15"/>
      <c r="J440" s="15"/>
      <c r="K440" s="15"/>
      <c r="L440" s="19"/>
      <c r="M440" s="19"/>
      <c r="N440" s="19"/>
      <c r="O440" s="19"/>
      <c r="P440" s="19"/>
      <c r="Q440" s="19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</row>
    <row r="441" customFormat="false" ht="18" hidden="false" customHeight="true" outlineLevel="0" collapsed="false">
      <c r="A441" s="15"/>
      <c r="B441" s="15"/>
      <c r="C441" s="15"/>
      <c r="D441" s="15"/>
      <c r="E441" s="18"/>
      <c r="F441" s="18"/>
      <c r="G441" s="18"/>
      <c r="H441" s="15"/>
      <c r="I441" s="15"/>
      <c r="J441" s="15"/>
      <c r="K441" s="15"/>
      <c r="L441" s="19"/>
      <c r="M441" s="19"/>
      <c r="N441" s="19"/>
      <c r="O441" s="19"/>
      <c r="P441" s="19"/>
      <c r="Q441" s="19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</row>
    <row r="442" customFormat="false" ht="18" hidden="false" customHeight="true" outlineLevel="0" collapsed="false">
      <c r="A442" s="15"/>
      <c r="B442" s="15"/>
      <c r="C442" s="15"/>
      <c r="D442" s="15"/>
      <c r="E442" s="18"/>
      <c r="F442" s="18"/>
      <c r="G442" s="18"/>
      <c r="H442" s="15"/>
      <c r="I442" s="15"/>
      <c r="J442" s="15"/>
      <c r="K442" s="15"/>
      <c r="L442" s="19"/>
      <c r="M442" s="19"/>
      <c r="N442" s="19"/>
      <c r="O442" s="19"/>
      <c r="P442" s="19"/>
      <c r="Q442" s="19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</row>
    <row r="443" customFormat="false" ht="18" hidden="false" customHeight="true" outlineLevel="0" collapsed="false">
      <c r="A443" s="15"/>
      <c r="B443" s="15"/>
      <c r="C443" s="15"/>
      <c r="D443" s="15"/>
      <c r="E443" s="18"/>
      <c r="F443" s="18"/>
      <c r="G443" s="18"/>
      <c r="H443" s="15"/>
      <c r="I443" s="15"/>
      <c r="J443" s="15"/>
      <c r="K443" s="15"/>
      <c r="L443" s="19"/>
      <c r="M443" s="19"/>
      <c r="N443" s="19"/>
      <c r="O443" s="19"/>
      <c r="P443" s="19"/>
      <c r="Q443" s="19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</row>
    <row r="444" customFormat="false" ht="18" hidden="false" customHeight="true" outlineLevel="0" collapsed="false">
      <c r="A444" s="15"/>
      <c r="B444" s="15"/>
      <c r="C444" s="15"/>
      <c r="D444" s="15"/>
      <c r="E444" s="18"/>
      <c r="F444" s="18"/>
      <c r="G444" s="18"/>
      <c r="H444" s="15"/>
      <c r="I444" s="15"/>
      <c r="J444" s="15"/>
      <c r="K444" s="15"/>
      <c r="L444" s="19"/>
      <c r="M444" s="19"/>
      <c r="N444" s="19"/>
      <c r="O444" s="19"/>
      <c r="P444" s="19"/>
      <c r="Q444" s="19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</row>
    <row r="445" customFormat="false" ht="18" hidden="false" customHeight="true" outlineLevel="0" collapsed="false">
      <c r="A445" s="15"/>
      <c r="B445" s="15"/>
      <c r="C445" s="15"/>
      <c r="D445" s="15"/>
      <c r="E445" s="18"/>
      <c r="F445" s="18"/>
      <c r="G445" s="18"/>
      <c r="H445" s="15"/>
      <c r="I445" s="15"/>
      <c r="J445" s="15"/>
      <c r="K445" s="15"/>
      <c r="L445" s="19"/>
      <c r="M445" s="19"/>
      <c r="N445" s="19"/>
      <c r="O445" s="19"/>
      <c r="P445" s="19"/>
      <c r="Q445" s="19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</row>
    <row r="446" customFormat="false" ht="18" hidden="false" customHeight="true" outlineLevel="0" collapsed="false">
      <c r="A446" s="15"/>
      <c r="B446" s="15"/>
      <c r="C446" s="15"/>
      <c r="D446" s="15"/>
      <c r="E446" s="18"/>
      <c r="F446" s="18"/>
      <c r="G446" s="18"/>
      <c r="H446" s="15"/>
      <c r="I446" s="15"/>
      <c r="J446" s="15"/>
      <c r="K446" s="15"/>
      <c r="L446" s="19"/>
      <c r="M446" s="19"/>
      <c r="N446" s="19"/>
      <c r="O446" s="19"/>
      <c r="P446" s="19"/>
      <c r="Q446" s="19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</row>
    <row r="447" customFormat="false" ht="18" hidden="false" customHeight="true" outlineLevel="0" collapsed="false">
      <c r="A447" s="15"/>
      <c r="B447" s="15"/>
      <c r="C447" s="15"/>
      <c r="D447" s="15"/>
      <c r="E447" s="18"/>
      <c r="F447" s="18"/>
      <c r="G447" s="18"/>
      <c r="H447" s="15"/>
      <c r="I447" s="15"/>
      <c r="J447" s="15"/>
      <c r="K447" s="15"/>
      <c r="L447" s="19"/>
      <c r="M447" s="19"/>
      <c r="N447" s="19"/>
      <c r="O447" s="19"/>
      <c r="P447" s="19"/>
      <c r="Q447" s="19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</row>
    <row r="448" customFormat="false" ht="18" hidden="false" customHeight="true" outlineLevel="0" collapsed="false">
      <c r="A448" s="15"/>
      <c r="B448" s="15"/>
      <c r="C448" s="15"/>
      <c r="D448" s="15"/>
      <c r="E448" s="18"/>
      <c r="F448" s="18"/>
      <c r="G448" s="18"/>
      <c r="H448" s="15"/>
      <c r="I448" s="15"/>
      <c r="J448" s="15"/>
      <c r="K448" s="15"/>
      <c r="L448" s="19"/>
      <c r="M448" s="19"/>
      <c r="N448" s="19"/>
      <c r="O448" s="19"/>
      <c r="P448" s="19"/>
      <c r="Q448" s="19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</row>
    <row r="449" customFormat="false" ht="18" hidden="false" customHeight="true" outlineLevel="0" collapsed="false">
      <c r="A449" s="15"/>
      <c r="B449" s="15"/>
      <c r="C449" s="15"/>
      <c r="D449" s="15"/>
      <c r="E449" s="18"/>
      <c r="F449" s="18"/>
      <c r="G449" s="18"/>
      <c r="H449" s="15"/>
      <c r="I449" s="15"/>
      <c r="J449" s="15"/>
      <c r="K449" s="15"/>
      <c r="L449" s="19"/>
      <c r="M449" s="19"/>
      <c r="N449" s="19"/>
      <c r="O449" s="19"/>
      <c r="P449" s="19"/>
      <c r="Q449" s="19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</row>
    <row r="450" customFormat="false" ht="18" hidden="false" customHeight="true" outlineLevel="0" collapsed="false">
      <c r="A450" s="15"/>
      <c r="B450" s="15"/>
      <c r="C450" s="15"/>
      <c r="D450" s="15"/>
      <c r="E450" s="18"/>
      <c r="F450" s="18"/>
      <c r="G450" s="18"/>
      <c r="H450" s="15"/>
      <c r="I450" s="15"/>
      <c r="J450" s="15"/>
      <c r="K450" s="15"/>
      <c r="L450" s="19"/>
      <c r="M450" s="19"/>
      <c r="N450" s="19"/>
      <c r="O450" s="19"/>
      <c r="P450" s="19"/>
      <c r="Q450" s="19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</row>
    <row r="451" customFormat="false" ht="18" hidden="false" customHeight="true" outlineLevel="0" collapsed="false">
      <c r="A451" s="15"/>
      <c r="B451" s="15"/>
      <c r="C451" s="15"/>
      <c r="D451" s="15"/>
      <c r="E451" s="18"/>
      <c r="F451" s="18"/>
      <c r="G451" s="18"/>
      <c r="H451" s="15"/>
      <c r="I451" s="15"/>
      <c r="J451" s="15"/>
      <c r="K451" s="15"/>
      <c r="L451" s="19"/>
      <c r="M451" s="19"/>
      <c r="N451" s="19"/>
      <c r="O451" s="19"/>
      <c r="P451" s="19"/>
      <c r="Q451" s="19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</row>
    <row r="452" customFormat="false" ht="18" hidden="false" customHeight="true" outlineLevel="0" collapsed="false">
      <c r="A452" s="15"/>
      <c r="B452" s="15"/>
      <c r="C452" s="15"/>
      <c r="D452" s="15"/>
      <c r="E452" s="18"/>
      <c r="F452" s="18"/>
      <c r="G452" s="18"/>
      <c r="H452" s="15"/>
      <c r="I452" s="15"/>
      <c r="J452" s="15"/>
      <c r="K452" s="15"/>
      <c r="L452" s="19"/>
      <c r="M452" s="19"/>
      <c r="N452" s="19"/>
      <c r="O452" s="19"/>
      <c r="P452" s="19"/>
      <c r="Q452" s="19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</row>
    <row r="453" customFormat="false" ht="18" hidden="false" customHeight="true" outlineLevel="0" collapsed="false">
      <c r="A453" s="15"/>
      <c r="B453" s="15"/>
      <c r="C453" s="15"/>
      <c r="D453" s="15"/>
      <c r="E453" s="18"/>
      <c r="F453" s="18"/>
      <c r="G453" s="18"/>
      <c r="H453" s="15"/>
      <c r="I453" s="15"/>
      <c r="J453" s="15"/>
      <c r="K453" s="15"/>
      <c r="L453" s="19"/>
      <c r="M453" s="19"/>
      <c r="N453" s="19"/>
      <c r="O453" s="19"/>
      <c r="P453" s="19"/>
      <c r="Q453" s="19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</row>
    <row r="454" customFormat="false" ht="18" hidden="false" customHeight="true" outlineLevel="0" collapsed="false">
      <c r="A454" s="15"/>
      <c r="B454" s="15"/>
      <c r="C454" s="15"/>
      <c r="D454" s="15"/>
      <c r="E454" s="18"/>
      <c r="F454" s="18"/>
      <c r="G454" s="18"/>
      <c r="H454" s="15"/>
      <c r="I454" s="15"/>
      <c r="J454" s="15"/>
      <c r="K454" s="15"/>
      <c r="L454" s="19"/>
      <c r="M454" s="19"/>
      <c r="N454" s="19"/>
      <c r="O454" s="19"/>
      <c r="P454" s="19"/>
      <c r="Q454" s="19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</row>
    <row r="455" customFormat="false" ht="18" hidden="false" customHeight="true" outlineLevel="0" collapsed="false">
      <c r="A455" s="15"/>
      <c r="B455" s="15"/>
      <c r="C455" s="15"/>
      <c r="D455" s="15"/>
      <c r="E455" s="18"/>
      <c r="F455" s="18"/>
      <c r="G455" s="18"/>
      <c r="H455" s="15"/>
      <c r="I455" s="15"/>
      <c r="J455" s="15"/>
      <c r="K455" s="15"/>
      <c r="L455" s="19"/>
      <c r="M455" s="19"/>
      <c r="N455" s="19"/>
      <c r="O455" s="19"/>
      <c r="P455" s="19"/>
      <c r="Q455" s="19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</row>
    <row r="456" customFormat="false" ht="18" hidden="false" customHeight="true" outlineLevel="0" collapsed="false">
      <c r="A456" s="15"/>
      <c r="B456" s="15"/>
      <c r="C456" s="15"/>
      <c r="D456" s="15"/>
      <c r="E456" s="18"/>
      <c r="F456" s="18"/>
      <c r="G456" s="18"/>
      <c r="H456" s="15"/>
      <c r="I456" s="15"/>
      <c r="J456" s="15"/>
      <c r="K456" s="15"/>
      <c r="L456" s="19"/>
      <c r="M456" s="19"/>
      <c r="N456" s="19"/>
      <c r="O456" s="19"/>
      <c r="P456" s="19"/>
      <c r="Q456" s="19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</row>
    <row r="457" customFormat="false" ht="18" hidden="false" customHeight="true" outlineLevel="0" collapsed="false">
      <c r="A457" s="15"/>
      <c r="B457" s="15"/>
      <c r="C457" s="15"/>
      <c r="D457" s="15"/>
      <c r="E457" s="18"/>
      <c r="F457" s="18"/>
      <c r="G457" s="18"/>
      <c r="H457" s="15"/>
      <c r="I457" s="15"/>
      <c r="J457" s="15"/>
      <c r="K457" s="15"/>
      <c r="L457" s="19"/>
      <c r="M457" s="19"/>
      <c r="N457" s="19"/>
      <c r="O457" s="19"/>
      <c r="P457" s="19"/>
      <c r="Q457" s="19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</row>
    <row r="458" customFormat="false" ht="18" hidden="false" customHeight="true" outlineLevel="0" collapsed="false">
      <c r="A458" s="15"/>
      <c r="B458" s="15"/>
      <c r="C458" s="15"/>
      <c r="D458" s="15"/>
      <c r="E458" s="18"/>
      <c r="F458" s="18"/>
      <c r="G458" s="18"/>
      <c r="H458" s="15"/>
      <c r="I458" s="15"/>
      <c r="J458" s="15"/>
      <c r="K458" s="15"/>
      <c r="L458" s="19"/>
      <c r="M458" s="19"/>
      <c r="N458" s="19"/>
      <c r="O458" s="19"/>
      <c r="P458" s="19"/>
      <c r="Q458" s="19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</row>
    <row r="459" customFormat="false" ht="18" hidden="false" customHeight="true" outlineLevel="0" collapsed="false">
      <c r="A459" s="15"/>
      <c r="B459" s="15"/>
      <c r="C459" s="15"/>
      <c r="D459" s="15"/>
      <c r="E459" s="18"/>
      <c r="F459" s="18"/>
      <c r="G459" s="18"/>
      <c r="H459" s="15"/>
      <c r="I459" s="15"/>
      <c r="J459" s="15"/>
      <c r="K459" s="15"/>
      <c r="L459" s="19"/>
      <c r="M459" s="19"/>
      <c r="N459" s="19"/>
      <c r="O459" s="19"/>
      <c r="P459" s="19"/>
      <c r="Q459" s="19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</row>
    <row r="460" customFormat="false" ht="18" hidden="false" customHeight="true" outlineLevel="0" collapsed="false">
      <c r="A460" s="15"/>
      <c r="B460" s="15"/>
      <c r="C460" s="15"/>
      <c r="D460" s="15"/>
      <c r="E460" s="18"/>
      <c r="F460" s="18"/>
      <c r="G460" s="18"/>
      <c r="H460" s="15"/>
      <c r="I460" s="15"/>
      <c r="J460" s="15"/>
      <c r="K460" s="15"/>
      <c r="L460" s="19"/>
      <c r="M460" s="19"/>
      <c r="N460" s="19"/>
      <c r="O460" s="19"/>
      <c r="P460" s="19"/>
      <c r="Q460" s="19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</row>
    <row r="461" customFormat="false" ht="18" hidden="false" customHeight="true" outlineLevel="0" collapsed="false">
      <c r="A461" s="15"/>
      <c r="B461" s="15"/>
      <c r="C461" s="15"/>
      <c r="D461" s="15"/>
      <c r="E461" s="18"/>
      <c r="F461" s="18"/>
      <c r="G461" s="18"/>
      <c r="H461" s="15"/>
      <c r="I461" s="15"/>
      <c r="J461" s="15"/>
      <c r="K461" s="15"/>
      <c r="L461" s="19"/>
      <c r="M461" s="19"/>
      <c r="N461" s="19"/>
      <c r="O461" s="19"/>
      <c r="P461" s="19"/>
      <c r="Q461" s="19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</row>
    <row r="462" customFormat="false" ht="18" hidden="false" customHeight="true" outlineLevel="0" collapsed="false">
      <c r="A462" s="15"/>
      <c r="B462" s="15"/>
      <c r="C462" s="15"/>
      <c r="D462" s="15"/>
      <c r="E462" s="18"/>
      <c r="F462" s="18"/>
      <c r="G462" s="18"/>
      <c r="H462" s="15"/>
      <c r="I462" s="15"/>
      <c r="J462" s="15"/>
      <c r="K462" s="15"/>
      <c r="L462" s="19"/>
      <c r="M462" s="19"/>
      <c r="N462" s="19"/>
      <c r="O462" s="19"/>
      <c r="P462" s="19"/>
      <c r="Q462" s="19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</row>
    <row r="463" customFormat="false" ht="18" hidden="false" customHeight="true" outlineLevel="0" collapsed="false">
      <c r="A463" s="15"/>
      <c r="B463" s="15"/>
      <c r="C463" s="15"/>
      <c r="D463" s="15"/>
      <c r="E463" s="18"/>
      <c r="F463" s="18"/>
      <c r="G463" s="18"/>
      <c r="H463" s="15"/>
      <c r="I463" s="15"/>
      <c r="J463" s="15"/>
      <c r="K463" s="15"/>
      <c r="L463" s="19"/>
      <c r="M463" s="19"/>
      <c r="N463" s="19"/>
      <c r="O463" s="19"/>
      <c r="P463" s="19"/>
      <c r="Q463" s="19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</row>
    <row r="464" customFormat="false" ht="18" hidden="false" customHeight="true" outlineLevel="0" collapsed="false">
      <c r="A464" s="15"/>
      <c r="B464" s="15"/>
      <c r="C464" s="15"/>
      <c r="D464" s="15"/>
      <c r="E464" s="18"/>
      <c r="F464" s="18"/>
      <c r="G464" s="18"/>
      <c r="H464" s="15"/>
      <c r="I464" s="15"/>
      <c r="J464" s="15"/>
      <c r="K464" s="15"/>
      <c r="L464" s="19"/>
      <c r="M464" s="19"/>
      <c r="N464" s="19"/>
      <c r="O464" s="19"/>
      <c r="P464" s="19"/>
      <c r="Q464" s="19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</row>
    <row r="465" customFormat="false" ht="18" hidden="false" customHeight="true" outlineLevel="0" collapsed="false">
      <c r="A465" s="15"/>
      <c r="B465" s="15"/>
      <c r="C465" s="15"/>
      <c r="D465" s="15"/>
      <c r="E465" s="18"/>
      <c r="F465" s="18"/>
      <c r="G465" s="18"/>
      <c r="H465" s="15"/>
      <c r="I465" s="15"/>
      <c r="J465" s="15"/>
      <c r="K465" s="15"/>
      <c r="L465" s="19"/>
      <c r="M465" s="19"/>
      <c r="N465" s="19"/>
      <c r="O465" s="19"/>
      <c r="P465" s="19"/>
      <c r="Q465" s="19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</row>
    <row r="466" customFormat="false" ht="18" hidden="false" customHeight="true" outlineLevel="0" collapsed="false">
      <c r="A466" s="15"/>
      <c r="B466" s="15"/>
      <c r="C466" s="15"/>
      <c r="D466" s="15"/>
      <c r="E466" s="18"/>
      <c r="F466" s="18"/>
      <c r="G466" s="18"/>
      <c r="H466" s="15"/>
      <c r="I466" s="15"/>
      <c r="J466" s="15"/>
      <c r="K466" s="15"/>
      <c r="L466" s="19"/>
      <c r="M466" s="19"/>
      <c r="N466" s="19"/>
      <c r="O466" s="19"/>
      <c r="P466" s="19"/>
      <c r="Q466" s="19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</row>
    <row r="467" customFormat="false" ht="18" hidden="false" customHeight="true" outlineLevel="0" collapsed="false">
      <c r="A467" s="15"/>
      <c r="B467" s="15"/>
      <c r="C467" s="15"/>
      <c r="D467" s="15"/>
      <c r="E467" s="18"/>
      <c r="F467" s="18"/>
      <c r="G467" s="18"/>
      <c r="H467" s="15"/>
      <c r="I467" s="15"/>
      <c r="J467" s="15"/>
      <c r="K467" s="15"/>
      <c r="L467" s="19"/>
      <c r="M467" s="19"/>
      <c r="N467" s="19"/>
      <c r="O467" s="19"/>
      <c r="P467" s="19"/>
      <c r="Q467" s="19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</row>
    <row r="468" customFormat="false" ht="18" hidden="false" customHeight="true" outlineLevel="0" collapsed="false">
      <c r="A468" s="15"/>
      <c r="B468" s="15"/>
      <c r="C468" s="15"/>
      <c r="D468" s="15"/>
      <c r="E468" s="18"/>
      <c r="F468" s="18"/>
      <c r="G468" s="18"/>
      <c r="H468" s="15"/>
      <c r="I468" s="15"/>
      <c r="J468" s="15"/>
      <c r="K468" s="15"/>
      <c r="L468" s="19"/>
      <c r="M468" s="19"/>
      <c r="N468" s="19"/>
      <c r="O468" s="19"/>
      <c r="P468" s="19"/>
      <c r="Q468" s="19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</row>
    <row r="469" customFormat="false" ht="18" hidden="false" customHeight="true" outlineLevel="0" collapsed="false">
      <c r="A469" s="15"/>
      <c r="B469" s="15"/>
      <c r="C469" s="15"/>
      <c r="D469" s="15"/>
      <c r="E469" s="18"/>
      <c r="F469" s="18"/>
      <c r="G469" s="18"/>
      <c r="H469" s="15"/>
      <c r="I469" s="15"/>
      <c r="J469" s="15"/>
      <c r="K469" s="15"/>
      <c r="L469" s="19"/>
      <c r="M469" s="19"/>
      <c r="N469" s="19"/>
      <c r="O469" s="19"/>
      <c r="P469" s="19"/>
      <c r="Q469" s="19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</row>
    <row r="470" customFormat="false" ht="18" hidden="false" customHeight="true" outlineLevel="0" collapsed="false">
      <c r="A470" s="15"/>
      <c r="B470" s="15"/>
      <c r="C470" s="15"/>
      <c r="D470" s="15"/>
      <c r="E470" s="18"/>
      <c r="F470" s="18"/>
      <c r="G470" s="18"/>
      <c r="H470" s="15"/>
      <c r="I470" s="15"/>
      <c r="J470" s="15"/>
      <c r="K470" s="15"/>
      <c r="L470" s="19"/>
      <c r="M470" s="19"/>
      <c r="N470" s="19"/>
      <c r="O470" s="19"/>
      <c r="P470" s="19"/>
      <c r="Q470" s="19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</row>
    <row r="471" customFormat="false" ht="18" hidden="false" customHeight="true" outlineLevel="0" collapsed="false">
      <c r="A471" s="15"/>
      <c r="B471" s="15"/>
      <c r="C471" s="15"/>
      <c r="D471" s="15"/>
      <c r="E471" s="18"/>
      <c r="F471" s="18"/>
      <c r="G471" s="18"/>
      <c r="H471" s="15"/>
      <c r="I471" s="15"/>
      <c r="J471" s="15"/>
      <c r="K471" s="15"/>
      <c r="L471" s="19"/>
      <c r="M471" s="19"/>
      <c r="N471" s="19"/>
      <c r="O471" s="19"/>
      <c r="P471" s="19"/>
      <c r="Q471" s="19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</row>
    <row r="472" customFormat="false" ht="18" hidden="false" customHeight="true" outlineLevel="0" collapsed="false">
      <c r="A472" s="15"/>
      <c r="B472" s="15"/>
      <c r="C472" s="15"/>
      <c r="D472" s="15"/>
      <c r="E472" s="18"/>
      <c r="F472" s="18"/>
      <c r="G472" s="18"/>
      <c r="H472" s="15"/>
      <c r="I472" s="15"/>
      <c r="J472" s="15"/>
      <c r="K472" s="15"/>
      <c r="L472" s="19"/>
      <c r="M472" s="19"/>
      <c r="N472" s="19"/>
      <c r="O472" s="19"/>
      <c r="P472" s="19"/>
      <c r="Q472" s="19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</row>
    <row r="473" customFormat="false" ht="18" hidden="false" customHeight="true" outlineLevel="0" collapsed="false">
      <c r="A473" s="15"/>
      <c r="B473" s="15"/>
      <c r="C473" s="15"/>
      <c r="D473" s="15"/>
      <c r="E473" s="18"/>
      <c r="F473" s="18"/>
      <c r="G473" s="18"/>
      <c r="H473" s="15"/>
      <c r="I473" s="15"/>
      <c r="J473" s="15"/>
      <c r="K473" s="15"/>
      <c r="L473" s="19"/>
      <c r="M473" s="19"/>
      <c r="N473" s="19"/>
      <c r="O473" s="19"/>
      <c r="P473" s="19"/>
      <c r="Q473" s="19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</row>
    <row r="474" customFormat="false" ht="18" hidden="false" customHeight="true" outlineLevel="0" collapsed="false">
      <c r="A474" s="15"/>
      <c r="B474" s="15"/>
      <c r="C474" s="15"/>
      <c r="D474" s="15"/>
      <c r="E474" s="18"/>
      <c r="F474" s="18"/>
      <c r="G474" s="18"/>
      <c r="H474" s="15"/>
      <c r="I474" s="15"/>
      <c r="J474" s="15"/>
      <c r="K474" s="15"/>
      <c r="L474" s="19"/>
      <c r="M474" s="19"/>
      <c r="N474" s="19"/>
      <c r="O474" s="19"/>
      <c r="P474" s="19"/>
      <c r="Q474" s="19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</row>
    <row r="475" customFormat="false" ht="18" hidden="false" customHeight="true" outlineLevel="0" collapsed="false">
      <c r="A475" s="15"/>
      <c r="B475" s="15"/>
      <c r="C475" s="15"/>
      <c r="D475" s="15"/>
      <c r="E475" s="18"/>
      <c r="F475" s="18"/>
      <c r="G475" s="18"/>
      <c r="H475" s="15"/>
      <c r="I475" s="15"/>
      <c r="J475" s="15"/>
      <c r="K475" s="15"/>
      <c r="L475" s="19"/>
      <c r="M475" s="19"/>
      <c r="N475" s="19"/>
      <c r="O475" s="19"/>
      <c r="P475" s="19"/>
      <c r="Q475" s="19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</row>
    <row r="476" customFormat="false" ht="18" hidden="false" customHeight="true" outlineLevel="0" collapsed="false">
      <c r="A476" s="15"/>
      <c r="B476" s="15"/>
      <c r="C476" s="15"/>
      <c r="D476" s="15"/>
      <c r="E476" s="18"/>
      <c r="F476" s="18"/>
      <c r="G476" s="18"/>
      <c r="H476" s="15"/>
      <c r="I476" s="15"/>
      <c r="J476" s="15"/>
      <c r="K476" s="15"/>
      <c r="L476" s="19"/>
      <c r="M476" s="19"/>
      <c r="N476" s="19"/>
      <c r="O476" s="19"/>
      <c r="P476" s="19"/>
      <c r="Q476" s="19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</row>
    <row r="477" customFormat="false" ht="18" hidden="false" customHeight="true" outlineLevel="0" collapsed="false">
      <c r="A477" s="15"/>
      <c r="B477" s="15"/>
      <c r="C477" s="15"/>
      <c r="D477" s="15"/>
      <c r="E477" s="18"/>
      <c r="F477" s="18"/>
      <c r="G477" s="18"/>
      <c r="H477" s="15"/>
      <c r="I477" s="15"/>
      <c r="J477" s="15"/>
      <c r="K477" s="15"/>
      <c r="L477" s="19"/>
      <c r="M477" s="19"/>
      <c r="N477" s="19"/>
      <c r="O477" s="19"/>
      <c r="P477" s="19"/>
      <c r="Q477" s="19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</row>
    <row r="478" customFormat="false" ht="18" hidden="false" customHeight="true" outlineLevel="0" collapsed="false">
      <c r="A478" s="15"/>
      <c r="B478" s="15"/>
      <c r="C478" s="15"/>
      <c r="D478" s="15"/>
      <c r="E478" s="18"/>
      <c r="F478" s="18"/>
      <c r="G478" s="18"/>
      <c r="H478" s="15"/>
      <c r="I478" s="15"/>
      <c r="J478" s="15"/>
      <c r="K478" s="15"/>
      <c r="L478" s="19"/>
      <c r="M478" s="19"/>
      <c r="N478" s="19"/>
      <c r="O478" s="19"/>
      <c r="P478" s="19"/>
      <c r="Q478" s="19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</row>
    <row r="479" customFormat="false" ht="18" hidden="false" customHeight="true" outlineLevel="0" collapsed="false">
      <c r="A479" s="15"/>
      <c r="B479" s="15"/>
      <c r="C479" s="15"/>
      <c r="D479" s="15"/>
      <c r="E479" s="18"/>
      <c r="F479" s="18"/>
      <c r="G479" s="18"/>
      <c r="H479" s="15"/>
      <c r="I479" s="15"/>
      <c r="J479" s="15"/>
      <c r="K479" s="15"/>
      <c r="L479" s="19"/>
      <c r="M479" s="19"/>
      <c r="N479" s="19"/>
      <c r="O479" s="19"/>
      <c r="P479" s="19"/>
      <c r="Q479" s="19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</row>
    <row r="480" customFormat="false" ht="18" hidden="false" customHeight="true" outlineLevel="0" collapsed="false">
      <c r="A480" s="15"/>
      <c r="B480" s="15"/>
      <c r="C480" s="15"/>
      <c r="D480" s="15"/>
      <c r="E480" s="18"/>
      <c r="F480" s="18"/>
      <c r="G480" s="18"/>
      <c r="H480" s="15"/>
      <c r="I480" s="15"/>
      <c r="J480" s="15"/>
      <c r="K480" s="15"/>
      <c r="L480" s="19"/>
      <c r="M480" s="19"/>
      <c r="N480" s="19"/>
      <c r="O480" s="19"/>
      <c r="P480" s="19"/>
      <c r="Q480" s="19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</row>
    <row r="481" customFormat="false" ht="18" hidden="false" customHeight="true" outlineLevel="0" collapsed="false">
      <c r="A481" s="15"/>
      <c r="B481" s="15"/>
      <c r="C481" s="15"/>
      <c r="D481" s="15"/>
      <c r="E481" s="18"/>
      <c r="F481" s="18"/>
      <c r="G481" s="18"/>
      <c r="H481" s="15"/>
      <c r="I481" s="15"/>
      <c r="J481" s="15"/>
      <c r="K481" s="15"/>
      <c r="L481" s="19"/>
      <c r="M481" s="19"/>
      <c r="N481" s="19"/>
      <c r="O481" s="19"/>
      <c r="P481" s="19"/>
      <c r="Q481" s="19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</row>
    <row r="482" customFormat="false" ht="18" hidden="false" customHeight="true" outlineLevel="0" collapsed="false">
      <c r="A482" s="15"/>
      <c r="B482" s="15"/>
      <c r="C482" s="15"/>
      <c r="D482" s="15"/>
      <c r="E482" s="18"/>
      <c r="F482" s="18"/>
      <c r="G482" s="18"/>
      <c r="H482" s="15"/>
      <c r="I482" s="15"/>
      <c r="J482" s="15"/>
      <c r="K482" s="15"/>
      <c r="L482" s="19"/>
      <c r="M482" s="19"/>
      <c r="N482" s="19"/>
      <c r="O482" s="19"/>
      <c r="P482" s="19"/>
      <c r="Q482" s="19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</row>
    <row r="483" customFormat="false" ht="18" hidden="false" customHeight="true" outlineLevel="0" collapsed="false">
      <c r="A483" s="15"/>
      <c r="B483" s="15"/>
      <c r="C483" s="15"/>
      <c r="D483" s="15"/>
      <c r="E483" s="18"/>
      <c r="F483" s="18"/>
      <c r="G483" s="18"/>
      <c r="H483" s="15"/>
      <c r="I483" s="15"/>
      <c r="J483" s="15"/>
      <c r="K483" s="15"/>
      <c r="L483" s="19"/>
      <c r="M483" s="19"/>
      <c r="N483" s="19"/>
      <c r="O483" s="19"/>
      <c r="P483" s="19"/>
      <c r="Q483" s="19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</row>
    <row r="484" customFormat="false" ht="18" hidden="false" customHeight="true" outlineLevel="0" collapsed="false">
      <c r="A484" s="15"/>
      <c r="B484" s="15"/>
      <c r="C484" s="15"/>
      <c r="D484" s="15"/>
      <c r="E484" s="18"/>
      <c r="F484" s="18"/>
      <c r="G484" s="18"/>
      <c r="H484" s="15"/>
      <c r="I484" s="15"/>
      <c r="J484" s="15"/>
      <c r="K484" s="15"/>
      <c r="L484" s="19"/>
      <c r="M484" s="19"/>
      <c r="N484" s="19"/>
      <c r="O484" s="19"/>
      <c r="P484" s="19"/>
      <c r="Q484" s="19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</row>
    <row r="485" customFormat="false" ht="18" hidden="false" customHeight="true" outlineLevel="0" collapsed="false">
      <c r="A485" s="15"/>
      <c r="B485" s="15"/>
      <c r="C485" s="15"/>
      <c r="D485" s="15"/>
      <c r="E485" s="18"/>
      <c r="F485" s="18"/>
      <c r="G485" s="18"/>
      <c r="H485" s="15"/>
      <c r="I485" s="15"/>
      <c r="J485" s="15"/>
      <c r="K485" s="15"/>
      <c r="L485" s="19"/>
      <c r="M485" s="19"/>
      <c r="N485" s="19"/>
      <c r="O485" s="19"/>
      <c r="P485" s="19"/>
      <c r="Q485" s="19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</row>
    <row r="486" customFormat="false" ht="18" hidden="false" customHeight="true" outlineLevel="0" collapsed="false">
      <c r="A486" s="15"/>
      <c r="B486" s="15"/>
      <c r="C486" s="15"/>
      <c r="D486" s="15"/>
      <c r="E486" s="18"/>
      <c r="F486" s="18"/>
      <c r="G486" s="18"/>
      <c r="H486" s="15"/>
      <c r="I486" s="15"/>
      <c r="J486" s="15"/>
      <c r="K486" s="15"/>
      <c r="L486" s="19"/>
      <c r="M486" s="19"/>
      <c r="N486" s="19"/>
      <c r="O486" s="19"/>
      <c r="P486" s="19"/>
      <c r="Q486" s="19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</row>
    <row r="487" customFormat="false" ht="18" hidden="false" customHeight="true" outlineLevel="0" collapsed="false">
      <c r="A487" s="15"/>
      <c r="B487" s="15"/>
      <c r="C487" s="15"/>
      <c r="D487" s="15"/>
      <c r="E487" s="18"/>
      <c r="F487" s="18"/>
      <c r="G487" s="18"/>
      <c r="H487" s="15"/>
      <c r="I487" s="15"/>
      <c r="J487" s="15"/>
      <c r="K487" s="15"/>
      <c r="L487" s="19"/>
      <c r="M487" s="19"/>
      <c r="N487" s="19"/>
      <c r="O487" s="19"/>
      <c r="P487" s="19"/>
      <c r="Q487" s="19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</row>
    <row r="488" customFormat="false" ht="18" hidden="false" customHeight="true" outlineLevel="0" collapsed="false">
      <c r="A488" s="15"/>
      <c r="B488" s="15"/>
      <c r="C488" s="15"/>
      <c r="D488" s="15"/>
      <c r="E488" s="18"/>
      <c r="F488" s="18"/>
      <c r="G488" s="18"/>
      <c r="H488" s="15"/>
      <c r="I488" s="15"/>
      <c r="J488" s="15"/>
      <c r="K488" s="15"/>
      <c r="L488" s="19"/>
      <c r="M488" s="19"/>
      <c r="N488" s="19"/>
      <c r="O488" s="19"/>
      <c r="P488" s="19"/>
      <c r="Q488" s="19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</row>
    <row r="489" customFormat="false" ht="18" hidden="false" customHeight="true" outlineLevel="0" collapsed="false">
      <c r="A489" s="15"/>
      <c r="B489" s="15"/>
      <c r="C489" s="15"/>
      <c r="D489" s="15"/>
      <c r="E489" s="18"/>
      <c r="F489" s="18"/>
      <c r="G489" s="18"/>
      <c r="H489" s="15"/>
      <c r="I489" s="15"/>
      <c r="J489" s="15"/>
      <c r="K489" s="15"/>
      <c r="L489" s="19"/>
      <c r="M489" s="19"/>
      <c r="N489" s="19"/>
      <c r="O489" s="19"/>
      <c r="P489" s="19"/>
      <c r="Q489" s="19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</row>
    <row r="490" customFormat="false" ht="18" hidden="false" customHeight="true" outlineLevel="0" collapsed="false">
      <c r="A490" s="15"/>
      <c r="B490" s="15"/>
      <c r="C490" s="15"/>
      <c r="D490" s="15"/>
      <c r="E490" s="18"/>
      <c r="F490" s="18"/>
      <c r="G490" s="18"/>
      <c r="H490" s="15"/>
      <c r="I490" s="15"/>
      <c r="J490" s="15"/>
      <c r="K490" s="15"/>
      <c r="L490" s="19"/>
      <c r="M490" s="19"/>
      <c r="N490" s="19"/>
      <c r="O490" s="19"/>
      <c r="P490" s="19"/>
      <c r="Q490" s="19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</row>
    <row r="491" customFormat="false" ht="18" hidden="false" customHeight="true" outlineLevel="0" collapsed="false">
      <c r="A491" s="15"/>
      <c r="B491" s="15"/>
      <c r="C491" s="15"/>
      <c r="D491" s="15"/>
      <c r="E491" s="18"/>
      <c r="F491" s="18"/>
      <c r="G491" s="18"/>
      <c r="H491" s="15"/>
      <c r="I491" s="15"/>
      <c r="J491" s="15"/>
      <c r="K491" s="15"/>
      <c r="L491" s="19"/>
      <c r="M491" s="19"/>
      <c r="N491" s="19"/>
      <c r="O491" s="19"/>
      <c r="P491" s="19"/>
      <c r="Q491" s="19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</row>
    <row r="492" customFormat="false" ht="18" hidden="false" customHeight="true" outlineLevel="0" collapsed="false">
      <c r="A492" s="15"/>
      <c r="B492" s="15"/>
      <c r="C492" s="15"/>
      <c r="D492" s="15"/>
      <c r="E492" s="18"/>
      <c r="F492" s="18"/>
      <c r="G492" s="18"/>
      <c r="H492" s="15"/>
      <c r="I492" s="15"/>
      <c r="J492" s="15"/>
      <c r="K492" s="15"/>
      <c r="L492" s="19"/>
      <c r="M492" s="19"/>
      <c r="N492" s="19"/>
      <c r="O492" s="19"/>
      <c r="P492" s="19"/>
      <c r="Q492" s="19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</row>
    <row r="493" customFormat="false" ht="18" hidden="false" customHeight="true" outlineLevel="0" collapsed="false">
      <c r="A493" s="15"/>
      <c r="B493" s="15"/>
      <c r="C493" s="15"/>
      <c r="D493" s="15"/>
      <c r="E493" s="18"/>
      <c r="F493" s="18"/>
      <c r="G493" s="18"/>
      <c r="H493" s="15"/>
      <c r="I493" s="15"/>
      <c r="J493" s="15"/>
      <c r="K493" s="15"/>
      <c r="L493" s="19"/>
      <c r="M493" s="19"/>
      <c r="N493" s="19"/>
      <c r="O493" s="19"/>
      <c r="P493" s="19"/>
      <c r="Q493" s="19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</row>
    <row r="494" customFormat="false" ht="18" hidden="false" customHeight="true" outlineLevel="0" collapsed="false">
      <c r="A494" s="15"/>
      <c r="B494" s="15"/>
      <c r="C494" s="15"/>
      <c r="D494" s="15"/>
      <c r="E494" s="18"/>
      <c r="F494" s="18"/>
      <c r="G494" s="18"/>
      <c r="H494" s="15"/>
      <c r="I494" s="15"/>
      <c r="J494" s="15"/>
      <c r="K494" s="15"/>
      <c r="L494" s="19"/>
      <c r="M494" s="19"/>
      <c r="N494" s="19"/>
      <c r="O494" s="19"/>
      <c r="P494" s="19"/>
      <c r="Q494" s="19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</row>
    <row r="495" customFormat="false" ht="18" hidden="false" customHeight="true" outlineLevel="0" collapsed="false">
      <c r="A495" s="15"/>
      <c r="B495" s="15"/>
      <c r="C495" s="15"/>
      <c r="D495" s="15"/>
      <c r="E495" s="18"/>
      <c r="F495" s="18"/>
      <c r="G495" s="18"/>
      <c r="H495" s="15"/>
      <c r="I495" s="15"/>
      <c r="J495" s="15"/>
      <c r="K495" s="15"/>
      <c r="L495" s="19"/>
      <c r="M495" s="19"/>
      <c r="N495" s="19"/>
      <c r="O495" s="19"/>
      <c r="P495" s="19"/>
      <c r="Q495" s="19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</row>
    <row r="496" customFormat="false" ht="18" hidden="false" customHeight="true" outlineLevel="0" collapsed="false">
      <c r="A496" s="15"/>
      <c r="B496" s="15"/>
      <c r="C496" s="15"/>
      <c r="D496" s="15"/>
      <c r="E496" s="18"/>
      <c r="F496" s="18"/>
      <c r="G496" s="18"/>
      <c r="H496" s="15"/>
      <c r="I496" s="15"/>
      <c r="J496" s="15"/>
      <c r="K496" s="15"/>
      <c r="L496" s="19"/>
      <c r="M496" s="19"/>
      <c r="N496" s="19"/>
      <c r="O496" s="19"/>
      <c r="P496" s="19"/>
      <c r="Q496" s="19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</row>
    <row r="497" customFormat="false" ht="18" hidden="false" customHeight="true" outlineLevel="0" collapsed="false">
      <c r="A497" s="15"/>
      <c r="B497" s="15"/>
      <c r="C497" s="15"/>
      <c r="D497" s="15"/>
      <c r="E497" s="18"/>
      <c r="F497" s="18"/>
      <c r="G497" s="18"/>
      <c r="H497" s="15"/>
      <c r="I497" s="15"/>
      <c r="J497" s="15"/>
      <c r="K497" s="15"/>
      <c r="L497" s="19"/>
      <c r="M497" s="19"/>
      <c r="N497" s="19"/>
      <c r="O497" s="19"/>
      <c r="P497" s="19"/>
      <c r="Q497" s="19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</row>
    <row r="498" customFormat="false" ht="18" hidden="false" customHeight="true" outlineLevel="0" collapsed="false">
      <c r="A498" s="15"/>
      <c r="B498" s="15"/>
      <c r="C498" s="15"/>
      <c r="D498" s="15"/>
      <c r="E498" s="18"/>
      <c r="F498" s="18"/>
      <c r="G498" s="18"/>
      <c r="H498" s="15"/>
      <c r="I498" s="15"/>
      <c r="J498" s="15"/>
      <c r="K498" s="15"/>
      <c r="L498" s="19"/>
      <c r="M498" s="19"/>
      <c r="N498" s="19"/>
      <c r="O498" s="19"/>
      <c r="P498" s="19"/>
      <c r="Q498" s="19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</row>
    <row r="499" customFormat="false" ht="18" hidden="false" customHeight="true" outlineLevel="0" collapsed="false">
      <c r="A499" s="15"/>
      <c r="B499" s="15"/>
      <c r="C499" s="15"/>
      <c r="D499" s="15"/>
      <c r="E499" s="18"/>
      <c r="F499" s="18"/>
      <c r="G499" s="18"/>
      <c r="H499" s="15"/>
      <c r="I499" s="15"/>
      <c r="J499" s="15"/>
      <c r="K499" s="15"/>
      <c r="L499" s="19"/>
      <c r="M499" s="19"/>
      <c r="N499" s="19"/>
      <c r="O499" s="19"/>
      <c r="P499" s="19"/>
      <c r="Q499" s="19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</row>
    <row r="500" customFormat="false" ht="18" hidden="false" customHeight="true" outlineLevel="0" collapsed="false">
      <c r="A500" s="15"/>
      <c r="B500" s="15"/>
      <c r="C500" s="15"/>
      <c r="D500" s="15"/>
      <c r="E500" s="18"/>
      <c r="F500" s="18"/>
      <c r="G500" s="18"/>
      <c r="H500" s="15"/>
      <c r="I500" s="15"/>
      <c r="J500" s="15"/>
      <c r="K500" s="15"/>
      <c r="L500" s="19"/>
      <c r="M500" s="19"/>
      <c r="N500" s="19"/>
      <c r="O500" s="19"/>
      <c r="P500" s="19"/>
      <c r="Q500" s="19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</row>
    <row r="501" customFormat="false" ht="18" hidden="false" customHeight="true" outlineLevel="0" collapsed="false">
      <c r="A501" s="15"/>
      <c r="B501" s="15"/>
      <c r="C501" s="15"/>
      <c r="D501" s="15"/>
      <c r="E501" s="18"/>
      <c r="F501" s="18"/>
      <c r="G501" s="18"/>
      <c r="H501" s="15"/>
      <c r="I501" s="15"/>
      <c r="J501" s="15"/>
      <c r="K501" s="15"/>
      <c r="L501" s="19"/>
      <c r="M501" s="19"/>
      <c r="N501" s="19"/>
      <c r="O501" s="19"/>
      <c r="P501" s="19"/>
      <c r="Q501" s="19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</row>
    <row r="502" customFormat="false" ht="18" hidden="false" customHeight="true" outlineLevel="0" collapsed="false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9"/>
      <c r="M502" s="19"/>
      <c r="N502" s="19"/>
      <c r="O502" s="19"/>
      <c r="P502" s="19"/>
      <c r="Q502" s="19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</row>
    <row r="503" customFormat="false" ht="18" hidden="false" customHeight="true" outlineLevel="0" collapsed="false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9"/>
      <c r="M503" s="19"/>
      <c r="N503" s="19"/>
      <c r="O503" s="19"/>
      <c r="P503" s="19"/>
      <c r="Q503" s="19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</row>
    <row r="504" customFormat="false" ht="18" hidden="false" customHeight="true" outlineLevel="0" collapsed="false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9"/>
      <c r="M504" s="19"/>
      <c r="N504" s="19"/>
      <c r="O504" s="19"/>
      <c r="P504" s="19"/>
      <c r="Q504" s="19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</row>
    <row r="505" customFormat="false" ht="18" hidden="false" customHeight="true" outlineLevel="0" collapsed="false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9"/>
      <c r="M505" s="19"/>
      <c r="N505" s="19"/>
      <c r="O505" s="19"/>
      <c r="P505" s="19"/>
      <c r="Q505" s="19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</row>
    <row r="506" customFormat="false" ht="18" hidden="false" customHeight="true" outlineLevel="0" collapsed="false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9"/>
      <c r="M506" s="19"/>
      <c r="N506" s="19"/>
      <c r="O506" s="19"/>
      <c r="P506" s="19"/>
      <c r="Q506" s="19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</row>
    <row r="507" customFormat="false" ht="18" hidden="false" customHeight="true" outlineLevel="0" collapsed="false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9"/>
      <c r="M507" s="19"/>
      <c r="N507" s="19"/>
      <c r="O507" s="19"/>
      <c r="P507" s="19"/>
      <c r="Q507" s="19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</row>
    <row r="508" customFormat="false" ht="18" hidden="false" customHeight="true" outlineLevel="0" collapsed="false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9"/>
      <c r="M508" s="19"/>
      <c r="N508" s="19"/>
      <c r="O508" s="19"/>
      <c r="P508" s="19"/>
      <c r="Q508" s="19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</row>
    <row r="509" customFormat="false" ht="18" hidden="false" customHeight="true" outlineLevel="0" collapsed="false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9"/>
      <c r="M509" s="19"/>
      <c r="N509" s="19"/>
      <c r="O509" s="19"/>
      <c r="P509" s="19"/>
      <c r="Q509" s="19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</row>
    <row r="510" customFormat="false" ht="18" hidden="false" customHeight="true" outlineLevel="0" collapsed="false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9"/>
      <c r="M510" s="19"/>
      <c r="N510" s="19"/>
      <c r="O510" s="19"/>
      <c r="P510" s="19"/>
      <c r="Q510" s="19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</row>
    <row r="511" customFormat="false" ht="18" hidden="false" customHeight="true" outlineLevel="0" collapsed="false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9"/>
      <c r="M511" s="19"/>
      <c r="N511" s="19"/>
      <c r="O511" s="19"/>
      <c r="P511" s="19"/>
      <c r="Q511" s="19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</row>
    <row r="512" customFormat="false" ht="18" hidden="false" customHeight="true" outlineLevel="0" collapsed="false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9"/>
      <c r="M512" s="19"/>
      <c r="N512" s="19"/>
      <c r="O512" s="19"/>
      <c r="P512" s="19"/>
      <c r="Q512" s="19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</row>
    <row r="513" customFormat="false" ht="18" hidden="false" customHeight="true" outlineLevel="0" collapsed="false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9"/>
      <c r="M513" s="19"/>
      <c r="N513" s="19"/>
      <c r="O513" s="19"/>
      <c r="P513" s="19"/>
      <c r="Q513" s="19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</row>
    <row r="514" customFormat="false" ht="18" hidden="false" customHeight="true" outlineLevel="0" collapsed="false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9"/>
      <c r="M514" s="19"/>
      <c r="N514" s="19"/>
      <c r="O514" s="19"/>
      <c r="P514" s="19"/>
      <c r="Q514" s="19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</row>
    <row r="515" customFormat="false" ht="18" hidden="false" customHeight="true" outlineLevel="0" collapsed="false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9"/>
      <c r="M515" s="19"/>
      <c r="N515" s="19"/>
      <c r="O515" s="19"/>
      <c r="P515" s="19"/>
      <c r="Q515" s="19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</row>
    <row r="516" customFormat="false" ht="18" hidden="false" customHeight="true" outlineLevel="0" collapsed="false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9"/>
      <c r="M516" s="19"/>
      <c r="N516" s="19"/>
      <c r="O516" s="19"/>
      <c r="P516" s="19"/>
      <c r="Q516" s="19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</row>
    <row r="517" customFormat="false" ht="18" hidden="false" customHeight="true" outlineLevel="0" collapsed="false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9"/>
      <c r="M517" s="19"/>
      <c r="N517" s="19"/>
      <c r="O517" s="19"/>
      <c r="P517" s="19"/>
      <c r="Q517" s="19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</row>
    <row r="518" customFormat="false" ht="18" hidden="false" customHeight="true" outlineLevel="0" collapsed="false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9"/>
      <c r="M518" s="19"/>
      <c r="N518" s="19"/>
      <c r="O518" s="19"/>
      <c r="P518" s="19"/>
      <c r="Q518" s="19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</row>
    <row r="519" customFormat="false" ht="18" hidden="false" customHeight="true" outlineLevel="0" collapsed="false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9"/>
      <c r="M519" s="19"/>
      <c r="N519" s="19"/>
      <c r="O519" s="19"/>
      <c r="P519" s="19"/>
      <c r="Q519" s="19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</row>
    <row r="520" customFormat="false" ht="18" hidden="false" customHeight="true" outlineLevel="0" collapsed="false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9"/>
      <c r="M520" s="19"/>
      <c r="N520" s="19"/>
      <c r="O520" s="19"/>
      <c r="P520" s="19"/>
      <c r="Q520" s="19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</row>
    <row r="521" customFormat="false" ht="18" hidden="false" customHeight="true" outlineLevel="0" collapsed="false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9"/>
      <c r="M521" s="19"/>
      <c r="N521" s="19"/>
      <c r="O521" s="19"/>
      <c r="P521" s="19"/>
      <c r="Q521" s="19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</row>
    <row r="522" customFormat="false" ht="18" hidden="false" customHeight="true" outlineLevel="0" collapsed="false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9"/>
      <c r="M522" s="19"/>
      <c r="N522" s="19"/>
      <c r="O522" s="19"/>
      <c r="P522" s="19"/>
      <c r="Q522" s="19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</row>
    <row r="523" customFormat="false" ht="18" hidden="false" customHeight="true" outlineLevel="0" collapsed="false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9"/>
      <c r="M523" s="19"/>
      <c r="N523" s="19"/>
      <c r="O523" s="19"/>
      <c r="P523" s="19"/>
      <c r="Q523" s="19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</row>
    <row r="524" customFormat="false" ht="18" hidden="false" customHeight="true" outlineLevel="0" collapsed="false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9"/>
      <c r="M524" s="19"/>
      <c r="N524" s="19"/>
      <c r="O524" s="19"/>
      <c r="P524" s="19"/>
      <c r="Q524" s="19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</row>
    <row r="525" customFormat="false" ht="18" hidden="false" customHeight="true" outlineLevel="0" collapsed="false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9"/>
      <c r="M525" s="19"/>
      <c r="N525" s="19"/>
      <c r="O525" s="19"/>
      <c r="P525" s="19"/>
      <c r="Q525" s="19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</row>
    <row r="526" customFormat="false" ht="18" hidden="false" customHeight="true" outlineLevel="0" collapsed="false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9"/>
      <c r="M526" s="19"/>
      <c r="N526" s="19"/>
      <c r="O526" s="19"/>
      <c r="P526" s="19"/>
      <c r="Q526" s="19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</row>
    <row r="527" customFormat="false" ht="18" hidden="false" customHeight="true" outlineLevel="0" collapsed="false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9"/>
      <c r="M527" s="19"/>
      <c r="N527" s="19"/>
      <c r="O527" s="19"/>
      <c r="P527" s="19"/>
      <c r="Q527" s="19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</row>
    <row r="528" customFormat="false" ht="18" hidden="false" customHeight="true" outlineLevel="0" collapsed="false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9"/>
      <c r="M528" s="19"/>
      <c r="N528" s="19"/>
      <c r="O528" s="19"/>
      <c r="P528" s="19"/>
      <c r="Q528" s="19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</row>
    <row r="529" customFormat="false" ht="18" hidden="false" customHeight="true" outlineLevel="0" collapsed="false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9"/>
      <c r="M529" s="19"/>
      <c r="N529" s="19"/>
      <c r="O529" s="19"/>
      <c r="P529" s="19"/>
      <c r="Q529" s="19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</row>
    <row r="530" customFormat="false" ht="18" hidden="false" customHeight="true" outlineLevel="0" collapsed="false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9"/>
      <c r="M530" s="19"/>
      <c r="N530" s="19"/>
      <c r="O530" s="19"/>
      <c r="P530" s="19"/>
      <c r="Q530" s="19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</row>
    <row r="531" customFormat="false" ht="18" hidden="false" customHeight="true" outlineLevel="0" collapsed="false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9"/>
      <c r="M531" s="19"/>
      <c r="N531" s="19"/>
      <c r="O531" s="19"/>
      <c r="P531" s="19"/>
      <c r="Q531" s="19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</row>
    <row r="532" customFormat="false" ht="18" hidden="false" customHeight="true" outlineLevel="0" collapsed="false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9"/>
      <c r="M532" s="19"/>
      <c r="N532" s="19"/>
      <c r="O532" s="19"/>
      <c r="P532" s="19"/>
      <c r="Q532" s="19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</row>
    <row r="533" customFormat="false" ht="18" hidden="false" customHeight="true" outlineLevel="0" collapsed="false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9"/>
      <c r="M533" s="19"/>
      <c r="N533" s="19"/>
      <c r="O533" s="19"/>
      <c r="P533" s="19"/>
      <c r="Q533" s="19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</row>
    <row r="534" customFormat="false" ht="18" hidden="false" customHeight="true" outlineLevel="0" collapsed="false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9"/>
      <c r="M534" s="19"/>
      <c r="N534" s="19"/>
      <c r="O534" s="19"/>
      <c r="P534" s="19"/>
      <c r="Q534" s="19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</row>
    <row r="535" customFormat="false" ht="18" hidden="false" customHeight="true" outlineLevel="0" collapsed="false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9"/>
      <c r="M535" s="19"/>
      <c r="N535" s="19"/>
      <c r="O535" s="19"/>
      <c r="P535" s="19"/>
      <c r="Q535" s="19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</row>
    <row r="536" customFormat="false" ht="18" hidden="false" customHeight="true" outlineLevel="0" collapsed="false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9"/>
      <c r="M536" s="19"/>
      <c r="N536" s="19"/>
      <c r="O536" s="19"/>
      <c r="P536" s="19"/>
      <c r="Q536" s="19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</row>
    <row r="537" customFormat="false" ht="18" hidden="false" customHeight="true" outlineLevel="0" collapsed="false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9"/>
      <c r="M537" s="19"/>
      <c r="N537" s="19"/>
      <c r="O537" s="19"/>
      <c r="P537" s="19"/>
      <c r="Q537" s="19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</row>
    <row r="538" customFormat="false" ht="18" hidden="false" customHeight="true" outlineLevel="0" collapsed="false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9"/>
      <c r="M538" s="19"/>
      <c r="N538" s="19"/>
      <c r="O538" s="19"/>
      <c r="P538" s="19"/>
      <c r="Q538" s="19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</row>
    <row r="539" customFormat="false" ht="18" hidden="false" customHeight="true" outlineLevel="0" collapsed="false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9"/>
      <c r="M539" s="19"/>
      <c r="N539" s="19"/>
      <c r="O539" s="19"/>
      <c r="P539" s="19"/>
      <c r="Q539" s="19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</row>
    <row r="540" customFormat="false" ht="18" hidden="false" customHeight="true" outlineLevel="0" collapsed="false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9"/>
      <c r="M540" s="19"/>
      <c r="N540" s="19"/>
      <c r="O540" s="19"/>
      <c r="P540" s="19"/>
      <c r="Q540" s="19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</row>
    <row r="541" customFormat="false" ht="18" hidden="false" customHeight="true" outlineLevel="0" collapsed="false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9"/>
      <c r="M541" s="19"/>
      <c r="N541" s="19"/>
      <c r="O541" s="19"/>
      <c r="P541" s="19"/>
      <c r="Q541" s="19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</row>
    <row r="542" customFormat="false" ht="18" hidden="false" customHeight="true" outlineLevel="0" collapsed="false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9"/>
      <c r="M542" s="19"/>
      <c r="N542" s="19"/>
      <c r="O542" s="19"/>
      <c r="P542" s="19"/>
      <c r="Q542" s="19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</row>
    <row r="543" customFormat="false" ht="18" hidden="false" customHeight="true" outlineLevel="0" collapsed="false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9"/>
      <c r="M543" s="19"/>
      <c r="N543" s="19"/>
      <c r="O543" s="19"/>
      <c r="P543" s="19"/>
      <c r="Q543" s="19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</row>
    <row r="544" customFormat="false" ht="18" hidden="false" customHeight="true" outlineLevel="0" collapsed="false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9"/>
      <c r="M544" s="19"/>
      <c r="N544" s="19"/>
      <c r="O544" s="19"/>
      <c r="P544" s="19"/>
      <c r="Q544" s="19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</row>
    <row r="545" customFormat="false" ht="18" hidden="false" customHeight="true" outlineLevel="0" collapsed="false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9"/>
      <c r="M545" s="19"/>
      <c r="N545" s="19"/>
      <c r="O545" s="19"/>
      <c r="P545" s="19"/>
      <c r="Q545" s="19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</row>
    <row r="546" customFormat="false" ht="18" hidden="false" customHeight="true" outlineLevel="0" collapsed="false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9"/>
      <c r="M546" s="19"/>
      <c r="N546" s="19"/>
      <c r="O546" s="19"/>
      <c r="P546" s="19"/>
      <c r="Q546" s="19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</row>
    <row r="547" customFormat="false" ht="18" hidden="false" customHeight="true" outlineLevel="0" collapsed="false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9"/>
      <c r="M547" s="19"/>
      <c r="N547" s="19"/>
      <c r="O547" s="19"/>
      <c r="P547" s="19"/>
      <c r="Q547" s="19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</row>
    <row r="548" customFormat="false" ht="18" hidden="false" customHeight="true" outlineLevel="0" collapsed="false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9"/>
      <c r="M548" s="19"/>
      <c r="N548" s="19"/>
      <c r="O548" s="19"/>
      <c r="P548" s="19"/>
      <c r="Q548" s="19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</row>
    <row r="549" customFormat="false" ht="18" hidden="false" customHeight="true" outlineLevel="0" collapsed="false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9"/>
      <c r="M549" s="19"/>
      <c r="N549" s="19"/>
      <c r="O549" s="19"/>
      <c r="P549" s="19"/>
      <c r="Q549" s="19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</row>
    <row r="550" customFormat="false" ht="18" hidden="false" customHeight="true" outlineLevel="0" collapsed="false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9"/>
      <c r="M550" s="19"/>
      <c r="N550" s="19"/>
      <c r="O550" s="19"/>
      <c r="P550" s="19"/>
      <c r="Q550" s="19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</row>
    <row r="551" customFormat="false" ht="18" hidden="false" customHeight="true" outlineLevel="0" collapsed="false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9"/>
      <c r="M551" s="19"/>
      <c r="N551" s="19"/>
      <c r="O551" s="19"/>
      <c r="P551" s="19"/>
      <c r="Q551" s="19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</row>
    <row r="552" customFormat="false" ht="18" hidden="false" customHeight="true" outlineLevel="0" collapsed="false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9"/>
      <c r="M552" s="19"/>
      <c r="N552" s="19"/>
      <c r="O552" s="19"/>
      <c r="P552" s="19"/>
      <c r="Q552" s="19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</row>
    <row r="553" customFormat="false" ht="18" hidden="false" customHeight="true" outlineLevel="0" collapsed="false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9"/>
      <c r="M553" s="19"/>
      <c r="N553" s="19"/>
      <c r="O553" s="19"/>
      <c r="P553" s="19"/>
      <c r="Q553" s="19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</row>
    <row r="554" customFormat="false" ht="18" hidden="false" customHeight="true" outlineLevel="0" collapsed="false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9"/>
      <c r="M554" s="19"/>
      <c r="N554" s="19"/>
      <c r="O554" s="19"/>
      <c r="P554" s="19"/>
      <c r="Q554" s="19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</row>
    <row r="555" customFormat="false" ht="18" hidden="false" customHeight="true" outlineLevel="0" collapsed="false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9"/>
      <c r="M555" s="19"/>
      <c r="N555" s="19"/>
      <c r="O555" s="19"/>
      <c r="P555" s="19"/>
      <c r="Q555" s="19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</row>
    <row r="556" customFormat="false" ht="18" hidden="false" customHeight="true" outlineLevel="0" collapsed="false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9"/>
      <c r="M556" s="19"/>
      <c r="N556" s="19"/>
      <c r="O556" s="19"/>
      <c r="P556" s="19"/>
      <c r="Q556" s="19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</row>
    <row r="557" customFormat="false" ht="18" hidden="false" customHeight="true" outlineLevel="0" collapsed="false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9"/>
      <c r="M557" s="19"/>
      <c r="N557" s="19"/>
      <c r="O557" s="19"/>
      <c r="P557" s="19"/>
      <c r="Q557" s="19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</row>
    <row r="558" customFormat="false" ht="18" hidden="false" customHeight="true" outlineLevel="0" collapsed="false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9"/>
      <c r="M558" s="19"/>
      <c r="N558" s="19"/>
      <c r="O558" s="19"/>
      <c r="P558" s="19"/>
      <c r="Q558" s="19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</row>
    <row r="559" customFormat="false" ht="18" hidden="false" customHeight="true" outlineLevel="0" collapsed="false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9"/>
      <c r="M559" s="19"/>
      <c r="N559" s="19"/>
      <c r="O559" s="19"/>
      <c r="P559" s="19"/>
      <c r="Q559" s="19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</row>
    <row r="560" customFormat="false" ht="18" hidden="false" customHeight="true" outlineLevel="0" collapsed="false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9"/>
      <c r="M560" s="19"/>
      <c r="N560" s="19"/>
      <c r="O560" s="19"/>
      <c r="P560" s="19"/>
      <c r="Q560" s="19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</row>
    <row r="561" customFormat="false" ht="18" hidden="false" customHeight="true" outlineLevel="0" collapsed="false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9"/>
      <c r="M561" s="19"/>
      <c r="N561" s="19"/>
      <c r="O561" s="19"/>
      <c r="P561" s="19"/>
      <c r="Q561" s="19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</row>
    <row r="562" customFormat="false" ht="18" hidden="false" customHeight="true" outlineLevel="0" collapsed="false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9"/>
      <c r="M562" s="19"/>
      <c r="N562" s="19"/>
      <c r="O562" s="19"/>
      <c r="P562" s="19"/>
      <c r="Q562" s="19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</row>
    <row r="563" customFormat="false" ht="18" hidden="false" customHeight="true" outlineLevel="0" collapsed="false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9"/>
      <c r="M563" s="19"/>
      <c r="N563" s="19"/>
      <c r="O563" s="19"/>
      <c r="P563" s="19"/>
      <c r="Q563" s="19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</row>
    <row r="564" customFormat="false" ht="18" hidden="false" customHeight="true" outlineLevel="0" collapsed="false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9"/>
      <c r="M564" s="19"/>
      <c r="N564" s="19"/>
      <c r="O564" s="19"/>
      <c r="P564" s="19"/>
      <c r="Q564" s="19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</row>
    <row r="565" customFormat="false" ht="18" hidden="false" customHeight="true" outlineLevel="0" collapsed="false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9"/>
      <c r="M565" s="19"/>
      <c r="N565" s="19"/>
      <c r="O565" s="19"/>
      <c r="P565" s="19"/>
      <c r="Q565" s="19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</row>
    <row r="566" customFormat="false" ht="18" hidden="false" customHeight="true" outlineLevel="0" collapsed="false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9"/>
      <c r="M566" s="19"/>
      <c r="N566" s="19"/>
      <c r="O566" s="19"/>
      <c r="P566" s="19"/>
      <c r="Q566" s="19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</row>
    <row r="567" customFormat="false" ht="18" hidden="false" customHeight="true" outlineLevel="0" collapsed="false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9"/>
      <c r="M567" s="19"/>
      <c r="N567" s="19"/>
      <c r="O567" s="19"/>
      <c r="P567" s="19"/>
      <c r="Q567" s="19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</row>
    <row r="568" customFormat="false" ht="18" hidden="false" customHeight="true" outlineLevel="0" collapsed="false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9"/>
      <c r="M568" s="19"/>
      <c r="N568" s="19"/>
      <c r="O568" s="19"/>
      <c r="P568" s="19"/>
      <c r="Q568" s="19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</row>
    <row r="569" customFormat="false" ht="18" hidden="false" customHeight="true" outlineLevel="0" collapsed="false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9"/>
      <c r="M569" s="19"/>
      <c r="N569" s="19"/>
      <c r="O569" s="19"/>
      <c r="P569" s="19"/>
      <c r="Q569" s="19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</row>
    <row r="570" customFormat="false" ht="18" hidden="false" customHeight="true" outlineLevel="0" collapsed="false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9"/>
      <c r="M570" s="19"/>
      <c r="N570" s="19"/>
      <c r="O570" s="19"/>
      <c r="P570" s="19"/>
      <c r="Q570" s="19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</row>
    <row r="571" customFormat="false" ht="18" hidden="false" customHeight="true" outlineLevel="0" collapsed="false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9"/>
      <c r="M571" s="19"/>
      <c r="N571" s="19"/>
      <c r="O571" s="19"/>
      <c r="P571" s="19"/>
      <c r="Q571" s="19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</row>
    <row r="572" customFormat="false" ht="18" hidden="false" customHeight="true" outlineLevel="0" collapsed="false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9"/>
      <c r="M572" s="19"/>
      <c r="N572" s="19"/>
      <c r="O572" s="19"/>
      <c r="P572" s="19"/>
      <c r="Q572" s="19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</row>
    <row r="573" customFormat="false" ht="18" hidden="false" customHeight="true" outlineLevel="0" collapsed="false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9"/>
      <c r="M573" s="19"/>
      <c r="N573" s="19"/>
      <c r="O573" s="19"/>
      <c r="P573" s="19"/>
      <c r="Q573" s="19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</row>
    <row r="574" customFormat="false" ht="18" hidden="false" customHeight="true" outlineLevel="0" collapsed="false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9"/>
      <c r="M574" s="19"/>
      <c r="N574" s="19"/>
      <c r="O574" s="19"/>
      <c r="P574" s="19"/>
      <c r="Q574" s="19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</row>
    <row r="575" customFormat="false" ht="18" hidden="false" customHeight="true" outlineLevel="0" collapsed="false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9"/>
      <c r="M575" s="19"/>
      <c r="N575" s="19"/>
      <c r="O575" s="19"/>
      <c r="P575" s="19"/>
      <c r="Q575" s="19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</row>
    <row r="576" customFormat="false" ht="18" hidden="false" customHeight="true" outlineLevel="0" collapsed="false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9"/>
      <c r="M576" s="19"/>
      <c r="N576" s="19"/>
      <c r="O576" s="19"/>
      <c r="P576" s="19"/>
      <c r="Q576" s="19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</row>
    <row r="577" customFormat="false" ht="18" hidden="false" customHeight="true" outlineLevel="0" collapsed="false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9"/>
      <c r="M577" s="19"/>
      <c r="N577" s="19"/>
      <c r="O577" s="19"/>
      <c r="P577" s="19"/>
      <c r="Q577" s="19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</row>
    <row r="578" customFormat="false" ht="18" hidden="false" customHeight="true" outlineLevel="0" collapsed="false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9"/>
      <c r="M578" s="19"/>
      <c r="N578" s="19"/>
      <c r="O578" s="19"/>
      <c r="P578" s="19"/>
      <c r="Q578" s="19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</row>
    <row r="579" customFormat="false" ht="18" hidden="false" customHeight="true" outlineLevel="0" collapsed="false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9"/>
      <c r="M579" s="19"/>
      <c r="N579" s="19"/>
      <c r="O579" s="19"/>
      <c r="P579" s="19"/>
      <c r="Q579" s="19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</row>
    <row r="580" customFormat="false" ht="18" hidden="false" customHeight="true" outlineLevel="0" collapsed="false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9"/>
      <c r="M580" s="19"/>
      <c r="N580" s="19"/>
      <c r="O580" s="19"/>
      <c r="P580" s="19"/>
      <c r="Q580" s="19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</row>
    <row r="581" customFormat="false" ht="18" hidden="false" customHeight="true" outlineLevel="0" collapsed="false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9"/>
      <c r="M581" s="19"/>
      <c r="N581" s="19"/>
      <c r="O581" s="19"/>
      <c r="P581" s="19"/>
      <c r="Q581" s="19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</row>
    <row r="582" customFormat="false" ht="18" hidden="false" customHeight="true" outlineLevel="0" collapsed="false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9"/>
      <c r="M582" s="19"/>
      <c r="N582" s="19"/>
      <c r="O582" s="19"/>
      <c r="P582" s="19"/>
      <c r="Q582" s="19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</row>
    <row r="583" customFormat="false" ht="18" hidden="false" customHeight="true" outlineLevel="0" collapsed="false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9"/>
      <c r="M583" s="19"/>
      <c r="N583" s="19"/>
      <c r="O583" s="19"/>
      <c r="P583" s="19"/>
      <c r="Q583" s="19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</row>
    <row r="584" customFormat="false" ht="18" hidden="false" customHeight="true" outlineLevel="0" collapsed="false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9"/>
      <c r="M584" s="19"/>
      <c r="N584" s="19"/>
      <c r="O584" s="19"/>
      <c r="P584" s="19"/>
      <c r="Q584" s="19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</row>
    <row r="585" customFormat="false" ht="18" hidden="false" customHeight="true" outlineLevel="0" collapsed="false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9"/>
      <c r="M585" s="19"/>
      <c r="N585" s="19"/>
      <c r="O585" s="19"/>
      <c r="P585" s="19"/>
      <c r="Q585" s="19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</row>
    <row r="586" customFormat="false" ht="18" hidden="false" customHeight="true" outlineLevel="0" collapsed="false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9"/>
      <c r="M586" s="19"/>
      <c r="N586" s="19"/>
      <c r="O586" s="19"/>
      <c r="P586" s="19"/>
      <c r="Q586" s="19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</row>
    <row r="587" customFormat="false" ht="18" hidden="false" customHeight="true" outlineLevel="0" collapsed="false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9"/>
      <c r="M587" s="19"/>
      <c r="N587" s="19"/>
      <c r="O587" s="19"/>
      <c r="P587" s="19"/>
      <c r="Q587" s="19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</row>
    <row r="588" customFormat="false" ht="18" hidden="false" customHeight="true" outlineLevel="0" collapsed="false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9"/>
      <c r="M588" s="19"/>
      <c r="N588" s="19"/>
      <c r="O588" s="19"/>
      <c r="P588" s="19"/>
      <c r="Q588" s="19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</row>
    <row r="589" customFormat="false" ht="18" hidden="false" customHeight="true" outlineLevel="0" collapsed="false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9"/>
      <c r="M589" s="19"/>
      <c r="N589" s="19"/>
      <c r="O589" s="19"/>
      <c r="P589" s="19"/>
      <c r="Q589" s="19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</row>
    <row r="590" customFormat="false" ht="18" hidden="false" customHeight="true" outlineLevel="0" collapsed="false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9"/>
      <c r="M590" s="19"/>
      <c r="N590" s="19"/>
      <c r="O590" s="19"/>
      <c r="P590" s="19"/>
      <c r="Q590" s="19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</row>
    <row r="591" customFormat="false" ht="18" hidden="false" customHeight="true" outlineLevel="0" collapsed="false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9"/>
      <c r="M591" s="19"/>
      <c r="N591" s="19"/>
      <c r="O591" s="19"/>
      <c r="P591" s="19"/>
      <c r="Q591" s="19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</row>
    <row r="592" customFormat="false" ht="18" hidden="false" customHeight="true" outlineLevel="0" collapsed="false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9"/>
      <c r="M592" s="19"/>
      <c r="N592" s="19"/>
      <c r="O592" s="19"/>
      <c r="P592" s="19"/>
      <c r="Q592" s="19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</row>
    <row r="593" customFormat="false" ht="18" hidden="false" customHeight="true" outlineLevel="0" collapsed="false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9"/>
      <c r="M593" s="19"/>
      <c r="N593" s="19"/>
      <c r="O593" s="19"/>
      <c r="P593" s="19"/>
      <c r="Q593" s="19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</row>
    <row r="594" customFormat="false" ht="18" hidden="false" customHeight="true" outlineLevel="0" collapsed="false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9"/>
      <c r="M594" s="19"/>
      <c r="N594" s="19"/>
      <c r="O594" s="19"/>
      <c r="P594" s="19"/>
      <c r="Q594" s="19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</row>
    <row r="595" customFormat="false" ht="18" hidden="false" customHeight="true" outlineLevel="0" collapsed="false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9"/>
      <c r="M595" s="19"/>
      <c r="N595" s="19"/>
      <c r="O595" s="19"/>
      <c r="P595" s="19"/>
      <c r="Q595" s="19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</row>
    <row r="596" customFormat="false" ht="18" hidden="false" customHeight="true" outlineLevel="0" collapsed="false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9"/>
      <c r="M596" s="19"/>
      <c r="N596" s="19"/>
      <c r="O596" s="19"/>
      <c r="P596" s="19"/>
      <c r="Q596" s="19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</row>
    <row r="597" customFormat="false" ht="18" hidden="false" customHeight="true" outlineLevel="0" collapsed="false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9"/>
      <c r="M597" s="19"/>
      <c r="N597" s="19"/>
      <c r="O597" s="19"/>
      <c r="P597" s="19"/>
      <c r="Q597" s="19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</row>
    <row r="598" customFormat="false" ht="18" hidden="false" customHeight="true" outlineLevel="0" collapsed="false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9"/>
      <c r="M598" s="19"/>
      <c r="N598" s="19"/>
      <c r="O598" s="19"/>
      <c r="P598" s="19"/>
      <c r="Q598" s="19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</row>
    <row r="599" customFormat="false" ht="18" hidden="false" customHeight="true" outlineLevel="0" collapsed="false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9"/>
      <c r="M599" s="19"/>
      <c r="N599" s="19"/>
      <c r="O599" s="19"/>
      <c r="P599" s="19"/>
      <c r="Q599" s="19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</row>
    <row r="600" customFormat="false" ht="18" hidden="false" customHeight="true" outlineLevel="0" collapsed="false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9"/>
      <c r="M600" s="19"/>
      <c r="N600" s="19"/>
      <c r="O600" s="19"/>
      <c r="P600" s="19"/>
      <c r="Q600" s="19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</row>
    <row r="601" customFormat="false" ht="18" hidden="false" customHeight="true" outlineLevel="0" collapsed="false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9"/>
      <c r="M601" s="19"/>
      <c r="N601" s="19"/>
      <c r="O601" s="19"/>
      <c r="P601" s="19"/>
      <c r="Q601" s="19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</row>
    <row r="602" customFormat="false" ht="18" hidden="false" customHeight="true" outlineLevel="0" collapsed="false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9"/>
      <c r="M602" s="19"/>
      <c r="N602" s="19"/>
      <c r="O602" s="19"/>
      <c r="P602" s="19"/>
      <c r="Q602" s="19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</row>
    <row r="603" customFormat="false" ht="18" hidden="false" customHeight="true" outlineLevel="0" collapsed="false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9"/>
      <c r="M603" s="19"/>
      <c r="N603" s="19"/>
      <c r="O603" s="19"/>
      <c r="P603" s="19"/>
      <c r="Q603" s="19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</row>
    <row r="604" customFormat="false" ht="18" hidden="false" customHeight="true" outlineLevel="0" collapsed="false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9"/>
      <c r="M604" s="19"/>
      <c r="N604" s="19"/>
      <c r="O604" s="19"/>
      <c r="P604" s="19"/>
      <c r="Q604" s="19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</row>
    <row r="605" customFormat="false" ht="18" hidden="false" customHeight="true" outlineLevel="0" collapsed="false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9"/>
      <c r="M605" s="19"/>
      <c r="N605" s="19"/>
      <c r="O605" s="19"/>
      <c r="P605" s="19"/>
      <c r="Q605" s="19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</row>
    <row r="606" customFormat="false" ht="18" hidden="false" customHeight="true" outlineLevel="0" collapsed="false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9"/>
      <c r="M606" s="19"/>
      <c r="N606" s="19"/>
      <c r="O606" s="19"/>
      <c r="P606" s="19"/>
      <c r="Q606" s="19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</row>
    <row r="607" customFormat="false" ht="18" hidden="false" customHeight="true" outlineLevel="0" collapsed="false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9"/>
      <c r="M607" s="19"/>
      <c r="N607" s="19"/>
      <c r="O607" s="19"/>
      <c r="P607" s="19"/>
      <c r="Q607" s="19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</row>
    <row r="608" customFormat="false" ht="18" hidden="false" customHeight="true" outlineLevel="0" collapsed="false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9"/>
      <c r="M608" s="19"/>
      <c r="N608" s="19"/>
      <c r="O608" s="19"/>
      <c r="P608" s="19"/>
      <c r="Q608" s="19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</row>
    <row r="609" customFormat="false" ht="18" hidden="false" customHeight="true" outlineLevel="0" collapsed="false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9"/>
      <c r="M609" s="19"/>
      <c r="N609" s="19"/>
      <c r="O609" s="19"/>
      <c r="P609" s="19"/>
      <c r="Q609" s="19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</row>
    <row r="610" customFormat="false" ht="18" hidden="false" customHeight="true" outlineLevel="0" collapsed="false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9"/>
      <c r="M610" s="19"/>
      <c r="N610" s="19"/>
      <c r="O610" s="19"/>
      <c r="P610" s="19"/>
      <c r="Q610" s="19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</row>
    <row r="611" customFormat="false" ht="18" hidden="false" customHeight="true" outlineLevel="0" collapsed="false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9"/>
      <c r="M611" s="19"/>
      <c r="N611" s="19"/>
      <c r="O611" s="19"/>
      <c r="P611" s="19"/>
      <c r="Q611" s="19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</row>
    <row r="612" customFormat="false" ht="18" hidden="false" customHeight="true" outlineLevel="0" collapsed="false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9"/>
      <c r="M612" s="19"/>
      <c r="N612" s="19"/>
      <c r="O612" s="19"/>
      <c r="P612" s="19"/>
      <c r="Q612" s="19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</row>
    <row r="613" customFormat="false" ht="18" hidden="false" customHeight="true" outlineLevel="0" collapsed="false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9"/>
      <c r="M613" s="19"/>
      <c r="N613" s="19"/>
      <c r="O613" s="19"/>
      <c r="P613" s="19"/>
      <c r="Q613" s="19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</row>
    <row r="614" customFormat="false" ht="18" hidden="false" customHeight="true" outlineLevel="0" collapsed="false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9"/>
      <c r="M614" s="19"/>
      <c r="N614" s="19"/>
      <c r="O614" s="19"/>
      <c r="P614" s="19"/>
      <c r="Q614" s="19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</row>
    <row r="615" customFormat="false" ht="18" hidden="false" customHeight="true" outlineLevel="0" collapsed="false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9"/>
      <c r="M615" s="19"/>
      <c r="N615" s="19"/>
      <c r="O615" s="19"/>
      <c r="P615" s="19"/>
      <c r="Q615" s="19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</row>
    <row r="616" customFormat="false" ht="18" hidden="false" customHeight="true" outlineLevel="0" collapsed="false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9"/>
      <c r="M616" s="19"/>
      <c r="N616" s="19"/>
      <c r="O616" s="19"/>
      <c r="P616" s="19"/>
      <c r="Q616" s="19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</row>
    <row r="617" customFormat="false" ht="18" hidden="false" customHeight="true" outlineLevel="0" collapsed="false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9"/>
      <c r="M617" s="19"/>
      <c r="N617" s="19"/>
      <c r="O617" s="19"/>
      <c r="P617" s="19"/>
      <c r="Q617" s="19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</row>
    <row r="618" customFormat="false" ht="18" hidden="false" customHeight="true" outlineLevel="0" collapsed="false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9"/>
      <c r="M618" s="19"/>
      <c r="N618" s="19"/>
      <c r="O618" s="19"/>
      <c r="P618" s="19"/>
      <c r="Q618" s="19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</row>
    <row r="619" customFormat="false" ht="18" hidden="false" customHeight="true" outlineLevel="0" collapsed="false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9"/>
      <c r="M619" s="19"/>
      <c r="N619" s="19"/>
      <c r="O619" s="19"/>
      <c r="P619" s="19"/>
      <c r="Q619" s="19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</row>
    <row r="620" customFormat="false" ht="18" hidden="false" customHeight="true" outlineLevel="0" collapsed="false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9"/>
      <c r="M620" s="19"/>
      <c r="N620" s="19"/>
      <c r="O620" s="19"/>
      <c r="P620" s="19"/>
      <c r="Q620" s="19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</row>
    <row r="621" customFormat="false" ht="18" hidden="false" customHeight="true" outlineLevel="0" collapsed="false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9"/>
      <c r="M621" s="19"/>
      <c r="N621" s="19"/>
      <c r="O621" s="19"/>
      <c r="P621" s="19"/>
      <c r="Q621" s="19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</row>
    <row r="622" customFormat="false" ht="18" hidden="false" customHeight="true" outlineLevel="0" collapsed="false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9"/>
      <c r="M622" s="19"/>
      <c r="N622" s="19"/>
      <c r="O622" s="19"/>
      <c r="P622" s="19"/>
      <c r="Q622" s="19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</row>
    <row r="623" customFormat="false" ht="18" hidden="false" customHeight="true" outlineLevel="0" collapsed="false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9"/>
      <c r="M623" s="19"/>
      <c r="N623" s="19"/>
      <c r="O623" s="19"/>
      <c r="P623" s="19"/>
      <c r="Q623" s="19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</row>
    <row r="624" customFormat="false" ht="18" hidden="false" customHeight="true" outlineLevel="0" collapsed="false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9"/>
      <c r="M624" s="19"/>
      <c r="N624" s="19"/>
      <c r="O624" s="19"/>
      <c r="P624" s="19"/>
      <c r="Q624" s="19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</row>
    <row r="625" customFormat="false" ht="18" hidden="false" customHeight="true" outlineLevel="0" collapsed="false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9"/>
      <c r="M625" s="19"/>
      <c r="N625" s="19"/>
      <c r="O625" s="19"/>
      <c r="P625" s="19"/>
      <c r="Q625" s="19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</row>
    <row r="626" customFormat="false" ht="18" hidden="false" customHeight="true" outlineLevel="0" collapsed="false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9"/>
      <c r="M626" s="19"/>
      <c r="N626" s="19"/>
      <c r="O626" s="19"/>
      <c r="P626" s="19"/>
      <c r="Q626" s="19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</row>
    <row r="627" customFormat="false" ht="18" hidden="false" customHeight="true" outlineLevel="0" collapsed="false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9"/>
      <c r="M627" s="19"/>
      <c r="N627" s="19"/>
      <c r="O627" s="19"/>
      <c r="P627" s="19"/>
      <c r="Q627" s="19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</row>
    <row r="628" customFormat="false" ht="18" hidden="false" customHeight="true" outlineLevel="0" collapsed="false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9"/>
      <c r="M628" s="19"/>
      <c r="N628" s="19"/>
      <c r="O628" s="19"/>
      <c r="P628" s="19"/>
      <c r="Q628" s="19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</row>
    <row r="629" customFormat="false" ht="18" hidden="false" customHeight="true" outlineLevel="0" collapsed="false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9"/>
      <c r="M629" s="19"/>
      <c r="N629" s="19"/>
      <c r="O629" s="19"/>
      <c r="P629" s="19"/>
      <c r="Q629" s="19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</row>
    <row r="630" customFormat="false" ht="18" hidden="false" customHeight="true" outlineLevel="0" collapsed="false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9"/>
      <c r="M630" s="19"/>
      <c r="N630" s="19"/>
      <c r="O630" s="19"/>
      <c r="P630" s="19"/>
      <c r="Q630" s="19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</row>
    <row r="631" customFormat="false" ht="18" hidden="false" customHeight="true" outlineLevel="0" collapsed="false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9"/>
      <c r="M631" s="19"/>
      <c r="N631" s="19"/>
      <c r="O631" s="19"/>
      <c r="P631" s="19"/>
      <c r="Q631" s="19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</row>
    <row r="632" customFormat="false" ht="18" hidden="false" customHeight="true" outlineLevel="0" collapsed="false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9"/>
      <c r="M632" s="19"/>
      <c r="N632" s="19"/>
      <c r="O632" s="19"/>
      <c r="P632" s="19"/>
      <c r="Q632" s="19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</row>
    <row r="633" customFormat="false" ht="18" hidden="false" customHeight="true" outlineLevel="0" collapsed="false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9"/>
      <c r="M633" s="19"/>
      <c r="N633" s="19"/>
      <c r="O633" s="19"/>
      <c r="P633" s="19"/>
      <c r="Q633" s="19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</row>
    <row r="634" customFormat="false" ht="18" hidden="false" customHeight="true" outlineLevel="0" collapsed="false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9"/>
      <c r="M634" s="19"/>
      <c r="N634" s="19"/>
      <c r="O634" s="19"/>
      <c r="P634" s="19"/>
      <c r="Q634" s="19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</row>
    <row r="635" customFormat="false" ht="18" hidden="false" customHeight="true" outlineLevel="0" collapsed="false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9"/>
      <c r="M635" s="19"/>
      <c r="N635" s="19"/>
      <c r="O635" s="19"/>
      <c r="P635" s="19"/>
      <c r="Q635" s="19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</row>
    <row r="636" customFormat="false" ht="18" hidden="false" customHeight="true" outlineLevel="0" collapsed="false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9"/>
      <c r="M636" s="19"/>
      <c r="N636" s="19"/>
      <c r="O636" s="19"/>
      <c r="P636" s="19"/>
      <c r="Q636" s="19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</row>
    <row r="637" customFormat="false" ht="18" hidden="false" customHeight="true" outlineLevel="0" collapsed="false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9"/>
      <c r="M637" s="19"/>
      <c r="N637" s="19"/>
      <c r="O637" s="19"/>
      <c r="P637" s="19"/>
      <c r="Q637" s="19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</row>
    <row r="638" customFormat="false" ht="18" hidden="false" customHeight="true" outlineLevel="0" collapsed="false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9"/>
      <c r="M638" s="19"/>
      <c r="N638" s="19"/>
      <c r="O638" s="19"/>
      <c r="P638" s="19"/>
      <c r="Q638" s="19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</row>
    <row r="639" customFormat="false" ht="18" hidden="false" customHeight="true" outlineLevel="0" collapsed="false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9"/>
      <c r="M639" s="19"/>
      <c r="N639" s="19"/>
      <c r="O639" s="19"/>
      <c r="P639" s="19"/>
      <c r="Q639" s="19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</row>
    <row r="640" customFormat="false" ht="18" hidden="false" customHeight="true" outlineLevel="0" collapsed="false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9"/>
      <c r="M640" s="19"/>
      <c r="N640" s="19"/>
      <c r="O640" s="19"/>
      <c r="P640" s="19"/>
      <c r="Q640" s="19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</row>
    <row r="641" customFormat="false" ht="18" hidden="false" customHeight="true" outlineLevel="0" collapsed="false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9"/>
      <c r="M641" s="19"/>
      <c r="N641" s="19"/>
      <c r="O641" s="19"/>
      <c r="P641" s="19"/>
      <c r="Q641" s="19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</row>
    <row r="642" customFormat="false" ht="18" hidden="false" customHeight="true" outlineLevel="0" collapsed="false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9"/>
      <c r="M642" s="19"/>
      <c r="N642" s="19"/>
      <c r="O642" s="19"/>
      <c r="P642" s="19"/>
      <c r="Q642" s="19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</row>
    <row r="643" customFormat="false" ht="18" hidden="false" customHeight="true" outlineLevel="0" collapsed="false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9"/>
      <c r="M643" s="19"/>
      <c r="N643" s="19"/>
      <c r="O643" s="19"/>
      <c r="P643" s="19"/>
      <c r="Q643" s="19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</row>
    <row r="644" customFormat="false" ht="18" hidden="false" customHeight="true" outlineLevel="0" collapsed="false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9"/>
      <c r="M644" s="19"/>
      <c r="N644" s="19"/>
      <c r="O644" s="19"/>
      <c r="P644" s="19"/>
      <c r="Q644" s="19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</row>
    <row r="645" customFormat="false" ht="18" hidden="false" customHeight="true" outlineLevel="0" collapsed="false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9"/>
      <c r="M645" s="19"/>
      <c r="N645" s="19"/>
      <c r="O645" s="19"/>
      <c r="P645" s="19"/>
      <c r="Q645" s="19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</row>
    <row r="646" customFormat="false" ht="18" hidden="false" customHeight="true" outlineLevel="0" collapsed="false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9"/>
      <c r="M646" s="19"/>
      <c r="N646" s="19"/>
      <c r="O646" s="19"/>
      <c r="P646" s="19"/>
      <c r="Q646" s="19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</row>
    <row r="647" customFormat="false" ht="18" hidden="false" customHeight="true" outlineLevel="0" collapsed="false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9"/>
      <c r="M647" s="19"/>
      <c r="N647" s="19"/>
      <c r="O647" s="19"/>
      <c r="P647" s="19"/>
      <c r="Q647" s="19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</row>
    <row r="648" customFormat="false" ht="18" hidden="false" customHeight="true" outlineLevel="0" collapsed="false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9"/>
      <c r="M648" s="19"/>
      <c r="N648" s="19"/>
      <c r="O648" s="19"/>
      <c r="P648" s="19"/>
      <c r="Q648" s="19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</row>
    <row r="649" customFormat="false" ht="18" hidden="false" customHeight="true" outlineLevel="0" collapsed="false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9"/>
      <c r="M649" s="19"/>
      <c r="N649" s="19"/>
      <c r="O649" s="19"/>
      <c r="P649" s="19"/>
      <c r="Q649" s="19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</row>
    <row r="650" customFormat="false" ht="18" hidden="false" customHeight="true" outlineLevel="0" collapsed="false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9"/>
      <c r="M650" s="19"/>
      <c r="N650" s="19"/>
      <c r="O650" s="19"/>
      <c r="P650" s="19"/>
      <c r="Q650" s="19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</row>
    <row r="651" customFormat="false" ht="18" hidden="false" customHeight="true" outlineLevel="0" collapsed="false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9"/>
      <c r="M651" s="19"/>
      <c r="N651" s="19"/>
      <c r="O651" s="19"/>
      <c r="P651" s="19"/>
      <c r="Q651" s="19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</row>
    <row r="652" customFormat="false" ht="18" hidden="false" customHeight="true" outlineLevel="0" collapsed="false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9"/>
      <c r="M652" s="19"/>
      <c r="N652" s="19"/>
      <c r="O652" s="19"/>
      <c r="P652" s="19"/>
      <c r="Q652" s="19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</row>
    <row r="653" customFormat="false" ht="18" hidden="false" customHeight="true" outlineLevel="0" collapsed="false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9"/>
      <c r="M653" s="19"/>
      <c r="N653" s="19"/>
      <c r="O653" s="19"/>
      <c r="P653" s="19"/>
      <c r="Q653" s="19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</row>
    <row r="654" customFormat="false" ht="18" hidden="false" customHeight="true" outlineLevel="0" collapsed="false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9"/>
      <c r="M654" s="19"/>
      <c r="N654" s="19"/>
      <c r="O654" s="19"/>
      <c r="P654" s="19"/>
      <c r="Q654" s="19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</row>
    <row r="655" customFormat="false" ht="18" hidden="false" customHeight="true" outlineLevel="0" collapsed="false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9"/>
      <c r="M655" s="19"/>
      <c r="N655" s="19"/>
      <c r="O655" s="19"/>
      <c r="P655" s="19"/>
      <c r="Q655" s="19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</row>
    <row r="656" customFormat="false" ht="18" hidden="false" customHeight="true" outlineLevel="0" collapsed="false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9"/>
      <c r="M656" s="19"/>
      <c r="N656" s="19"/>
      <c r="O656" s="19"/>
      <c r="P656" s="19"/>
      <c r="Q656" s="19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</row>
    <row r="657" customFormat="false" ht="18" hidden="false" customHeight="true" outlineLevel="0" collapsed="false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9"/>
      <c r="M657" s="19"/>
      <c r="N657" s="19"/>
      <c r="O657" s="19"/>
      <c r="P657" s="19"/>
      <c r="Q657" s="19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</row>
    <row r="658" customFormat="false" ht="18" hidden="false" customHeight="true" outlineLevel="0" collapsed="false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9"/>
      <c r="M658" s="19"/>
      <c r="N658" s="19"/>
      <c r="O658" s="19"/>
      <c r="P658" s="19"/>
      <c r="Q658" s="19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</row>
    <row r="659" customFormat="false" ht="18" hidden="false" customHeight="true" outlineLevel="0" collapsed="false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9"/>
      <c r="M659" s="19"/>
      <c r="N659" s="19"/>
      <c r="O659" s="19"/>
      <c r="P659" s="19"/>
      <c r="Q659" s="19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</row>
    <row r="660" customFormat="false" ht="18" hidden="false" customHeight="true" outlineLevel="0" collapsed="false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9"/>
      <c r="M660" s="19"/>
      <c r="N660" s="19"/>
      <c r="O660" s="19"/>
      <c r="P660" s="19"/>
      <c r="Q660" s="19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</row>
    <row r="661" customFormat="false" ht="18" hidden="false" customHeight="true" outlineLevel="0" collapsed="false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9"/>
      <c r="M661" s="19"/>
      <c r="N661" s="19"/>
      <c r="O661" s="19"/>
      <c r="P661" s="19"/>
      <c r="Q661" s="19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</row>
    <row r="662" customFormat="false" ht="18" hidden="false" customHeight="true" outlineLevel="0" collapsed="false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9"/>
      <c r="M662" s="19"/>
      <c r="N662" s="19"/>
      <c r="O662" s="19"/>
      <c r="P662" s="19"/>
      <c r="Q662" s="19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</row>
    <row r="663" customFormat="false" ht="18" hidden="false" customHeight="true" outlineLevel="0" collapsed="false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9"/>
      <c r="M663" s="19"/>
      <c r="N663" s="19"/>
      <c r="O663" s="19"/>
      <c r="P663" s="19"/>
      <c r="Q663" s="19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</row>
    <row r="664" customFormat="false" ht="18" hidden="false" customHeight="true" outlineLevel="0" collapsed="false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9"/>
      <c r="M664" s="19"/>
      <c r="N664" s="19"/>
      <c r="O664" s="19"/>
      <c r="P664" s="19"/>
      <c r="Q664" s="19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</row>
    <row r="665" customFormat="false" ht="18" hidden="false" customHeight="true" outlineLevel="0" collapsed="false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9"/>
      <c r="M665" s="19"/>
      <c r="N665" s="19"/>
      <c r="O665" s="19"/>
      <c r="P665" s="19"/>
      <c r="Q665" s="19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</row>
    <row r="666" customFormat="false" ht="18" hidden="false" customHeight="true" outlineLevel="0" collapsed="false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9"/>
      <c r="M666" s="19"/>
      <c r="N666" s="19"/>
      <c r="O666" s="19"/>
      <c r="P666" s="19"/>
      <c r="Q666" s="19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</row>
    <row r="667" customFormat="false" ht="18" hidden="false" customHeight="true" outlineLevel="0" collapsed="false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9"/>
      <c r="M667" s="19"/>
      <c r="N667" s="19"/>
      <c r="O667" s="19"/>
      <c r="P667" s="19"/>
      <c r="Q667" s="19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</row>
    <row r="668" customFormat="false" ht="18" hidden="false" customHeight="true" outlineLevel="0" collapsed="false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9"/>
      <c r="M668" s="19"/>
      <c r="N668" s="19"/>
      <c r="O668" s="19"/>
      <c r="P668" s="19"/>
      <c r="Q668" s="19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</row>
    <row r="669" customFormat="false" ht="18" hidden="false" customHeight="true" outlineLevel="0" collapsed="false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9"/>
      <c r="M669" s="19"/>
      <c r="N669" s="19"/>
      <c r="O669" s="19"/>
      <c r="P669" s="19"/>
      <c r="Q669" s="19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</row>
    <row r="670" customFormat="false" ht="18" hidden="false" customHeight="true" outlineLevel="0" collapsed="false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9"/>
      <c r="M670" s="19"/>
      <c r="N670" s="19"/>
      <c r="O670" s="19"/>
      <c r="P670" s="19"/>
      <c r="Q670" s="19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</row>
    <row r="671" customFormat="false" ht="18" hidden="false" customHeight="true" outlineLevel="0" collapsed="false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9"/>
      <c r="M671" s="19"/>
      <c r="N671" s="19"/>
      <c r="O671" s="19"/>
      <c r="P671" s="19"/>
      <c r="Q671" s="19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</row>
    <row r="672" customFormat="false" ht="18" hidden="false" customHeight="true" outlineLevel="0" collapsed="false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9"/>
      <c r="M672" s="19"/>
      <c r="N672" s="19"/>
      <c r="O672" s="19"/>
      <c r="P672" s="19"/>
      <c r="Q672" s="19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</row>
    <row r="673" customFormat="false" ht="18" hidden="false" customHeight="true" outlineLevel="0" collapsed="false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9"/>
      <c r="M673" s="19"/>
      <c r="N673" s="19"/>
      <c r="O673" s="19"/>
      <c r="P673" s="19"/>
      <c r="Q673" s="19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</row>
    <row r="674" customFormat="false" ht="18" hidden="false" customHeight="true" outlineLevel="0" collapsed="false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9"/>
      <c r="M674" s="19"/>
      <c r="N674" s="19"/>
      <c r="O674" s="19"/>
      <c r="P674" s="19"/>
      <c r="Q674" s="19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</row>
    <row r="675" customFormat="false" ht="18" hidden="false" customHeight="true" outlineLevel="0" collapsed="false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9"/>
      <c r="M675" s="19"/>
      <c r="N675" s="19"/>
      <c r="O675" s="19"/>
      <c r="P675" s="19"/>
      <c r="Q675" s="19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</row>
    <row r="676" customFormat="false" ht="18" hidden="false" customHeight="true" outlineLevel="0" collapsed="false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9"/>
      <c r="M676" s="19"/>
      <c r="N676" s="19"/>
      <c r="O676" s="19"/>
      <c r="P676" s="19"/>
      <c r="Q676" s="19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</row>
    <row r="677" customFormat="false" ht="18" hidden="false" customHeight="true" outlineLevel="0" collapsed="false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9"/>
      <c r="M677" s="19"/>
      <c r="N677" s="19"/>
      <c r="O677" s="19"/>
      <c r="P677" s="19"/>
      <c r="Q677" s="19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</row>
    <row r="678" customFormat="false" ht="18" hidden="false" customHeight="true" outlineLevel="0" collapsed="false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9"/>
      <c r="M678" s="19"/>
      <c r="N678" s="19"/>
      <c r="O678" s="19"/>
      <c r="P678" s="19"/>
      <c r="Q678" s="19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</row>
    <row r="679" customFormat="false" ht="18" hidden="false" customHeight="true" outlineLevel="0" collapsed="false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9"/>
      <c r="M679" s="19"/>
      <c r="N679" s="19"/>
      <c r="O679" s="19"/>
      <c r="P679" s="19"/>
      <c r="Q679" s="19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</row>
    <row r="680" customFormat="false" ht="18" hidden="false" customHeight="true" outlineLevel="0" collapsed="false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9"/>
      <c r="M680" s="19"/>
      <c r="N680" s="19"/>
      <c r="O680" s="19"/>
      <c r="P680" s="19"/>
      <c r="Q680" s="19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</row>
    <row r="681" customFormat="false" ht="18" hidden="false" customHeight="true" outlineLevel="0" collapsed="false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9"/>
      <c r="M681" s="19"/>
      <c r="N681" s="19"/>
      <c r="O681" s="19"/>
      <c r="P681" s="19"/>
      <c r="Q681" s="19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</row>
    <row r="682" customFormat="false" ht="18" hidden="false" customHeight="true" outlineLevel="0" collapsed="false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9"/>
      <c r="M682" s="19"/>
      <c r="N682" s="19"/>
      <c r="O682" s="19"/>
      <c r="P682" s="19"/>
      <c r="Q682" s="19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</row>
    <row r="683" customFormat="false" ht="18" hidden="false" customHeight="true" outlineLevel="0" collapsed="false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9"/>
      <c r="M683" s="19"/>
      <c r="N683" s="19"/>
      <c r="O683" s="19"/>
      <c r="P683" s="19"/>
      <c r="Q683" s="19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</row>
    <row r="684" customFormat="false" ht="18" hidden="false" customHeight="true" outlineLevel="0" collapsed="false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9"/>
      <c r="M684" s="19"/>
      <c r="N684" s="19"/>
      <c r="O684" s="19"/>
      <c r="P684" s="19"/>
      <c r="Q684" s="19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</row>
    <row r="685" customFormat="false" ht="18" hidden="false" customHeight="true" outlineLevel="0" collapsed="false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9"/>
      <c r="M685" s="19"/>
      <c r="N685" s="19"/>
      <c r="O685" s="19"/>
      <c r="P685" s="19"/>
      <c r="Q685" s="19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</row>
    <row r="686" customFormat="false" ht="18" hidden="false" customHeight="true" outlineLevel="0" collapsed="false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9"/>
      <c r="M686" s="19"/>
      <c r="N686" s="19"/>
      <c r="O686" s="19"/>
      <c r="P686" s="19"/>
      <c r="Q686" s="19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</row>
    <row r="687" customFormat="false" ht="18" hidden="false" customHeight="true" outlineLevel="0" collapsed="false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9"/>
      <c r="M687" s="19"/>
      <c r="N687" s="19"/>
      <c r="O687" s="19"/>
      <c r="P687" s="19"/>
      <c r="Q687" s="19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</row>
    <row r="688" customFormat="false" ht="18" hidden="false" customHeight="true" outlineLevel="0" collapsed="false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9"/>
      <c r="M688" s="19"/>
      <c r="N688" s="19"/>
      <c r="O688" s="19"/>
      <c r="P688" s="19"/>
      <c r="Q688" s="19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</row>
    <row r="689" customFormat="false" ht="18" hidden="false" customHeight="true" outlineLevel="0" collapsed="false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9"/>
      <c r="M689" s="19"/>
      <c r="N689" s="19"/>
      <c r="O689" s="19"/>
      <c r="P689" s="19"/>
      <c r="Q689" s="19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</row>
    <row r="690" customFormat="false" ht="18" hidden="false" customHeight="true" outlineLevel="0" collapsed="false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9"/>
      <c r="M690" s="19"/>
      <c r="N690" s="19"/>
      <c r="O690" s="19"/>
      <c r="P690" s="19"/>
      <c r="Q690" s="19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</row>
    <row r="691" customFormat="false" ht="18" hidden="false" customHeight="true" outlineLevel="0" collapsed="false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9"/>
      <c r="M691" s="19"/>
      <c r="N691" s="19"/>
      <c r="O691" s="19"/>
      <c r="P691" s="19"/>
      <c r="Q691" s="19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</row>
    <row r="692" customFormat="false" ht="18" hidden="false" customHeight="true" outlineLevel="0" collapsed="false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9"/>
      <c r="M692" s="19"/>
      <c r="N692" s="19"/>
      <c r="O692" s="19"/>
      <c r="P692" s="19"/>
      <c r="Q692" s="19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</row>
    <row r="693" customFormat="false" ht="18" hidden="false" customHeight="true" outlineLevel="0" collapsed="false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9"/>
      <c r="M693" s="19"/>
      <c r="N693" s="19"/>
      <c r="O693" s="19"/>
      <c r="P693" s="19"/>
      <c r="Q693" s="19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</row>
    <row r="694" customFormat="false" ht="18" hidden="false" customHeight="true" outlineLevel="0" collapsed="false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9"/>
      <c r="M694" s="19"/>
      <c r="N694" s="19"/>
      <c r="O694" s="19"/>
      <c r="P694" s="19"/>
      <c r="Q694" s="19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</row>
    <row r="695" customFormat="false" ht="18" hidden="false" customHeight="true" outlineLevel="0" collapsed="false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9"/>
      <c r="M695" s="19"/>
      <c r="N695" s="19"/>
      <c r="O695" s="19"/>
      <c r="P695" s="19"/>
      <c r="Q695" s="19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</row>
    <row r="696" customFormat="false" ht="18" hidden="false" customHeight="true" outlineLevel="0" collapsed="false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9"/>
      <c r="M696" s="19"/>
      <c r="N696" s="19"/>
      <c r="O696" s="19"/>
      <c r="P696" s="19"/>
      <c r="Q696" s="19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</row>
    <row r="697" customFormat="false" ht="18" hidden="false" customHeight="true" outlineLevel="0" collapsed="false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9"/>
      <c r="M697" s="19"/>
      <c r="N697" s="19"/>
      <c r="O697" s="19"/>
      <c r="P697" s="19"/>
      <c r="Q697" s="19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</row>
    <row r="698" customFormat="false" ht="18" hidden="false" customHeight="true" outlineLevel="0" collapsed="false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9"/>
      <c r="M698" s="19"/>
      <c r="N698" s="19"/>
      <c r="O698" s="19"/>
      <c r="P698" s="19"/>
      <c r="Q698" s="19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</row>
    <row r="699" customFormat="false" ht="18" hidden="false" customHeight="true" outlineLevel="0" collapsed="false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9"/>
      <c r="M699" s="19"/>
      <c r="N699" s="19"/>
      <c r="O699" s="19"/>
      <c r="P699" s="19"/>
      <c r="Q699" s="19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</row>
    <row r="700" customFormat="false" ht="18" hidden="false" customHeight="true" outlineLevel="0" collapsed="false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9"/>
      <c r="M700" s="19"/>
      <c r="N700" s="19"/>
      <c r="O700" s="19"/>
      <c r="P700" s="19"/>
      <c r="Q700" s="19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</row>
    <row r="701" customFormat="false" ht="18" hidden="false" customHeight="true" outlineLevel="0" collapsed="false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9"/>
      <c r="M701" s="19"/>
      <c r="N701" s="19"/>
      <c r="O701" s="19"/>
      <c r="P701" s="19"/>
      <c r="Q701" s="19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</row>
    <row r="702" customFormat="false" ht="18" hidden="false" customHeight="true" outlineLevel="0" collapsed="false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9"/>
      <c r="M702" s="19"/>
      <c r="N702" s="19"/>
      <c r="O702" s="19"/>
      <c r="P702" s="19"/>
      <c r="Q702" s="19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</row>
    <row r="703" customFormat="false" ht="18" hidden="false" customHeight="true" outlineLevel="0" collapsed="false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9"/>
      <c r="M703" s="19"/>
      <c r="N703" s="19"/>
      <c r="O703" s="19"/>
      <c r="P703" s="19"/>
      <c r="Q703" s="19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</row>
    <row r="704" customFormat="false" ht="18" hidden="false" customHeight="true" outlineLevel="0" collapsed="false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9"/>
      <c r="M704" s="19"/>
      <c r="N704" s="19"/>
      <c r="O704" s="19"/>
      <c r="P704" s="19"/>
      <c r="Q704" s="19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</row>
    <row r="705" customFormat="false" ht="18" hidden="false" customHeight="true" outlineLevel="0" collapsed="false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9"/>
      <c r="M705" s="19"/>
      <c r="N705" s="19"/>
      <c r="O705" s="19"/>
      <c r="P705" s="19"/>
      <c r="Q705" s="19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</row>
    <row r="706" customFormat="false" ht="18" hidden="false" customHeight="true" outlineLevel="0" collapsed="false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9"/>
      <c r="M706" s="19"/>
      <c r="N706" s="19"/>
      <c r="O706" s="19"/>
      <c r="P706" s="19"/>
      <c r="Q706" s="19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</row>
    <row r="707" customFormat="false" ht="18" hidden="false" customHeight="true" outlineLevel="0" collapsed="false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9"/>
      <c r="M707" s="19"/>
      <c r="N707" s="19"/>
      <c r="O707" s="19"/>
      <c r="P707" s="19"/>
      <c r="Q707" s="19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</row>
    <row r="708" customFormat="false" ht="18" hidden="false" customHeight="true" outlineLevel="0" collapsed="false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9"/>
      <c r="M708" s="19"/>
      <c r="N708" s="19"/>
      <c r="O708" s="19"/>
      <c r="P708" s="19"/>
      <c r="Q708" s="19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</row>
    <row r="709" customFormat="false" ht="18" hidden="false" customHeight="true" outlineLevel="0" collapsed="false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9"/>
      <c r="M709" s="19"/>
      <c r="N709" s="19"/>
      <c r="O709" s="19"/>
      <c r="P709" s="19"/>
      <c r="Q709" s="19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</row>
    <row r="710" customFormat="false" ht="18" hidden="false" customHeight="true" outlineLevel="0" collapsed="false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9"/>
      <c r="M710" s="19"/>
      <c r="N710" s="19"/>
      <c r="O710" s="19"/>
      <c r="P710" s="19"/>
      <c r="Q710" s="19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</row>
    <row r="711" customFormat="false" ht="18" hidden="false" customHeight="true" outlineLevel="0" collapsed="false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9"/>
      <c r="M711" s="19"/>
      <c r="N711" s="19"/>
      <c r="O711" s="19"/>
      <c r="P711" s="19"/>
      <c r="Q711" s="19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</row>
    <row r="712" customFormat="false" ht="18" hidden="false" customHeight="true" outlineLevel="0" collapsed="false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9"/>
      <c r="M712" s="19"/>
      <c r="N712" s="19"/>
      <c r="O712" s="19"/>
      <c r="P712" s="19"/>
      <c r="Q712" s="19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</row>
    <row r="713" customFormat="false" ht="18" hidden="false" customHeight="true" outlineLevel="0" collapsed="false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9"/>
      <c r="M713" s="19"/>
      <c r="N713" s="19"/>
      <c r="O713" s="19"/>
      <c r="P713" s="19"/>
      <c r="Q713" s="19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</row>
    <row r="714" customFormat="false" ht="18" hidden="false" customHeight="true" outlineLevel="0" collapsed="false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9"/>
      <c r="M714" s="19"/>
      <c r="N714" s="19"/>
      <c r="O714" s="19"/>
      <c r="P714" s="19"/>
      <c r="Q714" s="19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</row>
    <row r="715" customFormat="false" ht="18" hidden="false" customHeight="true" outlineLevel="0" collapsed="false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9"/>
      <c r="M715" s="19"/>
      <c r="N715" s="19"/>
      <c r="O715" s="19"/>
      <c r="P715" s="19"/>
      <c r="Q715" s="19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</row>
    <row r="716" customFormat="false" ht="18" hidden="false" customHeight="true" outlineLevel="0" collapsed="false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9"/>
      <c r="M716" s="19"/>
      <c r="N716" s="19"/>
      <c r="O716" s="19"/>
      <c r="P716" s="19"/>
      <c r="Q716" s="19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</row>
    <row r="717" customFormat="false" ht="18" hidden="false" customHeight="true" outlineLevel="0" collapsed="false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9"/>
      <c r="M717" s="19"/>
      <c r="N717" s="19"/>
      <c r="O717" s="19"/>
      <c r="P717" s="19"/>
      <c r="Q717" s="19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</row>
    <row r="718" customFormat="false" ht="18" hidden="false" customHeight="true" outlineLevel="0" collapsed="false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9"/>
      <c r="M718" s="19"/>
      <c r="N718" s="19"/>
      <c r="O718" s="19"/>
      <c r="P718" s="19"/>
      <c r="Q718" s="19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</row>
    <row r="719" customFormat="false" ht="18" hidden="false" customHeight="true" outlineLevel="0" collapsed="false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9"/>
      <c r="M719" s="19"/>
      <c r="N719" s="19"/>
      <c r="O719" s="19"/>
      <c r="P719" s="19"/>
      <c r="Q719" s="19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</row>
    <row r="720" customFormat="false" ht="18" hidden="false" customHeight="true" outlineLevel="0" collapsed="false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9"/>
      <c r="M720" s="19"/>
      <c r="N720" s="19"/>
      <c r="O720" s="19"/>
      <c r="P720" s="19"/>
      <c r="Q720" s="19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</row>
    <row r="721" customFormat="false" ht="18" hidden="false" customHeight="true" outlineLevel="0" collapsed="false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9"/>
      <c r="M721" s="19"/>
      <c r="N721" s="19"/>
      <c r="O721" s="19"/>
      <c r="P721" s="19"/>
      <c r="Q721" s="19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</row>
    <row r="722" customFormat="false" ht="18" hidden="false" customHeight="true" outlineLevel="0" collapsed="false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9"/>
      <c r="M722" s="19"/>
      <c r="N722" s="19"/>
      <c r="O722" s="19"/>
      <c r="P722" s="19"/>
      <c r="Q722" s="19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</row>
    <row r="723" customFormat="false" ht="18" hidden="false" customHeight="true" outlineLevel="0" collapsed="false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9"/>
      <c r="M723" s="19"/>
      <c r="N723" s="19"/>
      <c r="O723" s="19"/>
      <c r="P723" s="19"/>
      <c r="Q723" s="19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</row>
    <row r="724" customFormat="false" ht="18" hidden="false" customHeight="true" outlineLevel="0" collapsed="false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9"/>
      <c r="M724" s="19"/>
      <c r="N724" s="19"/>
      <c r="O724" s="19"/>
      <c r="P724" s="19"/>
      <c r="Q724" s="19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</row>
    <row r="725" customFormat="false" ht="18" hidden="false" customHeight="true" outlineLevel="0" collapsed="false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9"/>
      <c r="M725" s="19"/>
      <c r="N725" s="19"/>
      <c r="O725" s="19"/>
      <c r="P725" s="19"/>
      <c r="Q725" s="19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</row>
    <row r="726" customFormat="false" ht="18" hidden="false" customHeight="true" outlineLevel="0" collapsed="false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9"/>
      <c r="M726" s="19"/>
      <c r="N726" s="19"/>
      <c r="O726" s="19"/>
      <c r="P726" s="19"/>
      <c r="Q726" s="19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</row>
    <row r="727" customFormat="false" ht="18" hidden="false" customHeight="true" outlineLevel="0" collapsed="false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9"/>
      <c r="M727" s="19"/>
      <c r="N727" s="19"/>
      <c r="O727" s="19"/>
      <c r="P727" s="19"/>
      <c r="Q727" s="19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</row>
    <row r="728" customFormat="false" ht="18" hidden="false" customHeight="true" outlineLevel="0" collapsed="false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9"/>
      <c r="M728" s="19"/>
      <c r="N728" s="19"/>
      <c r="O728" s="19"/>
      <c r="P728" s="19"/>
      <c r="Q728" s="19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</row>
    <row r="729" customFormat="false" ht="18" hidden="false" customHeight="true" outlineLevel="0" collapsed="false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9"/>
      <c r="M729" s="19"/>
      <c r="N729" s="19"/>
      <c r="O729" s="19"/>
      <c r="P729" s="19"/>
      <c r="Q729" s="19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</row>
    <row r="730" customFormat="false" ht="18" hidden="false" customHeight="true" outlineLevel="0" collapsed="false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9"/>
      <c r="M730" s="19"/>
      <c r="N730" s="19"/>
      <c r="O730" s="19"/>
      <c r="P730" s="19"/>
      <c r="Q730" s="19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</row>
    <row r="731" customFormat="false" ht="18" hidden="false" customHeight="true" outlineLevel="0" collapsed="false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9"/>
      <c r="M731" s="19"/>
      <c r="N731" s="19"/>
      <c r="O731" s="19"/>
      <c r="P731" s="19"/>
      <c r="Q731" s="19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</row>
    <row r="732" customFormat="false" ht="18" hidden="false" customHeight="true" outlineLevel="0" collapsed="false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9"/>
      <c r="M732" s="19"/>
      <c r="N732" s="19"/>
      <c r="O732" s="19"/>
      <c r="P732" s="19"/>
      <c r="Q732" s="19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</row>
    <row r="733" customFormat="false" ht="18" hidden="false" customHeight="true" outlineLevel="0" collapsed="false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9"/>
      <c r="M733" s="19"/>
      <c r="N733" s="19"/>
      <c r="O733" s="19"/>
      <c r="P733" s="19"/>
      <c r="Q733" s="19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</row>
    <row r="734" customFormat="false" ht="18" hidden="false" customHeight="true" outlineLevel="0" collapsed="false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9"/>
      <c r="M734" s="19"/>
      <c r="N734" s="19"/>
      <c r="O734" s="19"/>
      <c r="P734" s="19"/>
      <c r="Q734" s="19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</row>
    <row r="735" customFormat="false" ht="18" hidden="false" customHeight="true" outlineLevel="0" collapsed="false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9"/>
      <c r="M735" s="19"/>
      <c r="N735" s="19"/>
      <c r="O735" s="19"/>
      <c r="P735" s="19"/>
      <c r="Q735" s="19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</row>
    <row r="736" customFormat="false" ht="18" hidden="false" customHeight="true" outlineLevel="0" collapsed="false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9"/>
      <c r="M736" s="19"/>
      <c r="N736" s="19"/>
      <c r="O736" s="19"/>
      <c r="P736" s="19"/>
      <c r="Q736" s="19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</row>
    <row r="737" customFormat="false" ht="18" hidden="false" customHeight="true" outlineLevel="0" collapsed="false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9"/>
      <c r="M737" s="19"/>
      <c r="N737" s="19"/>
      <c r="O737" s="19"/>
      <c r="P737" s="19"/>
      <c r="Q737" s="19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</row>
    <row r="738" customFormat="false" ht="18" hidden="false" customHeight="true" outlineLevel="0" collapsed="false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9"/>
      <c r="M738" s="19"/>
      <c r="N738" s="19"/>
      <c r="O738" s="19"/>
      <c r="P738" s="19"/>
      <c r="Q738" s="19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</row>
    <row r="739" customFormat="false" ht="18" hidden="false" customHeight="true" outlineLevel="0" collapsed="false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9"/>
      <c r="M739" s="19"/>
      <c r="N739" s="19"/>
      <c r="O739" s="19"/>
      <c r="P739" s="19"/>
      <c r="Q739" s="19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</row>
    <row r="740" customFormat="false" ht="18" hidden="false" customHeight="true" outlineLevel="0" collapsed="false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9"/>
      <c r="M740" s="19"/>
      <c r="N740" s="19"/>
      <c r="O740" s="19"/>
      <c r="P740" s="19"/>
      <c r="Q740" s="19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</row>
    <row r="741" customFormat="false" ht="18" hidden="false" customHeight="true" outlineLevel="0" collapsed="false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9"/>
      <c r="M741" s="19"/>
      <c r="N741" s="19"/>
      <c r="O741" s="19"/>
      <c r="P741" s="19"/>
      <c r="Q741" s="19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</row>
    <row r="742" customFormat="false" ht="18" hidden="false" customHeight="true" outlineLevel="0" collapsed="false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9"/>
      <c r="M742" s="19"/>
      <c r="N742" s="19"/>
      <c r="O742" s="19"/>
      <c r="P742" s="19"/>
      <c r="Q742" s="19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</row>
    <row r="743" customFormat="false" ht="18" hidden="false" customHeight="true" outlineLevel="0" collapsed="false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9"/>
      <c r="M743" s="19"/>
      <c r="N743" s="19"/>
      <c r="O743" s="19"/>
      <c r="P743" s="19"/>
      <c r="Q743" s="19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</row>
    <row r="744" customFormat="false" ht="18" hidden="false" customHeight="true" outlineLevel="0" collapsed="false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9"/>
      <c r="M744" s="19"/>
      <c r="N744" s="19"/>
      <c r="O744" s="19"/>
      <c r="P744" s="19"/>
      <c r="Q744" s="19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</row>
    <row r="745" customFormat="false" ht="18" hidden="false" customHeight="true" outlineLevel="0" collapsed="false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9"/>
      <c r="M745" s="19"/>
      <c r="N745" s="19"/>
      <c r="O745" s="19"/>
      <c r="P745" s="19"/>
      <c r="Q745" s="19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</row>
    <row r="746" customFormat="false" ht="18" hidden="false" customHeight="true" outlineLevel="0" collapsed="false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9"/>
      <c r="M746" s="19"/>
      <c r="N746" s="19"/>
      <c r="O746" s="19"/>
      <c r="P746" s="19"/>
      <c r="Q746" s="19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</row>
    <row r="747" customFormat="false" ht="18" hidden="false" customHeight="true" outlineLevel="0" collapsed="false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9"/>
      <c r="M747" s="19"/>
      <c r="N747" s="19"/>
      <c r="O747" s="19"/>
      <c r="P747" s="19"/>
      <c r="Q747" s="19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</row>
    <row r="748" customFormat="false" ht="18" hidden="false" customHeight="true" outlineLevel="0" collapsed="false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9"/>
      <c r="M748" s="19"/>
      <c r="N748" s="19"/>
      <c r="O748" s="19"/>
      <c r="P748" s="19"/>
      <c r="Q748" s="19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</row>
    <row r="749" customFormat="false" ht="18" hidden="false" customHeight="true" outlineLevel="0" collapsed="false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9"/>
      <c r="M749" s="19"/>
      <c r="N749" s="19"/>
      <c r="O749" s="19"/>
      <c r="P749" s="19"/>
      <c r="Q749" s="19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</row>
    <row r="750" customFormat="false" ht="18" hidden="false" customHeight="true" outlineLevel="0" collapsed="false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9"/>
      <c r="M750" s="19"/>
      <c r="N750" s="19"/>
      <c r="O750" s="19"/>
      <c r="P750" s="19"/>
      <c r="Q750" s="19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</row>
    <row r="751" customFormat="false" ht="18" hidden="false" customHeight="true" outlineLevel="0" collapsed="false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9"/>
      <c r="M751" s="19"/>
      <c r="N751" s="19"/>
      <c r="O751" s="19"/>
      <c r="P751" s="19"/>
      <c r="Q751" s="19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</row>
    <row r="752" customFormat="false" ht="18" hidden="false" customHeight="true" outlineLevel="0" collapsed="false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9"/>
      <c r="M752" s="19"/>
      <c r="N752" s="19"/>
      <c r="O752" s="19"/>
      <c r="P752" s="19"/>
      <c r="Q752" s="19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</row>
    <row r="753" customFormat="false" ht="18" hidden="false" customHeight="true" outlineLevel="0" collapsed="false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9"/>
      <c r="M753" s="19"/>
      <c r="N753" s="19"/>
      <c r="O753" s="19"/>
      <c r="P753" s="19"/>
      <c r="Q753" s="19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</row>
    <row r="754" customFormat="false" ht="18" hidden="false" customHeight="true" outlineLevel="0" collapsed="false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9"/>
      <c r="M754" s="19"/>
      <c r="N754" s="19"/>
      <c r="O754" s="19"/>
      <c r="P754" s="19"/>
      <c r="Q754" s="19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</row>
    <row r="755" customFormat="false" ht="18" hidden="false" customHeight="true" outlineLevel="0" collapsed="false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9"/>
      <c r="M755" s="19"/>
      <c r="N755" s="19"/>
      <c r="O755" s="19"/>
      <c r="P755" s="19"/>
      <c r="Q755" s="19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</row>
    <row r="756" customFormat="false" ht="18" hidden="false" customHeight="true" outlineLevel="0" collapsed="false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9"/>
      <c r="M756" s="19"/>
      <c r="N756" s="19"/>
      <c r="O756" s="19"/>
      <c r="P756" s="19"/>
      <c r="Q756" s="19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</row>
    <row r="757" customFormat="false" ht="18" hidden="false" customHeight="true" outlineLevel="0" collapsed="false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9"/>
      <c r="M757" s="19"/>
      <c r="N757" s="19"/>
      <c r="O757" s="19"/>
      <c r="P757" s="19"/>
      <c r="Q757" s="19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</row>
    <row r="758" customFormat="false" ht="18" hidden="false" customHeight="true" outlineLevel="0" collapsed="false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9"/>
      <c r="M758" s="19"/>
      <c r="N758" s="19"/>
      <c r="O758" s="19"/>
      <c r="P758" s="19"/>
      <c r="Q758" s="19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</row>
    <row r="759" customFormat="false" ht="18" hidden="false" customHeight="true" outlineLevel="0" collapsed="false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9"/>
      <c r="M759" s="19"/>
      <c r="N759" s="19"/>
      <c r="O759" s="19"/>
      <c r="P759" s="19"/>
      <c r="Q759" s="19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</row>
    <row r="760" customFormat="false" ht="18" hidden="false" customHeight="true" outlineLevel="0" collapsed="false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9"/>
      <c r="M760" s="19"/>
      <c r="N760" s="19"/>
      <c r="O760" s="19"/>
      <c r="P760" s="19"/>
      <c r="Q760" s="19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</row>
    <row r="761" customFormat="false" ht="18" hidden="false" customHeight="true" outlineLevel="0" collapsed="false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9"/>
      <c r="M761" s="19"/>
      <c r="N761" s="19"/>
      <c r="O761" s="19"/>
      <c r="P761" s="19"/>
      <c r="Q761" s="19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</row>
    <row r="762" customFormat="false" ht="18" hidden="false" customHeight="true" outlineLevel="0" collapsed="false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9"/>
      <c r="M762" s="19"/>
      <c r="N762" s="19"/>
      <c r="O762" s="19"/>
      <c r="P762" s="19"/>
      <c r="Q762" s="19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</row>
    <row r="763" customFormat="false" ht="18" hidden="false" customHeight="true" outlineLevel="0" collapsed="false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9"/>
      <c r="M763" s="19"/>
      <c r="N763" s="19"/>
      <c r="O763" s="19"/>
      <c r="P763" s="19"/>
      <c r="Q763" s="19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</row>
    <row r="764" customFormat="false" ht="18" hidden="false" customHeight="true" outlineLevel="0" collapsed="false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9"/>
      <c r="M764" s="19"/>
      <c r="N764" s="19"/>
      <c r="O764" s="19"/>
      <c r="P764" s="19"/>
      <c r="Q764" s="19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</row>
    <row r="765" customFormat="false" ht="18" hidden="false" customHeight="true" outlineLevel="0" collapsed="false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9"/>
      <c r="M765" s="19"/>
      <c r="N765" s="19"/>
      <c r="O765" s="19"/>
      <c r="P765" s="19"/>
      <c r="Q765" s="19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</row>
    <row r="766" customFormat="false" ht="18" hidden="false" customHeight="true" outlineLevel="0" collapsed="false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9"/>
      <c r="M766" s="19"/>
      <c r="N766" s="19"/>
      <c r="O766" s="19"/>
      <c r="P766" s="19"/>
      <c r="Q766" s="19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</row>
    <row r="767" customFormat="false" ht="18" hidden="false" customHeight="true" outlineLevel="0" collapsed="false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9"/>
      <c r="M767" s="19"/>
      <c r="N767" s="19"/>
      <c r="O767" s="19"/>
      <c r="P767" s="19"/>
      <c r="Q767" s="19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</row>
    <row r="768" customFormat="false" ht="18" hidden="false" customHeight="true" outlineLevel="0" collapsed="false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9"/>
      <c r="M768" s="19"/>
      <c r="N768" s="19"/>
      <c r="O768" s="19"/>
      <c r="P768" s="19"/>
      <c r="Q768" s="19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</row>
    <row r="769" customFormat="false" ht="18" hidden="false" customHeight="true" outlineLevel="0" collapsed="false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9"/>
      <c r="M769" s="19"/>
      <c r="N769" s="19"/>
      <c r="O769" s="19"/>
      <c r="P769" s="19"/>
      <c r="Q769" s="19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</row>
    <row r="770" customFormat="false" ht="18" hidden="false" customHeight="true" outlineLevel="0" collapsed="false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9"/>
      <c r="M770" s="19"/>
      <c r="N770" s="19"/>
      <c r="O770" s="19"/>
      <c r="P770" s="19"/>
      <c r="Q770" s="19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</row>
    <row r="771" customFormat="false" ht="18" hidden="false" customHeight="true" outlineLevel="0" collapsed="false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9"/>
      <c r="M771" s="19"/>
      <c r="N771" s="19"/>
      <c r="O771" s="19"/>
      <c r="P771" s="19"/>
      <c r="Q771" s="19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</row>
    <row r="772" customFormat="false" ht="18" hidden="false" customHeight="true" outlineLevel="0" collapsed="false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9"/>
      <c r="M772" s="19"/>
      <c r="N772" s="19"/>
      <c r="O772" s="19"/>
      <c r="P772" s="19"/>
      <c r="Q772" s="19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</row>
    <row r="773" customFormat="false" ht="18" hidden="false" customHeight="true" outlineLevel="0" collapsed="false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9"/>
      <c r="M773" s="19"/>
      <c r="N773" s="19"/>
      <c r="O773" s="19"/>
      <c r="P773" s="19"/>
      <c r="Q773" s="19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</row>
    <row r="774" customFormat="false" ht="18" hidden="false" customHeight="true" outlineLevel="0" collapsed="false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9"/>
      <c r="M774" s="19"/>
      <c r="N774" s="19"/>
      <c r="O774" s="19"/>
      <c r="P774" s="19"/>
      <c r="Q774" s="19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</row>
    <row r="775" customFormat="false" ht="18" hidden="false" customHeight="true" outlineLevel="0" collapsed="false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9"/>
      <c r="M775" s="19"/>
      <c r="N775" s="19"/>
      <c r="O775" s="19"/>
      <c r="P775" s="19"/>
      <c r="Q775" s="19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</row>
    <row r="776" customFormat="false" ht="18" hidden="false" customHeight="true" outlineLevel="0" collapsed="false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9"/>
      <c r="M776" s="19"/>
      <c r="N776" s="19"/>
      <c r="O776" s="19"/>
      <c r="P776" s="19"/>
      <c r="Q776" s="19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</row>
    <row r="777" customFormat="false" ht="18" hidden="false" customHeight="true" outlineLevel="0" collapsed="false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9"/>
      <c r="M777" s="19"/>
      <c r="N777" s="19"/>
      <c r="O777" s="19"/>
      <c r="P777" s="19"/>
      <c r="Q777" s="19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</row>
    <row r="778" customFormat="false" ht="18" hidden="false" customHeight="true" outlineLevel="0" collapsed="false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9"/>
      <c r="M778" s="19"/>
      <c r="N778" s="19"/>
      <c r="O778" s="19"/>
      <c r="P778" s="19"/>
      <c r="Q778" s="19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</row>
    <row r="779" customFormat="false" ht="18" hidden="false" customHeight="true" outlineLevel="0" collapsed="false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9"/>
      <c r="M779" s="19"/>
      <c r="N779" s="19"/>
      <c r="O779" s="19"/>
      <c r="P779" s="19"/>
      <c r="Q779" s="19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</row>
    <row r="780" customFormat="false" ht="18" hidden="false" customHeight="true" outlineLevel="0" collapsed="false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9"/>
      <c r="M780" s="19"/>
      <c r="N780" s="19"/>
      <c r="O780" s="19"/>
      <c r="P780" s="19"/>
      <c r="Q780" s="19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</row>
    <row r="781" customFormat="false" ht="18" hidden="false" customHeight="true" outlineLevel="0" collapsed="false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9"/>
      <c r="M781" s="19"/>
      <c r="N781" s="19"/>
      <c r="O781" s="19"/>
      <c r="P781" s="19"/>
      <c r="Q781" s="19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</row>
    <row r="782" customFormat="false" ht="18" hidden="false" customHeight="true" outlineLevel="0" collapsed="false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9"/>
      <c r="M782" s="19"/>
      <c r="N782" s="19"/>
      <c r="O782" s="19"/>
      <c r="P782" s="19"/>
      <c r="Q782" s="19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</row>
    <row r="783" customFormat="false" ht="18" hidden="false" customHeight="true" outlineLevel="0" collapsed="false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9"/>
      <c r="M783" s="19"/>
      <c r="N783" s="19"/>
      <c r="O783" s="19"/>
      <c r="P783" s="19"/>
      <c r="Q783" s="19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</row>
    <row r="784" customFormat="false" ht="18" hidden="false" customHeight="true" outlineLevel="0" collapsed="false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9"/>
      <c r="M784" s="19"/>
      <c r="N784" s="19"/>
      <c r="O784" s="19"/>
      <c r="P784" s="19"/>
      <c r="Q784" s="19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</row>
    <row r="785" customFormat="false" ht="18" hidden="false" customHeight="true" outlineLevel="0" collapsed="false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9"/>
      <c r="M785" s="19"/>
      <c r="N785" s="19"/>
      <c r="O785" s="19"/>
      <c r="P785" s="19"/>
      <c r="Q785" s="19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</row>
    <row r="786" customFormat="false" ht="18" hidden="false" customHeight="true" outlineLevel="0" collapsed="false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9"/>
      <c r="M786" s="19"/>
      <c r="N786" s="19"/>
      <c r="O786" s="19"/>
      <c r="P786" s="19"/>
      <c r="Q786" s="19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</row>
    <row r="787" customFormat="false" ht="18" hidden="false" customHeight="true" outlineLevel="0" collapsed="false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9"/>
      <c r="M787" s="19"/>
      <c r="N787" s="19"/>
      <c r="O787" s="19"/>
      <c r="P787" s="19"/>
      <c r="Q787" s="19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</row>
    <row r="788" customFormat="false" ht="18" hidden="false" customHeight="true" outlineLevel="0" collapsed="false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9"/>
      <c r="M788" s="19"/>
      <c r="N788" s="19"/>
      <c r="O788" s="19"/>
      <c r="P788" s="19"/>
      <c r="Q788" s="19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</row>
    <row r="789" customFormat="false" ht="18" hidden="false" customHeight="true" outlineLevel="0" collapsed="false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9"/>
      <c r="M789" s="19"/>
      <c r="N789" s="19"/>
      <c r="O789" s="19"/>
      <c r="P789" s="19"/>
      <c r="Q789" s="19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</row>
    <row r="790" customFormat="false" ht="18" hidden="false" customHeight="true" outlineLevel="0" collapsed="false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9"/>
      <c r="M790" s="19"/>
      <c r="N790" s="19"/>
      <c r="O790" s="19"/>
      <c r="P790" s="19"/>
      <c r="Q790" s="19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</row>
    <row r="791" customFormat="false" ht="18" hidden="false" customHeight="true" outlineLevel="0" collapsed="false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9"/>
      <c r="M791" s="19"/>
      <c r="N791" s="19"/>
      <c r="O791" s="19"/>
      <c r="P791" s="19"/>
      <c r="Q791" s="19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</row>
    <row r="792" customFormat="false" ht="18" hidden="false" customHeight="true" outlineLevel="0" collapsed="false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9"/>
      <c r="M792" s="19"/>
      <c r="N792" s="19"/>
      <c r="O792" s="19"/>
      <c r="P792" s="19"/>
      <c r="Q792" s="19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</row>
    <row r="793" customFormat="false" ht="18" hidden="false" customHeight="true" outlineLevel="0" collapsed="false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9"/>
      <c r="M793" s="19"/>
      <c r="N793" s="19"/>
      <c r="O793" s="19"/>
      <c r="P793" s="19"/>
      <c r="Q793" s="19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</row>
    <row r="794" customFormat="false" ht="18" hidden="false" customHeight="true" outlineLevel="0" collapsed="false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9"/>
      <c r="M794" s="19"/>
      <c r="N794" s="19"/>
      <c r="O794" s="19"/>
      <c r="P794" s="19"/>
      <c r="Q794" s="19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</row>
    <row r="795" customFormat="false" ht="18" hidden="false" customHeight="true" outlineLevel="0" collapsed="false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9"/>
      <c r="M795" s="19"/>
      <c r="N795" s="19"/>
      <c r="O795" s="19"/>
      <c r="P795" s="19"/>
      <c r="Q795" s="19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</row>
    <row r="796" customFormat="false" ht="18" hidden="false" customHeight="true" outlineLevel="0" collapsed="false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9"/>
      <c r="M796" s="19"/>
      <c r="N796" s="19"/>
      <c r="O796" s="19"/>
      <c r="P796" s="19"/>
      <c r="Q796" s="19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</row>
    <row r="797" customFormat="false" ht="18" hidden="false" customHeight="true" outlineLevel="0" collapsed="false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9"/>
      <c r="M797" s="19"/>
      <c r="N797" s="19"/>
      <c r="O797" s="19"/>
      <c r="P797" s="19"/>
      <c r="Q797" s="19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</row>
    <row r="798" customFormat="false" ht="18" hidden="false" customHeight="true" outlineLevel="0" collapsed="false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9"/>
      <c r="M798" s="19"/>
      <c r="N798" s="19"/>
      <c r="O798" s="19"/>
      <c r="P798" s="19"/>
      <c r="Q798" s="19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</row>
    <row r="799" customFormat="false" ht="18" hidden="false" customHeight="true" outlineLevel="0" collapsed="false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9"/>
      <c r="M799" s="19"/>
      <c r="N799" s="19"/>
      <c r="O799" s="19"/>
      <c r="P799" s="19"/>
      <c r="Q799" s="19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</row>
    <row r="800" customFormat="false" ht="18" hidden="false" customHeight="true" outlineLevel="0" collapsed="false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9"/>
      <c r="M800" s="19"/>
      <c r="N800" s="19"/>
      <c r="O800" s="19"/>
      <c r="P800" s="19"/>
      <c r="Q800" s="19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</row>
    <row r="801" customFormat="false" ht="18" hidden="false" customHeight="true" outlineLevel="0" collapsed="false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9"/>
      <c r="M801" s="19"/>
      <c r="N801" s="19"/>
      <c r="O801" s="19"/>
      <c r="P801" s="19"/>
      <c r="Q801" s="19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</row>
    <row r="802" customFormat="false" ht="18" hidden="false" customHeight="true" outlineLevel="0" collapsed="false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9"/>
      <c r="M802" s="19"/>
      <c r="N802" s="19"/>
      <c r="O802" s="19"/>
      <c r="P802" s="19"/>
      <c r="Q802" s="19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</row>
    <row r="803" customFormat="false" ht="18" hidden="false" customHeight="true" outlineLevel="0" collapsed="false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9"/>
      <c r="M803" s="19"/>
      <c r="N803" s="19"/>
      <c r="O803" s="19"/>
      <c r="P803" s="19"/>
      <c r="Q803" s="19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</row>
    <row r="804" customFormat="false" ht="18" hidden="false" customHeight="true" outlineLevel="0" collapsed="false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9"/>
      <c r="M804" s="19"/>
      <c r="N804" s="19"/>
      <c r="O804" s="19"/>
      <c r="P804" s="19"/>
      <c r="Q804" s="19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</row>
    <row r="805" customFormat="false" ht="18" hidden="false" customHeight="true" outlineLevel="0" collapsed="false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9"/>
      <c r="M805" s="19"/>
      <c r="N805" s="19"/>
      <c r="O805" s="19"/>
      <c r="P805" s="19"/>
      <c r="Q805" s="19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</row>
    <row r="806" customFormat="false" ht="18" hidden="false" customHeight="true" outlineLevel="0" collapsed="false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9"/>
      <c r="M806" s="19"/>
      <c r="N806" s="19"/>
      <c r="O806" s="19"/>
      <c r="P806" s="19"/>
      <c r="Q806" s="19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</row>
    <row r="807" customFormat="false" ht="18" hidden="false" customHeight="true" outlineLevel="0" collapsed="false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9"/>
      <c r="M807" s="19"/>
      <c r="N807" s="19"/>
      <c r="O807" s="19"/>
      <c r="P807" s="19"/>
      <c r="Q807" s="19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</row>
    <row r="808" customFormat="false" ht="18" hidden="false" customHeight="true" outlineLevel="0" collapsed="false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9"/>
      <c r="M808" s="19"/>
      <c r="N808" s="19"/>
      <c r="O808" s="19"/>
      <c r="P808" s="19"/>
      <c r="Q808" s="19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</row>
    <row r="809" customFormat="false" ht="18" hidden="false" customHeight="true" outlineLevel="0" collapsed="false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9"/>
      <c r="M809" s="19"/>
      <c r="N809" s="19"/>
      <c r="O809" s="19"/>
      <c r="P809" s="19"/>
      <c r="Q809" s="19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</row>
    <row r="810" customFormat="false" ht="18" hidden="false" customHeight="true" outlineLevel="0" collapsed="false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9"/>
      <c r="M810" s="19"/>
      <c r="N810" s="19"/>
      <c r="O810" s="19"/>
      <c r="P810" s="19"/>
      <c r="Q810" s="19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</row>
    <row r="811" customFormat="false" ht="18" hidden="false" customHeight="true" outlineLevel="0" collapsed="false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9"/>
      <c r="M811" s="19"/>
      <c r="N811" s="19"/>
      <c r="O811" s="19"/>
      <c r="P811" s="19"/>
      <c r="Q811" s="19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</row>
    <row r="812" customFormat="false" ht="18" hidden="false" customHeight="true" outlineLevel="0" collapsed="false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9"/>
      <c r="M812" s="19"/>
      <c r="N812" s="19"/>
      <c r="O812" s="19"/>
      <c r="P812" s="19"/>
      <c r="Q812" s="19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</row>
    <row r="813" customFormat="false" ht="18" hidden="false" customHeight="true" outlineLevel="0" collapsed="false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9"/>
      <c r="M813" s="19"/>
      <c r="N813" s="19"/>
      <c r="O813" s="19"/>
      <c r="P813" s="19"/>
      <c r="Q813" s="19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</row>
    <row r="814" customFormat="false" ht="18" hidden="false" customHeight="true" outlineLevel="0" collapsed="false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9"/>
      <c r="M814" s="19"/>
      <c r="N814" s="19"/>
      <c r="O814" s="19"/>
      <c r="P814" s="19"/>
      <c r="Q814" s="19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</row>
    <row r="815" customFormat="false" ht="18" hidden="false" customHeight="true" outlineLevel="0" collapsed="false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9"/>
      <c r="M815" s="19"/>
      <c r="N815" s="19"/>
      <c r="O815" s="19"/>
      <c r="P815" s="19"/>
      <c r="Q815" s="19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</row>
    <row r="816" customFormat="false" ht="18" hidden="false" customHeight="true" outlineLevel="0" collapsed="false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9"/>
      <c r="M816" s="19"/>
      <c r="N816" s="19"/>
      <c r="O816" s="19"/>
      <c r="P816" s="19"/>
      <c r="Q816" s="19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</row>
    <row r="817" customFormat="false" ht="18" hidden="false" customHeight="true" outlineLevel="0" collapsed="false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9"/>
      <c r="M817" s="19"/>
      <c r="N817" s="19"/>
      <c r="O817" s="19"/>
      <c r="P817" s="19"/>
      <c r="Q817" s="19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</row>
    <row r="818" customFormat="false" ht="18" hidden="false" customHeight="true" outlineLevel="0" collapsed="false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9"/>
      <c r="M818" s="19"/>
      <c r="N818" s="19"/>
      <c r="O818" s="19"/>
      <c r="P818" s="19"/>
      <c r="Q818" s="19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</row>
    <row r="819" customFormat="false" ht="18" hidden="false" customHeight="true" outlineLevel="0" collapsed="false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9"/>
      <c r="M819" s="19"/>
      <c r="N819" s="19"/>
      <c r="O819" s="19"/>
      <c r="P819" s="19"/>
      <c r="Q819" s="19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</row>
    <row r="820" customFormat="false" ht="18" hidden="false" customHeight="true" outlineLevel="0" collapsed="false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9"/>
      <c r="M820" s="19"/>
      <c r="N820" s="19"/>
      <c r="O820" s="19"/>
      <c r="P820" s="19"/>
      <c r="Q820" s="19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</row>
    <row r="821" customFormat="false" ht="18" hidden="false" customHeight="true" outlineLevel="0" collapsed="false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9"/>
      <c r="M821" s="19"/>
      <c r="N821" s="19"/>
      <c r="O821" s="19"/>
      <c r="P821" s="19"/>
      <c r="Q821" s="19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</row>
    <row r="822" customFormat="false" ht="18" hidden="false" customHeight="true" outlineLevel="0" collapsed="false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9"/>
      <c r="M822" s="19"/>
      <c r="N822" s="19"/>
      <c r="O822" s="19"/>
      <c r="P822" s="19"/>
      <c r="Q822" s="19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</row>
    <row r="823" customFormat="false" ht="18" hidden="false" customHeight="true" outlineLevel="0" collapsed="false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9"/>
      <c r="M823" s="19"/>
      <c r="N823" s="19"/>
      <c r="O823" s="19"/>
      <c r="P823" s="19"/>
      <c r="Q823" s="19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</row>
    <row r="824" customFormat="false" ht="18" hidden="false" customHeight="true" outlineLevel="0" collapsed="false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9"/>
      <c r="M824" s="19"/>
      <c r="N824" s="19"/>
      <c r="O824" s="19"/>
      <c r="P824" s="19"/>
      <c r="Q824" s="19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</row>
    <row r="825" customFormat="false" ht="18" hidden="false" customHeight="true" outlineLevel="0" collapsed="false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9"/>
      <c r="M825" s="19"/>
      <c r="N825" s="19"/>
      <c r="O825" s="19"/>
      <c r="P825" s="19"/>
      <c r="Q825" s="19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</row>
    <row r="826" customFormat="false" ht="18" hidden="false" customHeight="true" outlineLevel="0" collapsed="false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9"/>
      <c r="M826" s="19"/>
      <c r="N826" s="19"/>
      <c r="O826" s="19"/>
      <c r="P826" s="19"/>
      <c r="Q826" s="19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</row>
    <row r="827" customFormat="false" ht="18" hidden="false" customHeight="true" outlineLevel="0" collapsed="false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9"/>
      <c r="M827" s="19"/>
      <c r="N827" s="19"/>
      <c r="O827" s="19"/>
      <c r="P827" s="19"/>
      <c r="Q827" s="19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</row>
    <row r="828" customFormat="false" ht="18" hidden="false" customHeight="true" outlineLevel="0" collapsed="false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9"/>
      <c r="M828" s="19"/>
      <c r="N828" s="19"/>
      <c r="O828" s="19"/>
      <c r="P828" s="19"/>
      <c r="Q828" s="19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</row>
    <row r="829" customFormat="false" ht="18" hidden="false" customHeight="true" outlineLevel="0" collapsed="false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9"/>
      <c r="M829" s="19"/>
      <c r="N829" s="19"/>
      <c r="O829" s="19"/>
      <c r="P829" s="19"/>
      <c r="Q829" s="19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</row>
    <row r="830" customFormat="false" ht="18" hidden="false" customHeight="true" outlineLevel="0" collapsed="false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9"/>
      <c r="M830" s="19"/>
      <c r="N830" s="19"/>
      <c r="O830" s="19"/>
      <c r="P830" s="19"/>
      <c r="Q830" s="19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</row>
    <row r="831" customFormat="false" ht="18" hidden="false" customHeight="true" outlineLevel="0" collapsed="false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9"/>
      <c r="M831" s="19"/>
      <c r="N831" s="19"/>
      <c r="O831" s="19"/>
      <c r="P831" s="19"/>
      <c r="Q831" s="19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</row>
    <row r="832" customFormat="false" ht="18" hidden="false" customHeight="true" outlineLevel="0" collapsed="false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9"/>
      <c r="M832" s="19"/>
      <c r="N832" s="19"/>
      <c r="O832" s="19"/>
      <c r="P832" s="19"/>
      <c r="Q832" s="19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</row>
    <row r="833" customFormat="false" ht="18" hidden="false" customHeight="true" outlineLevel="0" collapsed="false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9"/>
      <c r="M833" s="19"/>
      <c r="N833" s="19"/>
      <c r="O833" s="19"/>
      <c r="P833" s="19"/>
      <c r="Q833" s="19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</row>
    <row r="834" customFormat="false" ht="18" hidden="false" customHeight="true" outlineLevel="0" collapsed="false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9"/>
      <c r="M834" s="19"/>
      <c r="N834" s="19"/>
      <c r="O834" s="19"/>
      <c r="P834" s="19"/>
      <c r="Q834" s="19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</row>
    <row r="835" customFormat="false" ht="18" hidden="false" customHeight="true" outlineLevel="0" collapsed="false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9"/>
      <c r="M835" s="19"/>
      <c r="N835" s="19"/>
      <c r="O835" s="19"/>
      <c r="P835" s="19"/>
      <c r="Q835" s="19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</row>
    <row r="836" customFormat="false" ht="18" hidden="false" customHeight="true" outlineLevel="0" collapsed="false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9"/>
      <c r="M836" s="19"/>
      <c r="N836" s="19"/>
      <c r="O836" s="19"/>
      <c r="P836" s="19"/>
      <c r="Q836" s="19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</row>
    <row r="837" customFormat="false" ht="18" hidden="false" customHeight="true" outlineLevel="0" collapsed="false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9"/>
      <c r="M837" s="19"/>
      <c r="N837" s="19"/>
      <c r="O837" s="19"/>
      <c r="P837" s="19"/>
      <c r="Q837" s="19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</row>
    <row r="838" customFormat="false" ht="18" hidden="false" customHeight="true" outlineLevel="0" collapsed="false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9"/>
      <c r="M838" s="19"/>
      <c r="N838" s="19"/>
      <c r="O838" s="19"/>
      <c r="P838" s="19"/>
      <c r="Q838" s="19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</row>
    <row r="839" customFormat="false" ht="18" hidden="false" customHeight="true" outlineLevel="0" collapsed="false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9"/>
      <c r="M839" s="19"/>
      <c r="N839" s="19"/>
      <c r="O839" s="19"/>
      <c r="P839" s="19"/>
      <c r="Q839" s="19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</row>
    <row r="840" customFormat="false" ht="18" hidden="false" customHeight="true" outlineLevel="0" collapsed="false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9"/>
      <c r="M840" s="19"/>
      <c r="N840" s="19"/>
      <c r="O840" s="19"/>
      <c r="P840" s="19"/>
      <c r="Q840" s="19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</row>
    <row r="841" customFormat="false" ht="18" hidden="false" customHeight="true" outlineLevel="0" collapsed="false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9"/>
      <c r="M841" s="19"/>
      <c r="N841" s="19"/>
      <c r="O841" s="19"/>
      <c r="P841" s="19"/>
      <c r="Q841" s="19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</row>
    <row r="842" customFormat="false" ht="18" hidden="false" customHeight="true" outlineLevel="0" collapsed="false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9"/>
      <c r="M842" s="19"/>
      <c r="N842" s="19"/>
      <c r="O842" s="19"/>
      <c r="P842" s="19"/>
      <c r="Q842" s="19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</row>
    <row r="843" customFormat="false" ht="18" hidden="false" customHeight="true" outlineLevel="0" collapsed="false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9"/>
      <c r="M843" s="19"/>
      <c r="N843" s="19"/>
      <c r="O843" s="19"/>
      <c r="P843" s="19"/>
      <c r="Q843" s="19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</row>
    <row r="844" customFormat="false" ht="18" hidden="false" customHeight="true" outlineLevel="0" collapsed="false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9"/>
      <c r="M844" s="19"/>
      <c r="N844" s="19"/>
      <c r="O844" s="19"/>
      <c r="P844" s="19"/>
      <c r="Q844" s="19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</row>
    <row r="845" customFormat="false" ht="18" hidden="false" customHeight="true" outlineLevel="0" collapsed="false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9"/>
      <c r="M845" s="19"/>
      <c r="N845" s="19"/>
      <c r="O845" s="19"/>
      <c r="P845" s="19"/>
      <c r="Q845" s="19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</row>
    <row r="846" customFormat="false" ht="18" hidden="false" customHeight="true" outlineLevel="0" collapsed="false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9"/>
      <c r="M846" s="19"/>
      <c r="N846" s="19"/>
      <c r="O846" s="19"/>
      <c r="P846" s="19"/>
      <c r="Q846" s="19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</row>
    <row r="847" customFormat="false" ht="18" hidden="false" customHeight="true" outlineLevel="0" collapsed="false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9"/>
      <c r="M847" s="19"/>
      <c r="N847" s="19"/>
      <c r="O847" s="19"/>
      <c r="P847" s="19"/>
      <c r="Q847" s="19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</row>
    <row r="848" customFormat="false" ht="18" hidden="false" customHeight="true" outlineLevel="0" collapsed="false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9"/>
      <c r="M848" s="19"/>
      <c r="N848" s="19"/>
      <c r="O848" s="19"/>
      <c r="P848" s="19"/>
      <c r="Q848" s="19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</row>
    <row r="849" customFormat="false" ht="18" hidden="false" customHeight="true" outlineLevel="0" collapsed="false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9"/>
      <c r="M849" s="19"/>
      <c r="N849" s="19"/>
      <c r="O849" s="19"/>
      <c r="P849" s="19"/>
      <c r="Q849" s="19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</row>
    <row r="850" customFormat="false" ht="18" hidden="false" customHeight="true" outlineLevel="0" collapsed="false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9"/>
      <c r="M850" s="19"/>
      <c r="N850" s="19"/>
      <c r="O850" s="19"/>
      <c r="P850" s="19"/>
      <c r="Q850" s="19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</row>
    <row r="851" customFormat="false" ht="18" hidden="false" customHeight="true" outlineLevel="0" collapsed="false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9"/>
      <c r="M851" s="19"/>
      <c r="N851" s="19"/>
      <c r="O851" s="19"/>
      <c r="P851" s="19"/>
      <c r="Q851" s="19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</row>
    <row r="852" customFormat="false" ht="18" hidden="false" customHeight="true" outlineLevel="0" collapsed="false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9"/>
      <c r="M852" s="19"/>
      <c r="N852" s="19"/>
      <c r="O852" s="19"/>
      <c r="P852" s="19"/>
      <c r="Q852" s="19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</row>
    <row r="853" customFormat="false" ht="18" hidden="false" customHeight="true" outlineLevel="0" collapsed="false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9"/>
      <c r="M853" s="19"/>
      <c r="N853" s="19"/>
      <c r="O853" s="19"/>
      <c r="P853" s="19"/>
      <c r="Q853" s="19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</row>
    <row r="854" customFormat="false" ht="18" hidden="false" customHeight="true" outlineLevel="0" collapsed="false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9"/>
      <c r="M854" s="19"/>
      <c r="N854" s="19"/>
      <c r="O854" s="19"/>
      <c r="P854" s="19"/>
      <c r="Q854" s="19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</row>
    <row r="855" customFormat="false" ht="18" hidden="false" customHeight="true" outlineLevel="0" collapsed="false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9"/>
      <c r="M855" s="19"/>
      <c r="N855" s="19"/>
      <c r="O855" s="19"/>
      <c r="P855" s="19"/>
      <c r="Q855" s="19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</row>
    <row r="856" customFormat="false" ht="18" hidden="false" customHeight="true" outlineLevel="0" collapsed="false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9"/>
      <c r="M856" s="19"/>
      <c r="N856" s="19"/>
      <c r="O856" s="19"/>
      <c r="P856" s="19"/>
      <c r="Q856" s="19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</row>
    <row r="857" customFormat="false" ht="18" hidden="false" customHeight="true" outlineLevel="0" collapsed="false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9"/>
      <c r="M857" s="19"/>
      <c r="N857" s="19"/>
      <c r="O857" s="19"/>
      <c r="P857" s="19"/>
      <c r="Q857" s="19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</row>
    <row r="858" customFormat="false" ht="18" hidden="false" customHeight="true" outlineLevel="0" collapsed="false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9"/>
      <c r="M858" s="19"/>
      <c r="N858" s="19"/>
      <c r="O858" s="19"/>
      <c r="P858" s="19"/>
      <c r="Q858" s="19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</row>
    <row r="859" customFormat="false" ht="18" hidden="false" customHeight="true" outlineLevel="0" collapsed="false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9"/>
      <c r="M859" s="19"/>
      <c r="N859" s="19"/>
      <c r="O859" s="19"/>
      <c r="P859" s="19"/>
      <c r="Q859" s="19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</row>
    <row r="860" customFormat="false" ht="18" hidden="false" customHeight="true" outlineLevel="0" collapsed="false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9"/>
      <c r="M860" s="19"/>
      <c r="N860" s="19"/>
      <c r="O860" s="19"/>
      <c r="P860" s="19"/>
      <c r="Q860" s="19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</row>
    <row r="861" customFormat="false" ht="18" hidden="false" customHeight="true" outlineLevel="0" collapsed="false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9"/>
      <c r="M861" s="19"/>
      <c r="N861" s="19"/>
      <c r="O861" s="19"/>
      <c r="P861" s="19"/>
      <c r="Q861" s="19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</row>
    <row r="862" customFormat="false" ht="18" hidden="false" customHeight="true" outlineLevel="0" collapsed="false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9"/>
      <c r="M862" s="19"/>
      <c r="N862" s="19"/>
      <c r="O862" s="19"/>
      <c r="P862" s="19"/>
      <c r="Q862" s="19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</row>
    <row r="863" customFormat="false" ht="18" hidden="false" customHeight="true" outlineLevel="0" collapsed="false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9"/>
      <c r="M863" s="19"/>
      <c r="N863" s="19"/>
      <c r="O863" s="19"/>
      <c r="P863" s="19"/>
      <c r="Q863" s="19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</row>
    <row r="864" customFormat="false" ht="18" hidden="false" customHeight="true" outlineLevel="0" collapsed="false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9"/>
      <c r="M864" s="19"/>
      <c r="N864" s="19"/>
      <c r="O864" s="19"/>
      <c r="P864" s="19"/>
      <c r="Q864" s="19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</row>
    <row r="865" customFormat="false" ht="18" hidden="false" customHeight="true" outlineLevel="0" collapsed="false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9"/>
      <c r="M865" s="19"/>
      <c r="N865" s="19"/>
      <c r="O865" s="19"/>
      <c r="P865" s="19"/>
      <c r="Q865" s="19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</row>
    <row r="866" customFormat="false" ht="18" hidden="false" customHeight="true" outlineLevel="0" collapsed="false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9"/>
      <c r="M866" s="19"/>
      <c r="N866" s="19"/>
      <c r="O866" s="19"/>
      <c r="P866" s="19"/>
      <c r="Q866" s="19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</row>
    <row r="867" customFormat="false" ht="18" hidden="false" customHeight="true" outlineLevel="0" collapsed="false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9"/>
      <c r="M867" s="19"/>
      <c r="N867" s="19"/>
      <c r="O867" s="19"/>
      <c r="P867" s="19"/>
      <c r="Q867" s="19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</row>
    <row r="868" customFormat="false" ht="18" hidden="false" customHeight="true" outlineLevel="0" collapsed="false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9"/>
      <c r="M868" s="19"/>
      <c r="N868" s="19"/>
      <c r="O868" s="19"/>
      <c r="P868" s="19"/>
      <c r="Q868" s="19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</row>
    <row r="869" customFormat="false" ht="18" hidden="false" customHeight="true" outlineLevel="0" collapsed="false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9"/>
      <c r="M869" s="19"/>
      <c r="N869" s="19"/>
      <c r="O869" s="19"/>
      <c r="P869" s="19"/>
      <c r="Q869" s="19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</row>
    <row r="870" customFormat="false" ht="18" hidden="false" customHeight="true" outlineLevel="0" collapsed="false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9"/>
      <c r="M870" s="19"/>
      <c r="N870" s="19"/>
      <c r="O870" s="19"/>
      <c r="P870" s="19"/>
      <c r="Q870" s="19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</row>
    <row r="871" customFormat="false" ht="18" hidden="false" customHeight="true" outlineLevel="0" collapsed="false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9"/>
      <c r="M871" s="19"/>
      <c r="N871" s="19"/>
      <c r="O871" s="19"/>
      <c r="P871" s="19"/>
      <c r="Q871" s="19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</row>
    <row r="872" customFormat="false" ht="18" hidden="false" customHeight="true" outlineLevel="0" collapsed="false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9"/>
      <c r="M872" s="19"/>
      <c r="N872" s="19"/>
      <c r="O872" s="19"/>
      <c r="P872" s="19"/>
      <c r="Q872" s="19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</row>
    <row r="873" customFormat="false" ht="18" hidden="false" customHeight="true" outlineLevel="0" collapsed="false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9"/>
      <c r="M873" s="19"/>
      <c r="N873" s="19"/>
      <c r="O873" s="19"/>
      <c r="P873" s="19"/>
      <c r="Q873" s="19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</row>
    <row r="874" customFormat="false" ht="18" hidden="false" customHeight="true" outlineLevel="0" collapsed="false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9"/>
      <c r="M874" s="19"/>
      <c r="N874" s="19"/>
      <c r="O874" s="19"/>
      <c r="P874" s="19"/>
      <c r="Q874" s="19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</row>
    <row r="875" customFormat="false" ht="18" hidden="false" customHeight="true" outlineLevel="0" collapsed="false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9"/>
      <c r="M875" s="19"/>
      <c r="N875" s="19"/>
      <c r="O875" s="19"/>
      <c r="P875" s="19"/>
      <c r="Q875" s="19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</row>
    <row r="876" customFormat="false" ht="18" hidden="false" customHeight="true" outlineLevel="0" collapsed="false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9"/>
      <c r="M876" s="19"/>
      <c r="N876" s="19"/>
      <c r="O876" s="19"/>
      <c r="P876" s="19"/>
      <c r="Q876" s="19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</row>
    <row r="877" customFormat="false" ht="18" hidden="false" customHeight="true" outlineLevel="0" collapsed="false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9"/>
      <c r="M877" s="19"/>
      <c r="N877" s="19"/>
      <c r="O877" s="19"/>
      <c r="P877" s="19"/>
      <c r="Q877" s="19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</row>
    <row r="878" customFormat="false" ht="18" hidden="false" customHeight="true" outlineLevel="0" collapsed="false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9"/>
      <c r="M878" s="19"/>
      <c r="N878" s="19"/>
      <c r="O878" s="19"/>
      <c r="P878" s="19"/>
      <c r="Q878" s="19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</row>
    <row r="879" customFormat="false" ht="18" hidden="false" customHeight="true" outlineLevel="0" collapsed="false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9"/>
      <c r="M879" s="19"/>
      <c r="N879" s="19"/>
      <c r="O879" s="19"/>
      <c r="P879" s="19"/>
      <c r="Q879" s="19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</row>
    <row r="880" customFormat="false" ht="18" hidden="false" customHeight="true" outlineLevel="0" collapsed="false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9"/>
      <c r="M880" s="19"/>
      <c r="N880" s="19"/>
      <c r="O880" s="19"/>
      <c r="P880" s="19"/>
      <c r="Q880" s="19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</row>
    <row r="881" customFormat="false" ht="18" hidden="false" customHeight="true" outlineLevel="0" collapsed="false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9"/>
      <c r="M881" s="19"/>
      <c r="N881" s="19"/>
      <c r="O881" s="19"/>
      <c r="P881" s="19"/>
      <c r="Q881" s="19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</row>
    <row r="882" customFormat="false" ht="18" hidden="false" customHeight="true" outlineLevel="0" collapsed="false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9"/>
      <c r="M882" s="19"/>
      <c r="N882" s="19"/>
      <c r="O882" s="19"/>
      <c r="P882" s="19"/>
      <c r="Q882" s="19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</row>
    <row r="883" customFormat="false" ht="18" hidden="false" customHeight="true" outlineLevel="0" collapsed="false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9"/>
      <c r="M883" s="19"/>
      <c r="N883" s="19"/>
      <c r="O883" s="19"/>
      <c r="P883" s="19"/>
      <c r="Q883" s="19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</row>
    <row r="884" customFormat="false" ht="18" hidden="false" customHeight="true" outlineLevel="0" collapsed="false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9"/>
      <c r="M884" s="19"/>
      <c r="N884" s="19"/>
      <c r="O884" s="19"/>
      <c r="P884" s="19"/>
      <c r="Q884" s="19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</row>
    <row r="885" customFormat="false" ht="18" hidden="false" customHeight="true" outlineLevel="0" collapsed="false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9"/>
      <c r="M885" s="19"/>
      <c r="N885" s="19"/>
      <c r="O885" s="19"/>
      <c r="P885" s="19"/>
      <c r="Q885" s="19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</row>
    <row r="886" customFormat="false" ht="18" hidden="false" customHeight="true" outlineLevel="0" collapsed="false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9"/>
      <c r="M886" s="19"/>
      <c r="N886" s="19"/>
      <c r="O886" s="19"/>
      <c r="P886" s="19"/>
      <c r="Q886" s="19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</row>
    <row r="887" customFormat="false" ht="18" hidden="false" customHeight="true" outlineLevel="0" collapsed="false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9"/>
      <c r="M887" s="19"/>
      <c r="N887" s="19"/>
      <c r="O887" s="19"/>
      <c r="P887" s="19"/>
      <c r="Q887" s="19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</row>
    <row r="888" customFormat="false" ht="18" hidden="false" customHeight="true" outlineLevel="0" collapsed="false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9"/>
      <c r="M888" s="19"/>
      <c r="N888" s="19"/>
      <c r="O888" s="19"/>
      <c r="P888" s="19"/>
      <c r="Q888" s="19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</row>
    <row r="889" customFormat="false" ht="18" hidden="false" customHeight="true" outlineLevel="0" collapsed="false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9"/>
      <c r="M889" s="19"/>
      <c r="N889" s="19"/>
      <c r="O889" s="19"/>
      <c r="P889" s="19"/>
      <c r="Q889" s="19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</row>
    <row r="890" customFormat="false" ht="18" hidden="false" customHeight="true" outlineLevel="0" collapsed="false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9"/>
      <c r="M890" s="19"/>
      <c r="N890" s="19"/>
      <c r="O890" s="19"/>
      <c r="P890" s="19"/>
      <c r="Q890" s="19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</row>
    <row r="891" customFormat="false" ht="18" hidden="false" customHeight="true" outlineLevel="0" collapsed="false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9"/>
      <c r="M891" s="19"/>
      <c r="N891" s="19"/>
      <c r="O891" s="19"/>
      <c r="P891" s="19"/>
      <c r="Q891" s="19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</row>
    <row r="892" customFormat="false" ht="18" hidden="false" customHeight="true" outlineLevel="0" collapsed="false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9"/>
      <c r="M892" s="19"/>
      <c r="N892" s="19"/>
      <c r="O892" s="19"/>
      <c r="P892" s="19"/>
      <c r="Q892" s="19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</row>
    <row r="893" customFormat="false" ht="18" hidden="false" customHeight="true" outlineLevel="0" collapsed="false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9"/>
      <c r="M893" s="19"/>
      <c r="N893" s="19"/>
      <c r="O893" s="19"/>
      <c r="P893" s="19"/>
      <c r="Q893" s="19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</row>
    <row r="894" customFormat="false" ht="18" hidden="false" customHeight="true" outlineLevel="0" collapsed="false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9"/>
      <c r="M894" s="19"/>
      <c r="N894" s="19"/>
      <c r="O894" s="19"/>
      <c r="P894" s="19"/>
      <c r="Q894" s="19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</row>
    <row r="895" customFormat="false" ht="18" hidden="false" customHeight="true" outlineLevel="0" collapsed="false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9"/>
      <c r="M895" s="19"/>
      <c r="N895" s="19"/>
      <c r="O895" s="19"/>
      <c r="P895" s="19"/>
      <c r="Q895" s="19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</row>
    <row r="896" customFormat="false" ht="18" hidden="false" customHeight="true" outlineLevel="0" collapsed="false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9"/>
      <c r="M896" s="19"/>
      <c r="N896" s="19"/>
      <c r="O896" s="19"/>
      <c r="P896" s="19"/>
      <c r="Q896" s="19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</row>
    <row r="897" customFormat="false" ht="18" hidden="false" customHeight="true" outlineLevel="0" collapsed="false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9"/>
      <c r="M897" s="19"/>
      <c r="N897" s="19"/>
      <c r="O897" s="19"/>
      <c r="P897" s="19"/>
      <c r="Q897" s="19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</row>
    <row r="898" customFormat="false" ht="18" hidden="false" customHeight="true" outlineLevel="0" collapsed="false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9"/>
      <c r="M898" s="19"/>
      <c r="N898" s="19"/>
      <c r="O898" s="19"/>
      <c r="P898" s="19"/>
      <c r="Q898" s="19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</row>
    <row r="899" customFormat="false" ht="18" hidden="false" customHeight="true" outlineLevel="0" collapsed="false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9"/>
      <c r="M899" s="19"/>
      <c r="N899" s="19"/>
      <c r="O899" s="19"/>
      <c r="P899" s="19"/>
      <c r="Q899" s="19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</row>
    <row r="900" customFormat="false" ht="18" hidden="false" customHeight="true" outlineLevel="0" collapsed="false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9"/>
      <c r="M900" s="19"/>
      <c r="N900" s="19"/>
      <c r="O900" s="19"/>
      <c r="P900" s="19"/>
      <c r="Q900" s="19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</row>
    <row r="901" customFormat="false" ht="18" hidden="false" customHeight="true" outlineLevel="0" collapsed="false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9"/>
      <c r="M901" s="19"/>
      <c r="N901" s="19"/>
      <c r="O901" s="19"/>
      <c r="P901" s="19"/>
      <c r="Q901" s="19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</row>
    <row r="902" customFormat="false" ht="18" hidden="false" customHeight="true" outlineLevel="0" collapsed="false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9"/>
      <c r="M902" s="19"/>
      <c r="N902" s="19"/>
      <c r="O902" s="19"/>
      <c r="P902" s="19"/>
      <c r="Q902" s="19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</row>
    <row r="903" customFormat="false" ht="18" hidden="false" customHeight="true" outlineLevel="0" collapsed="false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9"/>
      <c r="M903" s="19"/>
      <c r="N903" s="19"/>
      <c r="O903" s="19"/>
      <c r="P903" s="19"/>
      <c r="Q903" s="19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</row>
    <row r="904" customFormat="false" ht="18" hidden="false" customHeight="true" outlineLevel="0" collapsed="false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9"/>
      <c r="M904" s="19"/>
      <c r="N904" s="19"/>
      <c r="O904" s="19"/>
      <c r="P904" s="19"/>
      <c r="Q904" s="19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</row>
    <row r="905" customFormat="false" ht="18" hidden="false" customHeight="true" outlineLevel="0" collapsed="false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9"/>
      <c r="M905" s="19"/>
      <c r="N905" s="19"/>
      <c r="O905" s="19"/>
      <c r="P905" s="19"/>
      <c r="Q905" s="19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</row>
    <row r="906" customFormat="false" ht="18" hidden="false" customHeight="true" outlineLevel="0" collapsed="false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9"/>
      <c r="M906" s="19"/>
      <c r="N906" s="19"/>
      <c r="O906" s="19"/>
      <c r="P906" s="19"/>
      <c r="Q906" s="19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</row>
    <row r="907" customFormat="false" ht="18" hidden="false" customHeight="true" outlineLevel="0" collapsed="false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9"/>
      <c r="M907" s="19"/>
      <c r="N907" s="19"/>
      <c r="O907" s="19"/>
      <c r="P907" s="19"/>
      <c r="Q907" s="19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</row>
    <row r="908" customFormat="false" ht="18" hidden="false" customHeight="true" outlineLevel="0" collapsed="false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9"/>
      <c r="M908" s="19"/>
      <c r="N908" s="19"/>
      <c r="O908" s="19"/>
      <c r="P908" s="19"/>
      <c r="Q908" s="19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</row>
    <row r="909" customFormat="false" ht="18" hidden="false" customHeight="true" outlineLevel="0" collapsed="false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9"/>
      <c r="M909" s="19"/>
      <c r="N909" s="19"/>
      <c r="O909" s="19"/>
      <c r="P909" s="19"/>
      <c r="Q909" s="19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</row>
    <row r="910" customFormat="false" ht="18" hidden="false" customHeight="true" outlineLevel="0" collapsed="false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9"/>
      <c r="M910" s="19"/>
      <c r="N910" s="19"/>
      <c r="O910" s="19"/>
      <c r="P910" s="19"/>
      <c r="Q910" s="19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</row>
    <row r="911" customFormat="false" ht="18" hidden="false" customHeight="true" outlineLevel="0" collapsed="false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9"/>
      <c r="M911" s="19"/>
      <c r="N911" s="19"/>
      <c r="O911" s="19"/>
      <c r="P911" s="19"/>
      <c r="Q911" s="19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</row>
    <row r="912" customFormat="false" ht="18" hidden="false" customHeight="true" outlineLevel="0" collapsed="false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9"/>
      <c r="M912" s="19"/>
      <c r="N912" s="19"/>
      <c r="O912" s="19"/>
      <c r="P912" s="19"/>
      <c r="Q912" s="19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</row>
    <row r="913" customFormat="false" ht="18" hidden="false" customHeight="true" outlineLevel="0" collapsed="false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9"/>
      <c r="M913" s="19"/>
      <c r="N913" s="19"/>
      <c r="O913" s="19"/>
      <c r="P913" s="19"/>
      <c r="Q913" s="19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</row>
    <row r="914" customFormat="false" ht="18" hidden="false" customHeight="true" outlineLevel="0" collapsed="false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9"/>
      <c r="M914" s="19"/>
      <c r="N914" s="19"/>
      <c r="O914" s="19"/>
      <c r="P914" s="19"/>
      <c r="Q914" s="19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</row>
    <row r="915" customFormat="false" ht="18" hidden="false" customHeight="true" outlineLevel="0" collapsed="false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9"/>
      <c r="M915" s="19"/>
      <c r="N915" s="19"/>
      <c r="O915" s="19"/>
      <c r="P915" s="19"/>
      <c r="Q915" s="19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</row>
    <row r="916" customFormat="false" ht="18" hidden="false" customHeight="true" outlineLevel="0" collapsed="false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9"/>
      <c r="M916" s="19"/>
      <c r="N916" s="19"/>
      <c r="O916" s="19"/>
      <c r="P916" s="19"/>
      <c r="Q916" s="19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</row>
    <row r="917" customFormat="false" ht="18" hidden="false" customHeight="true" outlineLevel="0" collapsed="false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9"/>
      <c r="M917" s="19"/>
      <c r="N917" s="19"/>
      <c r="O917" s="19"/>
      <c r="P917" s="19"/>
      <c r="Q917" s="19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</row>
    <row r="918" customFormat="false" ht="18" hidden="false" customHeight="true" outlineLevel="0" collapsed="false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9"/>
      <c r="M918" s="19"/>
      <c r="N918" s="19"/>
      <c r="O918" s="19"/>
      <c r="P918" s="19"/>
      <c r="Q918" s="19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</row>
    <row r="919" customFormat="false" ht="18" hidden="false" customHeight="true" outlineLevel="0" collapsed="false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9"/>
      <c r="M919" s="19"/>
      <c r="N919" s="19"/>
      <c r="O919" s="19"/>
      <c r="P919" s="19"/>
      <c r="Q919" s="19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</row>
    <row r="920" customFormat="false" ht="18" hidden="false" customHeight="true" outlineLevel="0" collapsed="false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9"/>
      <c r="M920" s="19"/>
      <c r="N920" s="19"/>
      <c r="O920" s="19"/>
      <c r="P920" s="19"/>
      <c r="Q920" s="19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</row>
    <row r="921" customFormat="false" ht="18" hidden="false" customHeight="true" outlineLevel="0" collapsed="false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9"/>
      <c r="M921" s="19"/>
      <c r="N921" s="19"/>
      <c r="O921" s="19"/>
      <c r="P921" s="19"/>
      <c r="Q921" s="19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</row>
    <row r="922" customFormat="false" ht="18" hidden="false" customHeight="true" outlineLevel="0" collapsed="false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9"/>
      <c r="M922" s="19"/>
      <c r="N922" s="19"/>
      <c r="O922" s="19"/>
      <c r="P922" s="19"/>
      <c r="Q922" s="19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</row>
    <row r="923" customFormat="false" ht="18" hidden="false" customHeight="true" outlineLevel="0" collapsed="false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9"/>
      <c r="M923" s="19"/>
      <c r="N923" s="19"/>
      <c r="O923" s="19"/>
      <c r="P923" s="19"/>
      <c r="Q923" s="19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</row>
    <row r="924" customFormat="false" ht="18" hidden="false" customHeight="true" outlineLevel="0" collapsed="false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9"/>
      <c r="M924" s="19"/>
      <c r="N924" s="19"/>
      <c r="O924" s="19"/>
      <c r="P924" s="19"/>
      <c r="Q924" s="19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</row>
    <row r="925" customFormat="false" ht="18" hidden="false" customHeight="true" outlineLevel="0" collapsed="false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9"/>
      <c r="M925" s="19"/>
      <c r="N925" s="19"/>
      <c r="O925" s="19"/>
      <c r="P925" s="19"/>
      <c r="Q925" s="19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</row>
    <row r="926" customFormat="false" ht="18" hidden="false" customHeight="true" outlineLevel="0" collapsed="false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9"/>
      <c r="M926" s="19"/>
      <c r="N926" s="19"/>
      <c r="O926" s="19"/>
      <c r="P926" s="19"/>
      <c r="Q926" s="19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</row>
    <row r="927" customFormat="false" ht="18" hidden="false" customHeight="true" outlineLevel="0" collapsed="false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9"/>
      <c r="M927" s="19"/>
      <c r="N927" s="19"/>
      <c r="O927" s="19"/>
      <c r="P927" s="19"/>
      <c r="Q927" s="19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</row>
    <row r="928" customFormat="false" ht="18" hidden="false" customHeight="true" outlineLevel="0" collapsed="false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9"/>
      <c r="M928" s="19"/>
      <c r="N928" s="19"/>
      <c r="O928" s="19"/>
      <c r="P928" s="19"/>
      <c r="Q928" s="19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</row>
    <row r="929" customFormat="false" ht="18" hidden="false" customHeight="true" outlineLevel="0" collapsed="false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9"/>
      <c r="M929" s="19"/>
      <c r="N929" s="19"/>
      <c r="O929" s="19"/>
      <c r="P929" s="19"/>
      <c r="Q929" s="19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</row>
    <row r="930" customFormat="false" ht="18" hidden="false" customHeight="true" outlineLevel="0" collapsed="false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9"/>
      <c r="M930" s="19"/>
      <c r="N930" s="19"/>
      <c r="O930" s="19"/>
      <c r="P930" s="19"/>
      <c r="Q930" s="19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</row>
    <row r="931" customFormat="false" ht="18" hidden="false" customHeight="true" outlineLevel="0" collapsed="false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9"/>
      <c r="M931" s="19"/>
      <c r="N931" s="19"/>
      <c r="O931" s="19"/>
      <c r="P931" s="19"/>
      <c r="Q931" s="19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</row>
    <row r="932" customFormat="false" ht="18" hidden="false" customHeight="true" outlineLevel="0" collapsed="false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9"/>
      <c r="M932" s="19"/>
      <c r="N932" s="19"/>
      <c r="O932" s="19"/>
      <c r="P932" s="19"/>
      <c r="Q932" s="19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</row>
    <row r="933" customFormat="false" ht="18" hidden="false" customHeight="true" outlineLevel="0" collapsed="false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9"/>
      <c r="M933" s="19"/>
      <c r="N933" s="19"/>
      <c r="O933" s="19"/>
      <c r="P933" s="19"/>
      <c r="Q933" s="19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</row>
    <row r="934" customFormat="false" ht="18" hidden="false" customHeight="true" outlineLevel="0" collapsed="false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9"/>
      <c r="M934" s="19"/>
      <c r="N934" s="19"/>
      <c r="O934" s="19"/>
      <c r="P934" s="19"/>
      <c r="Q934" s="19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</row>
    <row r="935" customFormat="false" ht="18" hidden="false" customHeight="true" outlineLevel="0" collapsed="false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9"/>
      <c r="M935" s="19"/>
      <c r="N935" s="19"/>
      <c r="O935" s="19"/>
      <c r="P935" s="19"/>
      <c r="Q935" s="19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</row>
    <row r="936" customFormat="false" ht="18" hidden="false" customHeight="true" outlineLevel="0" collapsed="false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9"/>
      <c r="M936" s="19"/>
      <c r="N936" s="19"/>
      <c r="O936" s="19"/>
      <c r="P936" s="19"/>
      <c r="Q936" s="19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</row>
    <row r="937" customFormat="false" ht="18" hidden="false" customHeight="true" outlineLevel="0" collapsed="false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9"/>
      <c r="M937" s="19"/>
      <c r="N937" s="19"/>
      <c r="O937" s="19"/>
      <c r="P937" s="19"/>
      <c r="Q937" s="19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</row>
    <row r="938" customFormat="false" ht="18" hidden="false" customHeight="true" outlineLevel="0" collapsed="false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9"/>
      <c r="M938" s="19"/>
      <c r="N938" s="19"/>
      <c r="O938" s="19"/>
      <c r="P938" s="19"/>
      <c r="Q938" s="19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</row>
    <row r="939" customFormat="false" ht="18" hidden="false" customHeight="true" outlineLevel="0" collapsed="false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9"/>
      <c r="M939" s="19"/>
      <c r="N939" s="19"/>
      <c r="O939" s="19"/>
      <c r="P939" s="19"/>
      <c r="Q939" s="19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</row>
    <row r="940" customFormat="false" ht="18" hidden="false" customHeight="true" outlineLevel="0" collapsed="false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9"/>
      <c r="M940" s="19"/>
      <c r="N940" s="19"/>
      <c r="O940" s="19"/>
      <c r="P940" s="19"/>
      <c r="Q940" s="19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</row>
    <row r="941" customFormat="false" ht="18" hidden="false" customHeight="true" outlineLevel="0" collapsed="false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9"/>
      <c r="M941" s="19"/>
      <c r="N941" s="19"/>
      <c r="O941" s="19"/>
      <c r="P941" s="19"/>
      <c r="Q941" s="19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</row>
    <row r="942" customFormat="false" ht="18" hidden="false" customHeight="true" outlineLevel="0" collapsed="false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9"/>
      <c r="M942" s="19"/>
      <c r="N942" s="19"/>
      <c r="O942" s="19"/>
      <c r="P942" s="19"/>
      <c r="Q942" s="19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</row>
    <row r="943" customFormat="false" ht="18" hidden="false" customHeight="true" outlineLevel="0" collapsed="false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9"/>
      <c r="M943" s="19"/>
      <c r="N943" s="19"/>
      <c r="O943" s="19"/>
      <c r="P943" s="19"/>
      <c r="Q943" s="19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</row>
    <row r="944" customFormat="false" ht="18" hidden="false" customHeight="true" outlineLevel="0" collapsed="false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9"/>
      <c r="M944" s="19"/>
      <c r="N944" s="19"/>
      <c r="O944" s="19"/>
      <c r="P944" s="19"/>
      <c r="Q944" s="19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</row>
    <row r="945" customFormat="false" ht="18" hidden="false" customHeight="true" outlineLevel="0" collapsed="false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9"/>
      <c r="M945" s="19"/>
      <c r="N945" s="19"/>
      <c r="O945" s="19"/>
      <c r="P945" s="19"/>
      <c r="Q945" s="19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</row>
    <row r="946" customFormat="false" ht="18" hidden="false" customHeight="true" outlineLevel="0" collapsed="false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9"/>
      <c r="M946" s="19"/>
      <c r="N946" s="19"/>
      <c r="O946" s="19"/>
      <c r="P946" s="19"/>
      <c r="Q946" s="19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</row>
    <row r="947" customFormat="false" ht="18" hidden="false" customHeight="true" outlineLevel="0" collapsed="false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9"/>
      <c r="M947" s="19"/>
      <c r="N947" s="19"/>
      <c r="O947" s="19"/>
      <c r="P947" s="19"/>
      <c r="Q947" s="19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</row>
    <row r="948" customFormat="false" ht="18" hidden="false" customHeight="true" outlineLevel="0" collapsed="false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9"/>
      <c r="M948" s="19"/>
      <c r="N948" s="19"/>
      <c r="O948" s="19"/>
      <c r="P948" s="19"/>
      <c r="Q948" s="19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</row>
    <row r="949" customFormat="false" ht="18" hidden="false" customHeight="true" outlineLevel="0" collapsed="false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9"/>
      <c r="M949" s="19"/>
      <c r="N949" s="19"/>
      <c r="O949" s="19"/>
      <c r="P949" s="19"/>
      <c r="Q949" s="19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</row>
    <row r="950" customFormat="false" ht="18" hidden="false" customHeight="true" outlineLevel="0" collapsed="false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9"/>
      <c r="M950" s="19"/>
      <c r="N950" s="19"/>
      <c r="O950" s="19"/>
      <c r="P950" s="19"/>
      <c r="Q950" s="19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</row>
    <row r="951" customFormat="false" ht="18" hidden="false" customHeight="true" outlineLevel="0" collapsed="false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9"/>
      <c r="M951" s="19"/>
      <c r="N951" s="19"/>
      <c r="O951" s="19"/>
      <c r="P951" s="19"/>
      <c r="Q951" s="19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</row>
    <row r="952" customFormat="false" ht="18" hidden="false" customHeight="true" outlineLevel="0" collapsed="false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9"/>
      <c r="M952" s="19"/>
      <c r="N952" s="19"/>
      <c r="O952" s="19"/>
      <c r="P952" s="19"/>
      <c r="Q952" s="19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</row>
    <row r="953" customFormat="false" ht="18" hidden="false" customHeight="true" outlineLevel="0" collapsed="false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9"/>
      <c r="M953" s="19"/>
      <c r="N953" s="19"/>
      <c r="O953" s="19"/>
      <c r="P953" s="19"/>
      <c r="Q953" s="19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</row>
    <row r="954" customFormat="false" ht="18" hidden="false" customHeight="true" outlineLevel="0" collapsed="false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9"/>
      <c r="M954" s="19"/>
      <c r="N954" s="19"/>
      <c r="O954" s="19"/>
      <c r="P954" s="19"/>
      <c r="Q954" s="19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</row>
    <row r="955" customFormat="false" ht="18" hidden="false" customHeight="true" outlineLevel="0" collapsed="false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9"/>
      <c r="M955" s="19"/>
      <c r="N955" s="19"/>
      <c r="O955" s="19"/>
      <c r="P955" s="19"/>
      <c r="Q955" s="19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</row>
    <row r="956" customFormat="false" ht="18" hidden="false" customHeight="true" outlineLevel="0" collapsed="false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9"/>
      <c r="M956" s="19"/>
      <c r="N956" s="19"/>
      <c r="O956" s="19"/>
      <c r="P956" s="19"/>
      <c r="Q956" s="19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</row>
    <row r="957" customFormat="false" ht="18" hidden="false" customHeight="true" outlineLevel="0" collapsed="false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9"/>
      <c r="M957" s="19"/>
      <c r="N957" s="19"/>
      <c r="O957" s="19"/>
      <c r="P957" s="19"/>
      <c r="Q957" s="19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</row>
    <row r="958" customFormat="false" ht="18" hidden="false" customHeight="true" outlineLevel="0" collapsed="false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9"/>
      <c r="M958" s="19"/>
      <c r="N958" s="19"/>
      <c r="O958" s="19"/>
      <c r="P958" s="19"/>
      <c r="Q958" s="19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</row>
    <row r="959" customFormat="false" ht="18" hidden="false" customHeight="true" outlineLevel="0" collapsed="false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9"/>
      <c r="M959" s="19"/>
      <c r="N959" s="19"/>
      <c r="O959" s="19"/>
      <c r="P959" s="19"/>
      <c r="Q959" s="19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</row>
    <row r="960" customFormat="false" ht="18" hidden="false" customHeight="true" outlineLevel="0" collapsed="false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9"/>
      <c r="M960" s="19"/>
      <c r="N960" s="19"/>
      <c r="O960" s="19"/>
      <c r="P960" s="19"/>
      <c r="Q960" s="19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</row>
    <row r="961" customFormat="false" ht="18" hidden="false" customHeight="true" outlineLevel="0" collapsed="false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9"/>
      <c r="M961" s="19"/>
      <c r="N961" s="19"/>
      <c r="O961" s="19"/>
      <c r="P961" s="19"/>
      <c r="Q961" s="19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</row>
    <row r="962" customFormat="false" ht="18" hidden="false" customHeight="true" outlineLevel="0" collapsed="false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9"/>
      <c r="M962" s="19"/>
      <c r="N962" s="19"/>
      <c r="O962" s="19"/>
      <c r="P962" s="19"/>
      <c r="Q962" s="19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</row>
    <row r="963" customFormat="false" ht="18" hidden="false" customHeight="true" outlineLevel="0" collapsed="false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9"/>
      <c r="M963" s="19"/>
      <c r="N963" s="19"/>
      <c r="O963" s="19"/>
      <c r="P963" s="19"/>
      <c r="Q963" s="19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</row>
    <row r="964" customFormat="false" ht="18" hidden="false" customHeight="true" outlineLevel="0" collapsed="false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9"/>
      <c r="M964" s="19"/>
      <c r="N964" s="19"/>
      <c r="O964" s="19"/>
      <c r="P964" s="19"/>
      <c r="Q964" s="19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</row>
    <row r="965" customFormat="false" ht="18" hidden="false" customHeight="true" outlineLevel="0" collapsed="false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9"/>
      <c r="M965" s="19"/>
      <c r="N965" s="19"/>
      <c r="O965" s="19"/>
      <c r="P965" s="19"/>
      <c r="Q965" s="19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</row>
    <row r="966" customFormat="false" ht="18" hidden="false" customHeight="true" outlineLevel="0" collapsed="false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9"/>
      <c r="M966" s="19"/>
      <c r="N966" s="19"/>
      <c r="O966" s="19"/>
      <c r="P966" s="19"/>
      <c r="Q966" s="19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</row>
    <row r="967" customFormat="false" ht="18" hidden="false" customHeight="true" outlineLevel="0" collapsed="false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9"/>
      <c r="M967" s="19"/>
      <c r="N967" s="19"/>
      <c r="O967" s="19"/>
      <c r="P967" s="19"/>
      <c r="Q967" s="19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</row>
    <row r="968" customFormat="false" ht="18" hidden="false" customHeight="true" outlineLevel="0" collapsed="false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9"/>
      <c r="M968" s="19"/>
      <c r="N968" s="19"/>
      <c r="O968" s="19"/>
      <c r="P968" s="19"/>
      <c r="Q968" s="19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</row>
    <row r="969" customFormat="false" ht="18" hidden="false" customHeight="true" outlineLevel="0" collapsed="false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9"/>
      <c r="M969" s="19"/>
      <c r="N969" s="19"/>
      <c r="O969" s="19"/>
      <c r="P969" s="19"/>
      <c r="Q969" s="19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</row>
    <row r="970" customFormat="false" ht="18" hidden="false" customHeight="true" outlineLevel="0" collapsed="false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9"/>
      <c r="M970" s="19"/>
      <c r="N970" s="19"/>
      <c r="O970" s="19"/>
      <c r="P970" s="19"/>
      <c r="Q970" s="19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</row>
    <row r="971" customFormat="false" ht="18" hidden="false" customHeight="true" outlineLevel="0" collapsed="false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9"/>
      <c r="M971" s="19"/>
      <c r="N971" s="19"/>
      <c r="O971" s="19"/>
      <c r="P971" s="19"/>
      <c r="Q971" s="19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</row>
    <row r="972" customFormat="false" ht="18" hidden="false" customHeight="true" outlineLevel="0" collapsed="false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9"/>
      <c r="M972" s="19"/>
      <c r="N972" s="19"/>
      <c r="O972" s="19"/>
      <c r="P972" s="19"/>
      <c r="Q972" s="19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</row>
    <row r="973" customFormat="false" ht="18" hidden="false" customHeight="true" outlineLevel="0" collapsed="false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9"/>
      <c r="M973" s="19"/>
      <c r="N973" s="19"/>
      <c r="O973" s="19"/>
      <c r="P973" s="19"/>
      <c r="Q973" s="19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</row>
    <row r="974" customFormat="false" ht="18" hidden="false" customHeight="true" outlineLevel="0" collapsed="false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9"/>
      <c r="M974" s="19"/>
      <c r="N974" s="19"/>
      <c r="O974" s="19"/>
      <c r="P974" s="19"/>
      <c r="Q974" s="19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</row>
    <row r="975" customFormat="false" ht="18" hidden="false" customHeight="true" outlineLevel="0" collapsed="false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9"/>
      <c r="M975" s="19"/>
      <c r="N975" s="19"/>
      <c r="O975" s="19"/>
      <c r="P975" s="19"/>
      <c r="Q975" s="19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</row>
    <row r="976" customFormat="false" ht="18" hidden="false" customHeight="true" outlineLevel="0" collapsed="false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9"/>
      <c r="M976" s="19"/>
      <c r="N976" s="19"/>
      <c r="O976" s="19"/>
      <c r="P976" s="19"/>
      <c r="Q976" s="19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</row>
    <row r="977" customFormat="false" ht="18" hidden="false" customHeight="true" outlineLevel="0" collapsed="false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9"/>
      <c r="M977" s="19"/>
      <c r="N977" s="19"/>
      <c r="O977" s="19"/>
      <c r="P977" s="19"/>
      <c r="Q977" s="19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</row>
    <row r="978" customFormat="false" ht="18" hidden="false" customHeight="true" outlineLevel="0" collapsed="false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9"/>
      <c r="M978" s="19"/>
      <c r="N978" s="19"/>
      <c r="O978" s="19"/>
      <c r="P978" s="19"/>
      <c r="Q978" s="19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</row>
    <row r="979" customFormat="false" ht="18" hidden="false" customHeight="true" outlineLevel="0" collapsed="false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9"/>
      <c r="M979" s="19"/>
      <c r="N979" s="19"/>
      <c r="O979" s="19"/>
      <c r="P979" s="19"/>
      <c r="Q979" s="19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</row>
    <row r="980" customFormat="false" ht="18" hidden="false" customHeight="true" outlineLevel="0" collapsed="false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9"/>
      <c r="M980" s="19"/>
      <c r="N980" s="19"/>
      <c r="O980" s="19"/>
      <c r="P980" s="19"/>
      <c r="Q980" s="19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</row>
    <row r="981" customFormat="false" ht="18" hidden="false" customHeight="true" outlineLevel="0" collapsed="false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9"/>
      <c r="M981" s="19"/>
      <c r="N981" s="19"/>
      <c r="O981" s="19"/>
      <c r="P981" s="19"/>
      <c r="Q981" s="19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</row>
    <row r="982" customFormat="false" ht="18" hidden="false" customHeight="true" outlineLevel="0" collapsed="false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9"/>
      <c r="M982" s="19"/>
      <c r="N982" s="19"/>
      <c r="O982" s="19"/>
      <c r="P982" s="19"/>
      <c r="Q982" s="19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</row>
    <row r="983" customFormat="false" ht="18" hidden="false" customHeight="true" outlineLevel="0" collapsed="false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9"/>
      <c r="M983" s="19"/>
      <c r="N983" s="19"/>
      <c r="O983" s="19"/>
      <c r="P983" s="19"/>
      <c r="Q983" s="19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</row>
    <row r="984" customFormat="false" ht="18" hidden="false" customHeight="true" outlineLevel="0" collapsed="false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9"/>
      <c r="M984" s="19"/>
      <c r="N984" s="19"/>
      <c r="O984" s="19"/>
      <c r="P984" s="19"/>
      <c r="Q984" s="19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</row>
    <row r="985" customFormat="false" ht="18" hidden="false" customHeight="true" outlineLevel="0" collapsed="false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9"/>
      <c r="M985" s="19"/>
      <c r="N985" s="19"/>
      <c r="O985" s="19"/>
      <c r="P985" s="19"/>
      <c r="Q985" s="19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</row>
    <row r="986" customFormat="false" ht="18" hidden="false" customHeight="true" outlineLevel="0" collapsed="false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9"/>
      <c r="M986" s="19"/>
      <c r="N986" s="19"/>
      <c r="O986" s="19"/>
      <c r="P986" s="19"/>
      <c r="Q986" s="19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</row>
    <row r="987" customFormat="false" ht="18" hidden="false" customHeight="true" outlineLevel="0" collapsed="false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9"/>
      <c r="M987" s="19"/>
      <c r="N987" s="19"/>
      <c r="O987" s="19"/>
      <c r="P987" s="19"/>
      <c r="Q987" s="19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</row>
    <row r="988" customFormat="false" ht="18" hidden="false" customHeight="true" outlineLevel="0" collapsed="false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9"/>
      <c r="M988" s="19"/>
      <c r="N988" s="19"/>
      <c r="O988" s="19"/>
      <c r="P988" s="19"/>
      <c r="Q988" s="19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</row>
    <row r="989" customFormat="false" ht="18" hidden="false" customHeight="true" outlineLevel="0" collapsed="false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9"/>
      <c r="M989" s="19"/>
      <c r="N989" s="19"/>
      <c r="O989" s="19"/>
      <c r="P989" s="19"/>
      <c r="Q989" s="19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</row>
    <row r="990" customFormat="false" ht="18" hidden="false" customHeight="true" outlineLevel="0" collapsed="false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9"/>
      <c r="M990" s="19"/>
      <c r="N990" s="19"/>
      <c r="O990" s="19"/>
      <c r="P990" s="19"/>
      <c r="Q990" s="19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</row>
    <row r="991" customFormat="false" ht="18" hidden="false" customHeight="true" outlineLevel="0" collapsed="false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9"/>
      <c r="M991" s="19"/>
      <c r="N991" s="19"/>
      <c r="O991" s="19"/>
      <c r="P991" s="19"/>
      <c r="Q991" s="19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</row>
    <row r="992" customFormat="false" ht="18" hidden="false" customHeight="true" outlineLevel="0" collapsed="false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9"/>
      <c r="M992" s="19"/>
      <c r="N992" s="19"/>
      <c r="O992" s="19"/>
      <c r="P992" s="19"/>
      <c r="Q992" s="19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</row>
    <row r="993" customFormat="false" ht="18" hidden="false" customHeight="true" outlineLevel="0" collapsed="false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9"/>
      <c r="M993" s="19"/>
      <c r="N993" s="19"/>
      <c r="O993" s="19"/>
      <c r="P993" s="19"/>
      <c r="Q993" s="19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</row>
    <row r="994" customFormat="false" ht="18" hidden="false" customHeight="true" outlineLevel="0" collapsed="false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9"/>
      <c r="M994" s="19"/>
      <c r="N994" s="19"/>
      <c r="O994" s="19"/>
      <c r="P994" s="19"/>
      <c r="Q994" s="19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</row>
    <row r="995" customFormat="false" ht="18" hidden="false" customHeight="true" outlineLevel="0" collapsed="false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9"/>
      <c r="M995" s="19"/>
      <c r="N995" s="19"/>
      <c r="O995" s="19"/>
      <c r="P995" s="19"/>
      <c r="Q995" s="19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</row>
    <row r="996" customFormat="false" ht="18" hidden="false" customHeight="true" outlineLevel="0" collapsed="false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9"/>
      <c r="M996" s="19"/>
      <c r="N996" s="19"/>
      <c r="O996" s="19"/>
      <c r="P996" s="19"/>
      <c r="Q996" s="19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</row>
    <row r="997" customFormat="false" ht="18" hidden="false" customHeight="true" outlineLevel="0" collapsed="false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9"/>
      <c r="M997" s="19"/>
      <c r="N997" s="19"/>
      <c r="O997" s="19"/>
      <c r="P997" s="19"/>
      <c r="Q997" s="19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</row>
    <row r="998" customFormat="false" ht="18" hidden="false" customHeight="true" outlineLevel="0" collapsed="false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9"/>
      <c r="M998" s="19"/>
      <c r="N998" s="19"/>
      <c r="O998" s="19"/>
      <c r="P998" s="19"/>
      <c r="Q998" s="19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</row>
    <row r="999" customFormat="false" ht="18" hidden="false" customHeight="true" outlineLevel="0" collapsed="false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9"/>
      <c r="M999" s="19"/>
      <c r="N999" s="19"/>
      <c r="O999" s="19"/>
      <c r="P999" s="19"/>
      <c r="Q999" s="19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</row>
    <row r="1000" customFormat="false" ht="18" hidden="false" customHeight="true" outlineLevel="0" collapsed="false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9"/>
      <c r="M1000" s="19"/>
      <c r="N1000" s="19"/>
      <c r="O1000" s="19"/>
      <c r="P1000" s="19"/>
      <c r="Q1000" s="19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</row>
    <row r="1001" customFormat="false" ht="18" hidden="false" customHeight="true" outlineLevel="0" collapsed="false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9"/>
      <c r="M1001" s="19"/>
      <c r="N1001" s="19"/>
      <c r="O1001" s="19"/>
      <c r="P1001" s="19"/>
      <c r="Q1001" s="19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</row>
  </sheetData>
  <mergeCells count="7">
    <mergeCell ref="B1:B2"/>
    <mergeCell ref="C1:C2"/>
    <mergeCell ref="D1:D2"/>
    <mergeCell ref="E1:E2"/>
    <mergeCell ref="F1:F2"/>
    <mergeCell ref="G2:K2"/>
    <mergeCell ref="L2:P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8" width="31.25"/>
    <col collapsed="false" customWidth="true" hidden="false" outlineLevel="0" max="4" min="4" style="8" width="11.12"/>
    <col collapsed="false" customWidth="true" hidden="false" outlineLevel="0" max="5" min="5" style="8" width="11.63"/>
    <col collapsed="false" customWidth="true" hidden="false" outlineLevel="0" max="6" min="6" style="8" width="8.75"/>
    <col collapsed="false" customWidth="true" hidden="false" outlineLevel="0" max="7" min="7" style="8" width="11"/>
    <col collapsed="false" customWidth="true" hidden="false" outlineLevel="0" max="8" min="8" style="8" width="10.75"/>
    <col collapsed="false" customWidth="true" hidden="false" outlineLevel="0" max="9" min="9" style="8" width="11.89"/>
    <col collapsed="false" customWidth="true" hidden="false" outlineLevel="0" max="12" min="11" style="8" width="10.75"/>
    <col collapsed="false" customWidth="true" hidden="false" outlineLevel="0" max="16" min="16" style="8" width="17.63"/>
  </cols>
  <sheetData>
    <row r="1" customFormat="false" ht="21.75" hidden="false" customHeight="true" outlineLevel="0" collapsed="false">
      <c r="A1" s="20" t="s">
        <v>330</v>
      </c>
      <c r="B1" s="21" t="s">
        <v>331</v>
      </c>
      <c r="C1" s="21"/>
      <c r="D1" s="21"/>
      <c r="E1" s="21"/>
      <c r="F1" s="21"/>
      <c r="G1" s="22" t="s">
        <v>332</v>
      </c>
      <c r="H1" s="22"/>
      <c r="I1" s="22"/>
      <c r="J1" s="22"/>
      <c r="K1" s="23" t="s">
        <v>333</v>
      </c>
      <c r="L1" s="23"/>
      <c r="M1" s="24" t="s">
        <v>334</v>
      </c>
      <c r="N1" s="25" t="s">
        <v>335</v>
      </c>
      <c r="O1" s="26" t="s">
        <v>336</v>
      </c>
      <c r="P1" s="27" t="s">
        <v>337</v>
      </c>
      <c r="Q1" s="28"/>
      <c r="R1" s="28"/>
      <c r="S1" s="28"/>
      <c r="T1" s="28"/>
      <c r="U1" s="28"/>
      <c r="V1" s="28"/>
      <c r="W1" s="28"/>
      <c r="X1" s="28"/>
      <c r="Y1" s="28"/>
      <c r="Z1" s="28"/>
    </row>
    <row r="2" customFormat="false" ht="21.75" hidden="false" customHeight="true" outlineLevel="0" collapsed="false">
      <c r="A2" s="29" t="s">
        <v>49</v>
      </c>
      <c r="B2" s="30" t="b">
        <f aca="false">FALSE()</f>
        <v>0</v>
      </c>
      <c r="C2" s="30" t="b">
        <f aca="false">FALSE()</f>
        <v>0</v>
      </c>
      <c r="D2" s="30" t="b">
        <f aca="false">FALSE()</f>
        <v>0</v>
      </c>
      <c r="E2" s="30" t="b">
        <f aca="false">FALSE()</f>
        <v>0</v>
      </c>
      <c r="F2" s="30" t="b">
        <f aca="false">FALSE()</f>
        <v>0</v>
      </c>
      <c r="G2" s="31" t="b">
        <f aca="false">FALSE()</f>
        <v>0</v>
      </c>
      <c r="H2" s="30" t="b">
        <f aca="false">FALSE()</f>
        <v>0</v>
      </c>
      <c r="I2" s="30" t="b">
        <f aca="false">FALSE()</f>
        <v>0</v>
      </c>
      <c r="J2" s="30" t="b">
        <f aca="false">FALSE()</f>
        <v>0</v>
      </c>
      <c r="K2" s="30" t="b">
        <f aca="false">FALSE()</f>
        <v>0</v>
      </c>
      <c r="L2" s="30" t="b">
        <f aca="false">FALSE()</f>
        <v>0</v>
      </c>
      <c r="M2" s="32" t="n">
        <f aca="false">COUNTIF(B2:F2,TRUE())</f>
        <v>0</v>
      </c>
      <c r="N2" s="32" t="n">
        <f aca="false">COUNTIF(G2:J2,TRUE())</f>
        <v>0</v>
      </c>
      <c r="O2" s="32" t="n">
        <f aca="false">COUNTIF(K2:L2,TRUE())</f>
        <v>0</v>
      </c>
      <c r="P2" s="33" t="n">
        <v>0</v>
      </c>
      <c r="Q2" s="28"/>
      <c r="R2" s="28"/>
      <c r="S2" s="28"/>
      <c r="T2" s="28"/>
      <c r="U2" s="28"/>
      <c r="V2" s="28"/>
      <c r="W2" s="28"/>
      <c r="X2" s="28"/>
      <c r="Y2" s="28"/>
      <c r="Z2" s="28"/>
    </row>
    <row r="3" customFormat="false" ht="21.75" hidden="false" customHeight="true" outlineLevel="0" collapsed="false">
      <c r="A3" s="29" t="s">
        <v>50</v>
      </c>
      <c r="B3" s="30" t="b">
        <f aca="false">FALSE()</f>
        <v>0</v>
      </c>
      <c r="C3" s="30" t="b">
        <f aca="false">FALSE()</f>
        <v>0</v>
      </c>
      <c r="D3" s="30" t="b">
        <f aca="false">FALSE()</f>
        <v>0</v>
      </c>
      <c r="E3" s="30" t="b">
        <f aca="false">FALSE()</f>
        <v>0</v>
      </c>
      <c r="F3" s="30" t="b">
        <f aca="false">FALSE()</f>
        <v>0</v>
      </c>
      <c r="G3" s="30" t="b">
        <f aca="false">FALSE()</f>
        <v>0</v>
      </c>
      <c r="H3" s="30" t="b">
        <f aca="false">FALSE()</f>
        <v>0</v>
      </c>
      <c r="I3" s="30" t="b">
        <f aca="false">FALSE()</f>
        <v>0</v>
      </c>
      <c r="J3" s="30" t="b">
        <f aca="false">FALSE()</f>
        <v>0</v>
      </c>
      <c r="K3" s="30" t="b">
        <f aca="false">FALSE()</f>
        <v>0</v>
      </c>
      <c r="L3" s="30" t="b">
        <f aca="false">FALSE()</f>
        <v>0</v>
      </c>
      <c r="M3" s="32" t="n">
        <f aca="false">COUNTIF(B3:F3,TRUE())</f>
        <v>0</v>
      </c>
      <c r="N3" s="32" t="n">
        <f aca="false">COUNTIF(G3:J3,TRUE())</f>
        <v>0</v>
      </c>
      <c r="O3" s="32" t="n">
        <f aca="false">COUNTIF(K3:L3,TRUE())</f>
        <v>0</v>
      </c>
      <c r="P3" s="33" t="n">
        <v>0</v>
      </c>
      <c r="Q3" s="28"/>
      <c r="R3" s="28"/>
      <c r="S3" s="28"/>
      <c r="T3" s="28"/>
      <c r="U3" s="28"/>
      <c r="V3" s="28"/>
      <c r="W3" s="28"/>
      <c r="X3" s="28"/>
      <c r="Y3" s="28"/>
      <c r="Z3" s="28"/>
    </row>
    <row r="4" customFormat="false" ht="21.75" hidden="false" customHeight="true" outlineLevel="0" collapsed="false">
      <c r="A4" s="29" t="s">
        <v>51</v>
      </c>
      <c r="B4" s="30" t="b">
        <f aca="false">FALSE()</f>
        <v>0</v>
      </c>
      <c r="C4" s="30" t="b">
        <f aca="false">FALSE()</f>
        <v>0</v>
      </c>
      <c r="D4" s="30" t="b">
        <f aca="false">FALSE()</f>
        <v>0</v>
      </c>
      <c r="E4" s="30" t="b">
        <f aca="false">FALSE()</f>
        <v>0</v>
      </c>
      <c r="F4" s="30" t="b">
        <f aca="false">FALSE()</f>
        <v>0</v>
      </c>
      <c r="G4" s="30" t="b">
        <f aca="false">FALSE()</f>
        <v>0</v>
      </c>
      <c r="H4" s="30" t="b">
        <f aca="false">FALSE()</f>
        <v>0</v>
      </c>
      <c r="I4" s="30" t="b">
        <f aca="false">FALSE()</f>
        <v>0</v>
      </c>
      <c r="J4" s="30" t="b">
        <f aca="false">FALSE()</f>
        <v>0</v>
      </c>
      <c r="K4" s="30" t="b">
        <f aca="false">FALSE()</f>
        <v>0</v>
      </c>
      <c r="L4" s="30" t="b">
        <f aca="false">FALSE()</f>
        <v>0</v>
      </c>
      <c r="M4" s="32" t="n">
        <f aca="false">COUNTIF(B4:F4,TRUE())</f>
        <v>0</v>
      </c>
      <c r="N4" s="32" t="n">
        <f aca="false">COUNTIF(G4:J4,TRUE())</f>
        <v>0</v>
      </c>
      <c r="O4" s="32" t="n">
        <f aca="false">COUNTIF(K4:L4,TRUE())</f>
        <v>0</v>
      </c>
      <c r="P4" s="33" t="n">
        <v>0</v>
      </c>
      <c r="Q4" s="28"/>
      <c r="R4" s="28"/>
      <c r="S4" s="28"/>
      <c r="T4" s="28"/>
      <c r="U4" s="28"/>
      <c r="V4" s="28"/>
      <c r="W4" s="28"/>
      <c r="X4" s="28"/>
      <c r="Y4" s="28"/>
      <c r="Z4" s="28"/>
    </row>
    <row r="5" customFormat="false" ht="21.75" hidden="false" customHeight="true" outlineLevel="0" collapsed="false">
      <c r="A5" s="29" t="s">
        <v>52</v>
      </c>
      <c r="B5" s="30" t="b">
        <f aca="false">FALSE()</f>
        <v>0</v>
      </c>
      <c r="C5" s="30" t="b">
        <f aca="false">FALSE()</f>
        <v>0</v>
      </c>
      <c r="D5" s="30" t="b">
        <f aca="false">FALSE()</f>
        <v>0</v>
      </c>
      <c r="E5" s="30" t="b">
        <f aca="false">FALSE()</f>
        <v>0</v>
      </c>
      <c r="F5" s="30" t="b">
        <f aca="false">FALSE()</f>
        <v>0</v>
      </c>
      <c r="G5" s="30" t="b">
        <f aca="false">FALSE()</f>
        <v>0</v>
      </c>
      <c r="H5" s="30" t="b">
        <f aca="false">FALSE()</f>
        <v>0</v>
      </c>
      <c r="I5" s="30" t="b">
        <f aca="false">FALSE()</f>
        <v>0</v>
      </c>
      <c r="J5" s="30" t="b">
        <f aca="false">FALSE()</f>
        <v>0</v>
      </c>
      <c r="K5" s="30" t="b">
        <f aca="false">FALSE()</f>
        <v>0</v>
      </c>
      <c r="L5" s="30" t="b">
        <f aca="false">FALSE()</f>
        <v>0</v>
      </c>
      <c r="M5" s="32" t="n">
        <f aca="false">COUNTIF(B5:F5,TRUE())</f>
        <v>0</v>
      </c>
      <c r="N5" s="32" t="n">
        <f aca="false">COUNTIF(G5:J5,TRUE())</f>
        <v>0</v>
      </c>
      <c r="O5" s="32" t="n">
        <f aca="false">COUNTIF(K5:L5,TRUE())</f>
        <v>0</v>
      </c>
      <c r="P5" s="33" t="n">
        <v>0</v>
      </c>
      <c r="Q5" s="28"/>
      <c r="R5" s="28"/>
      <c r="S5" s="28"/>
      <c r="T5" s="28"/>
      <c r="U5" s="28"/>
      <c r="V5" s="28"/>
      <c r="W5" s="28"/>
      <c r="X5" s="28"/>
      <c r="Y5" s="28"/>
      <c r="Z5" s="28"/>
    </row>
    <row r="6" customFormat="false" ht="21.75" hidden="false" customHeight="true" outlineLevel="0" collapsed="false">
      <c r="A6" s="29" t="s">
        <v>53</v>
      </c>
      <c r="B6" s="30" t="b">
        <f aca="false">FALSE()</f>
        <v>0</v>
      </c>
      <c r="C6" s="30" t="b">
        <f aca="false">FALSE()</f>
        <v>0</v>
      </c>
      <c r="D6" s="30" t="b">
        <f aca="false">FALSE()</f>
        <v>0</v>
      </c>
      <c r="E6" s="30" t="b">
        <f aca="false">FALSE()</f>
        <v>0</v>
      </c>
      <c r="F6" s="30" t="b">
        <f aca="false">FALSE()</f>
        <v>0</v>
      </c>
      <c r="G6" s="30" t="b">
        <f aca="false">FALSE()</f>
        <v>0</v>
      </c>
      <c r="H6" s="30" t="b">
        <f aca="false">FALSE()</f>
        <v>0</v>
      </c>
      <c r="I6" s="30" t="b">
        <f aca="false">FALSE()</f>
        <v>0</v>
      </c>
      <c r="J6" s="30" t="b">
        <f aca="false">FALSE()</f>
        <v>0</v>
      </c>
      <c r="K6" s="30" t="b">
        <f aca="false">FALSE()</f>
        <v>0</v>
      </c>
      <c r="L6" s="30" t="b">
        <f aca="false">FALSE()</f>
        <v>0</v>
      </c>
      <c r="M6" s="32" t="n">
        <f aca="false">COUNTIF(B6:F6,TRUE())</f>
        <v>0</v>
      </c>
      <c r="N6" s="32" t="n">
        <f aca="false">COUNTIF(G6:J6,TRUE())</f>
        <v>0</v>
      </c>
      <c r="O6" s="32" t="n">
        <f aca="false">COUNTIF(K6:L6,TRUE())</f>
        <v>0</v>
      </c>
      <c r="P6" s="33" t="n">
        <v>0</v>
      </c>
      <c r="Q6" s="28"/>
      <c r="R6" s="28"/>
      <c r="S6" s="28"/>
      <c r="T6" s="28"/>
      <c r="U6" s="28"/>
      <c r="V6" s="28"/>
      <c r="W6" s="28"/>
      <c r="X6" s="28"/>
      <c r="Y6" s="28"/>
      <c r="Z6" s="28"/>
    </row>
    <row r="7" customFormat="false" ht="21.75" hidden="false" customHeight="true" outlineLevel="0" collapsed="false">
      <c r="A7" s="29" t="s">
        <v>54</v>
      </c>
      <c r="B7" s="30" t="b">
        <f aca="false">FALSE()</f>
        <v>0</v>
      </c>
      <c r="C7" s="30" t="b">
        <f aca="false">FALSE()</f>
        <v>0</v>
      </c>
      <c r="D7" s="30" t="b">
        <f aca="false">FALSE()</f>
        <v>0</v>
      </c>
      <c r="E7" s="30" t="b">
        <f aca="false">FALSE()</f>
        <v>0</v>
      </c>
      <c r="F7" s="30" t="b">
        <f aca="false">FALSE()</f>
        <v>0</v>
      </c>
      <c r="G7" s="30" t="b">
        <f aca="false">FALSE()</f>
        <v>0</v>
      </c>
      <c r="H7" s="30" t="b">
        <f aca="false">FALSE()</f>
        <v>0</v>
      </c>
      <c r="I7" s="30" t="b">
        <f aca="false">FALSE()</f>
        <v>0</v>
      </c>
      <c r="J7" s="30" t="b">
        <f aca="false">FALSE()</f>
        <v>0</v>
      </c>
      <c r="K7" s="30" t="b">
        <f aca="false">FALSE()</f>
        <v>0</v>
      </c>
      <c r="L7" s="30" t="b">
        <f aca="false">FALSE()</f>
        <v>0</v>
      </c>
      <c r="M7" s="32" t="n">
        <f aca="false">COUNTIF(B7:F7,TRUE())</f>
        <v>0</v>
      </c>
      <c r="N7" s="32" t="n">
        <f aca="false">COUNTIF(G7:J7,TRUE())</f>
        <v>0</v>
      </c>
      <c r="O7" s="32" t="n">
        <f aca="false">COUNTIF(K7:L7,TRUE())</f>
        <v>0</v>
      </c>
      <c r="P7" s="33" t="n">
        <v>0</v>
      </c>
      <c r="Q7" s="28"/>
      <c r="R7" s="28"/>
      <c r="S7" s="28"/>
      <c r="T7" s="28"/>
      <c r="U7" s="28"/>
      <c r="V7" s="28"/>
      <c r="W7" s="28"/>
      <c r="X7" s="28"/>
      <c r="Y7" s="28"/>
      <c r="Z7" s="28"/>
    </row>
    <row r="8" customFormat="false" ht="21.75" hidden="false" customHeight="true" outlineLevel="0" collapsed="false">
      <c r="A8" s="29" t="s">
        <v>55</v>
      </c>
      <c r="B8" s="30" t="b">
        <f aca="false">FALSE()</f>
        <v>0</v>
      </c>
      <c r="C8" s="30" t="b">
        <f aca="false">FALSE()</f>
        <v>0</v>
      </c>
      <c r="D8" s="30" t="b">
        <f aca="false">FALSE()</f>
        <v>0</v>
      </c>
      <c r="E8" s="30" t="b">
        <f aca="false">FALSE()</f>
        <v>0</v>
      </c>
      <c r="F8" s="30" t="b">
        <f aca="false">FALSE()</f>
        <v>0</v>
      </c>
      <c r="G8" s="30" t="b">
        <f aca="false">FALSE()</f>
        <v>0</v>
      </c>
      <c r="H8" s="30" t="b">
        <f aca="false">FALSE()</f>
        <v>0</v>
      </c>
      <c r="I8" s="30" t="b">
        <f aca="false">FALSE()</f>
        <v>0</v>
      </c>
      <c r="J8" s="30" t="b">
        <f aca="false">FALSE()</f>
        <v>0</v>
      </c>
      <c r="K8" s="30" t="b">
        <f aca="false">FALSE()</f>
        <v>0</v>
      </c>
      <c r="L8" s="30" t="b">
        <f aca="false">FALSE()</f>
        <v>0</v>
      </c>
      <c r="M8" s="32" t="n">
        <f aca="false">COUNTIF(B8:F8,TRUE())</f>
        <v>0</v>
      </c>
      <c r="N8" s="32" t="n">
        <f aca="false">COUNTIF(G8:J8,TRUE())</f>
        <v>0</v>
      </c>
      <c r="O8" s="32" t="n">
        <f aca="false">COUNTIF(K8:L8,TRUE())</f>
        <v>0</v>
      </c>
      <c r="P8" s="33" t="n">
        <v>0</v>
      </c>
      <c r="Q8" s="28"/>
      <c r="R8" s="28"/>
      <c r="S8" s="28"/>
      <c r="T8" s="28"/>
      <c r="U8" s="28"/>
      <c r="V8" s="28"/>
      <c r="W8" s="28"/>
      <c r="X8" s="28"/>
      <c r="Y8" s="28"/>
      <c r="Z8" s="28"/>
    </row>
    <row r="9" customFormat="false" ht="21.75" hidden="false" customHeight="true" outlineLevel="0" collapsed="false">
      <c r="A9" s="29" t="s">
        <v>329</v>
      </c>
      <c r="B9" s="30" t="b">
        <f aca="false">FALSE()</f>
        <v>0</v>
      </c>
      <c r="C9" s="30" t="b">
        <f aca="false">FALSE()</f>
        <v>0</v>
      </c>
      <c r="D9" s="30" t="b">
        <f aca="false">FALSE()</f>
        <v>0</v>
      </c>
      <c r="E9" s="30" t="b">
        <f aca="false">FALSE()</f>
        <v>0</v>
      </c>
      <c r="F9" s="30" t="b">
        <f aca="false">FALSE()</f>
        <v>0</v>
      </c>
      <c r="G9" s="30" t="b">
        <f aca="false">FALSE()</f>
        <v>0</v>
      </c>
      <c r="H9" s="30" t="b">
        <f aca="false">FALSE()</f>
        <v>0</v>
      </c>
      <c r="I9" s="30" t="b">
        <f aca="false">FALSE()</f>
        <v>0</v>
      </c>
      <c r="J9" s="30" t="b">
        <f aca="false">FALSE()</f>
        <v>0</v>
      </c>
      <c r="K9" s="30" t="b">
        <f aca="false">FALSE()</f>
        <v>0</v>
      </c>
      <c r="L9" s="30" t="b">
        <f aca="false">FALSE()</f>
        <v>0</v>
      </c>
      <c r="M9" s="32" t="n">
        <f aca="false">COUNTIF(B9:F9,TRUE())</f>
        <v>0</v>
      </c>
      <c r="N9" s="32" t="n">
        <f aca="false">COUNTIF(G9:J9,TRUE())</f>
        <v>0</v>
      </c>
      <c r="O9" s="32" t="n">
        <f aca="false">COUNTIF(K9:L9,TRUE())</f>
        <v>0</v>
      </c>
      <c r="P9" s="33" t="n">
        <v>0</v>
      </c>
      <c r="Q9" s="28"/>
      <c r="R9" s="28"/>
      <c r="S9" s="28"/>
      <c r="T9" s="28"/>
      <c r="U9" s="28"/>
      <c r="V9" s="28"/>
      <c r="W9" s="28"/>
      <c r="X9" s="28"/>
      <c r="Y9" s="28"/>
      <c r="Z9" s="28"/>
    </row>
    <row r="10" customFormat="false" ht="21.75" hidden="false" customHeight="true" outlineLevel="0" collapsed="false">
      <c r="A10" s="29" t="s">
        <v>56</v>
      </c>
      <c r="B10" s="30" t="b">
        <f aca="false">FALSE()</f>
        <v>0</v>
      </c>
      <c r="C10" s="30" t="b">
        <f aca="false">FALSE()</f>
        <v>0</v>
      </c>
      <c r="D10" s="30" t="b">
        <f aca="false">FALSE()</f>
        <v>0</v>
      </c>
      <c r="E10" s="30" t="b">
        <f aca="false">FALSE()</f>
        <v>0</v>
      </c>
      <c r="F10" s="30" t="b">
        <f aca="false">FALSE()</f>
        <v>0</v>
      </c>
      <c r="G10" s="30" t="b">
        <f aca="false">FALSE()</f>
        <v>0</v>
      </c>
      <c r="H10" s="30" t="b">
        <f aca="false">FALSE()</f>
        <v>0</v>
      </c>
      <c r="I10" s="30" t="b">
        <f aca="false">FALSE()</f>
        <v>0</v>
      </c>
      <c r="J10" s="30" t="b">
        <f aca="false">FALSE()</f>
        <v>0</v>
      </c>
      <c r="K10" s="30" t="b">
        <f aca="false">FALSE()</f>
        <v>0</v>
      </c>
      <c r="L10" s="30" t="b">
        <f aca="false">FALSE()</f>
        <v>0</v>
      </c>
      <c r="M10" s="32" t="n">
        <f aca="false">COUNTIF(B10:F10,TRUE())</f>
        <v>0</v>
      </c>
      <c r="N10" s="32" t="n">
        <f aca="false">COUNTIF(G10:J10,TRUE())</f>
        <v>0</v>
      </c>
      <c r="O10" s="32" t="n">
        <f aca="false">COUNTIF(K10:L10,TRUE())</f>
        <v>0</v>
      </c>
      <c r="P10" s="33" t="n">
        <v>0</v>
      </c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customFormat="false" ht="21.75" hidden="false" customHeight="true" outlineLevel="0" collapsed="false">
      <c r="A11" s="29" t="s">
        <v>57</v>
      </c>
      <c r="B11" s="30" t="b">
        <f aca="false">FALSE()</f>
        <v>0</v>
      </c>
      <c r="C11" s="30" t="b">
        <f aca="false">FALSE()</f>
        <v>0</v>
      </c>
      <c r="D11" s="30" t="b">
        <f aca="false">FALSE()</f>
        <v>0</v>
      </c>
      <c r="E11" s="30" t="b">
        <f aca="false">FALSE()</f>
        <v>0</v>
      </c>
      <c r="F11" s="30" t="b">
        <f aca="false">FALSE()</f>
        <v>0</v>
      </c>
      <c r="G11" s="30" t="b">
        <f aca="false">FALSE()</f>
        <v>0</v>
      </c>
      <c r="H11" s="30" t="b">
        <f aca="false">FALSE()</f>
        <v>0</v>
      </c>
      <c r="I11" s="30" t="b">
        <f aca="false">FALSE()</f>
        <v>0</v>
      </c>
      <c r="J11" s="30" t="b">
        <f aca="false">FALSE()</f>
        <v>0</v>
      </c>
      <c r="K11" s="30" t="b">
        <f aca="false">FALSE()</f>
        <v>0</v>
      </c>
      <c r="L11" s="30" t="b">
        <f aca="false">FALSE()</f>
        <v>0</v>
      </c>
      <c r="M11" s="32" t="n">
        <f aca="false">COUNTIF(B11:F11,TRUE())</f>
        <v>0</v>
      </c>
      <c r="N11" s="32" t="n">
        <f aca="false">COUNTIF(G11:J11,TRUE())</f>
        <v>0</v>
      </c>
      <c r="O11" s="32" t="n">
        <f aca="false">COUNTIF(K11:L11,TRUE())</f>
        <v>0</v>
      </c>
      <c r="P11" s="33" t="n">
        <v>0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customFormat="false" ht="21.75" hidden="false" customHeight="true" outlineLevel="0" collapsed="false">
      <c r="A12" s="29" t="s">
        <v>58</v>
      </c>
      <c r="B12" s="30" t="b">
        <f aca="false">FALSE()</f>
        <v>0</v>
      </c>
      <c r="C12" s="30" t="b">
        <f aca="false">FALSE()</f>
        <v>0</v>
      </c>
      <c r="D12" s="30" t="b">
        <f aca="false">FALSE()</f>
        <v>0</v>
      </c>
      <c r="E12" s="30" t="b">
        <f aca="false">FALSE()</f>
        <v>0</v>
      </c>
      <c r="F12" s="30" t="b">
        <f aca="false">FALSE()</f>
        <v>0</v>
      </c>
      <c r="G12" s="30" t="b">
        <f aca="false">FALSE()</f>
        <v>0</v>
      </c>
      <c r="H12" s="30" t="b">
        <f aca="false">FALSE()</f>
        <v>0</v>
      </c>
      <c r="I12" s="30" t="b">
        <f aca="false">FALSE()</f>
        <v>0</v>
      </c>
      <c r="J12" s="30" t="b">
        <f aca="false">FALSE()</f>
        <v>0</v>
      </c>
      <c r="K12" s="30" t="b">
        <f aca="false">FALSE()</f>
        <v>0</v>
      </c>
      <c r="L12" s="30" t="b">
        <f aca="false">FALSE()</f>
        <v>0</v>
      </c>
      <c r="M12" s="32" t="n">
        <f aca="false">COUNTIF(B12:F12,TRUE())</f>
        <v>0</v>
      </c>
      <c r="N12" s="32" t="n">
        <f aca="false">COUNTIF(G12:J12,TRUE())</f>
        <v>0</v>
      </c>
      <c r="O12" s="32" t="n">
        <f aca="false">COUNTIF(K12:L12,TRUE())</f>
        <v>0</v>
      </c>
      <c r="P12" s="33" t="n">
        <v>0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customFormat="false" ht="21.75" hidden="false" customHeight="true" outlineLevel="0" collapsed="false">
      <c r="A13" s="29" t="s">
        <v>59</v>
      </c>
      <c r="B13" s="30" t="b">
        <f aca="false">FALSE()</f>
        <v>0</v>
      </c>
      <c r="C13" s="30" t="b">
        <f aca="false">FALSE()</f>
        <v>0</v>
      </c>
      <c r="D13" s="30" t="b">
        <f aca="false">FALSE()</f>
        <v>0</v>
      </c>
      <c r="E13" s="30" t="b">
        <f aca="false">FALSE()</f>
        <v>0</v>
      </c>
      <c r="F13" s="30" t="b">
        <f aca="false">FALSE()</f>
        <v>0</v>
      </c>
      <c r="G13" s="30" t="b">
        <f aca="false">FALSE()</f>
        <v>0</v>
      </c>
      <c r="H13" s="30" t="b">
        <f aca="false">FALSE()</f>
        <v>0</v>
      </c>
      <c r="I13" s="30" t="b">
        <f aca="false">FALSE()</f>
        <v>0</v>
      </c>
      <c r="J13" s="30" t="b">
        <f aca="false">FALSE()</f>
        <v>0</v>
      </c>
      <c r="K13" s="30" t="b">
        <f aca="false">FALSE()</f>
        <v>0</v>
      </c>
      <c r="L13" s="30" t="b">
        <f aca="false">FALSE()</f>
        <v>0</v>
      </c>
      <c r="M13" s="32" t="n">
        <f aca="false">COUNTIF(B13:F13,TRUE())</f>
        <v>0</v>
      </c>
      <c r="N13" s="32" t="n">
        <f aca="false">COUNTIF(G13:J13,TRUE())</f>
        <v>0</v>
      </c>
      <c r="O13" s="32" t="n">
        <f aca="false">COUNTIF(K13:L13,TRUE())</f>
        <v>0</v>
      </c>
      <c r="P13" s="33" t="n">
        <v>0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customFormat="false" ht="21.75" hidden="false" customHeight="true" outlineLevel="0" collapsed="false">
      <c r="A14" s="29" t="s">
        <v>60</v>
      </c>
      <c r="B14" s="30" t="b">
        <f aca="false">FALSE()</f>
        <v>0</v>
      </c>
      <c r="C14" s="30" t="b">
        <f aca="false">FALSE()</f>
        <v>0</v>
      </c>
      <c r="D14" s="30" t="b">
        <f aca="false">FALSE()</f>
        <v>0</v>
      </c>
      <c r="E14" s="30" t="b">
        <f aca="false">FALSE()</f>
        <v>0</v>
      </c>
      <c r="F14" s="30" t="b">
        <f aca="false">FALSE()</f>
        <v>0</v>
      </c>
      <c r="G14" s="30" t="b">
        <f aca="false">FALSE()</f>
        <v>0</v>
      </c>
      <c r="H14" s="30" t="b">
        <f aca="false">FALSE()</f>
        <v>0</v>
      </c>
      <c r="I14" s="30" t="b">
        <f aca="false">FALSE()</f>
        <v>0</v>
      </c>
      <c r="J14" s="30" t="b">
        <f aca="false">FALSE()</f>
        <v>0</v>
      </c>
      <c r="K14" s="30" t="b">
        <f aca="false">FALSE()</f>
        <v>0</v>
      </c>
      <c r="L14" s="30" t="b">
        <f aca="false">FALSE()</f>
        <v>0</v>
      </c>
      <c r="M14" s="32" t="n">
        <f aca="false">COUNTIF(B14:F14,TRUE())</f>
        <v>0</v>
      </c>
      <c r="N14" s="32" t="n">
        <f aca="false">COUNTIF(G14:J14,TRUE())</f>
        <v>0</v>
      </c>
      <c r="O14" s="32" t="n">
        <f aca="false">COUNTIF(K14:L14,TRUE())</f>
        <v>0</v>
      </c>
      <c r="P14" s="33" t="n">
        <v>0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customFormat="false" ht="21.75" hidden="false" customHeight="true" outlineLevel="0" collapsed="false">
      <c r="A15" s="29" t="s">
        <v>61</v>
      </c>
      <c r="B15" s="30" t="b">
        <f aca="false">FALSE()</f>
        <v>0</v>
      </c>
      <c r="C15" s="30" t="b">
        <f aca="false">FALSE()</f>
        <v>0</v>
      </c>
      <c r="D15" s="30" t="b">
        <f aca="false">FALSE()</f>
        <v>0</v>
      </c>
      <c r="E15" s="30" t="b">
        <f aca="false">FALSE()</f>
        <v>0</v>
      </c>
      <c r="F15" s="30" t="b">
        <f aca="false">FALSE()</f>
        <v>0</v>
      </c>
      <c r="G15" s="30" t="b">
        <f aca="false">FALSE()</f>
        <v>0</v>
      </c>
      <c r="H15" s="30" t="b">
        <f aca="false">FALSE()</f>
        <v>0</v>
      </c>
      <c r="I15" s="30" t="b">
        <f aca="false">FALSE()</f>
        <v>0</v>
      </c>
      <c r="J15" s="30" t="b">
        <f aca="false">FALSE()</f>
        <v>0</v>
      </c>
      <c r="K15" s="30" t="b">
        <f aca="false">FALSE()</f>
        <v>0</v>
      </c>
      <c r="L15" s="30" t="b">
        <f aca="false">FALSE()</f>
        <v>0</v>
      </c>
      <c r="M15" s="32" t="n">
        <f aca="false">COUNTIF(B15:F15,TRUE())</f>
        <v>0</v>
      </c>
      <c r="N15" s="32" t="n">
        <f aca="false">COUNTIF(G15:J15,TRUE())</f>
        <v>0</v>
      </c>
      <c r="O15" s="32" t="n">
        <f aca="false">COUNTIF(K15:L15,TRUE())</f>
        <v>0</v>
      </c>
      <c r="P15" s="33" t="n">
        <v>0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customFormat="false" ht="21.75" hidden="false" customHeight="true" outlineLevel="0" collapsed="false">
      <c r="A16" s="29" t="s">
        <v>62</v>
      </c>
      <c r="B16" s="30" t="b">
        <f aca="false">FALSE()</f>
        <v>0</v>
      </c>
      <c r="C16" s="30" t="b">
        <f aca="false">FALSE()</f>
        <v>0</v>
      </c>
      <c r="D16" s="30" t="b">
        <f aca="false">FALSE()</f>
        <v>0</v>
      </c>
      <c r="E16" s="30" t="b">
        <f aca="false">FALSE()</f>
        <v>0</v>
      </c>
      <c r="F16" s="30" t="b">
        <f aca="false">FALSE()</f>
        <v>0</v>
      </c>
      <c r="G16" s="30" t="b">
        <f aca="false">FALSE()</f>
        <v>0</v>
      </c>
      <c r="H16" s="30" t="b">
        <f aca="false">FALSE()</f>
        <v>0</v>
      </c>
      <c r="I16" s="30" t="b">
        <f aca="false">FALSE()</f>
        <v>0</v>
      </c>
      <c r="J16" s="30" t="b">
        <f aca="false">FALSE()</f>
        <v>0</v>
      </c>
      <c r="K16" s="30" t="b">
        <f aca="false">FALSE()</f>
        <v>0</v>
      </c>
      <c r="L16" s="30" t="b">
        <f aca="false">FALSE()</f>
        <v>0</v>
      </c>
      <c r="M16" s="32" t="n">
        <f aca="false">COUNTIF(B16:F16,TRUE())</f>
        <v>0</v>
      </c>
      <c r="N16" s="32" t="n">
        <f aca="false">COUNTIF(G16:J16,TRUE())</f>
        <v>0</v>
      </c>
      <c r="O16" s="32" t="n">
        <f aca="false">COUNTIF(K16:L16,TRUE())</f>
        <v>0</v>
      </c>
      <c r="P16" s="33" t="n">
        <v>0</v>
      </c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customFormat="false" ht="21.75" hidden="false" customHeight="true" outlineLevel="0" collapsed="false">
      <c r="A17" s="29" t="s">
        <v>63</v>
      </c>
      <c r="B17" s="30" t="b">
        <f aca="false">FALSE()</f>
        <v>0</v>
      </c>
      <c r="C17" s="30" t="b">
        <f aca="false">FALSE()</f>
        <v>0</v>
      </c>
      <c r="D17" s="30" t="b">
        <f aca="false">FALSE()</f>
        <v>0</v>
      </c>
      <c r="E17" s="30" t="b">
        <f aca="false">FALSE()</f>
        <v>0</v>
      </c>
      <c r="F17" s="30" t="b">
        <f aca="false">FALSE()</f>
        <v>0</v>
      </c>
      <c r="G17" s="30" t="b">
        <f aca="false">FALSE()</f>
        <v>0</v>
      </c>
      <c r="H17" s="30" t="b">
        <f aca="false">FALSE()</f>
        <v>0</v>
      </c>
      <c r="I17" s="30" t="b">
        <f aca="false">FALSE()</f>
        <v>0</v>
      </c>
      <c r="J17" s="30" t="b">
        <f aca="false">FALSE()</f>
        <v>0</v>
      </c>
      <c r="K17" s="30" t="b">
        <f aca="false">FALSE()</f>
        <v>0</v>
      </c>
      <c r="L17" s="30" t="b">
        <f aca="false">FALSE()</f>
        <v>0</v>
      </c>
      <c r="M17" s="32" t="n">
        <f aca="false">COUNTIF(B17:F17,TRUE())</f>
        <v>0</v>
      </c>
      <c r="N17" s="32" t="n">
        <f aca="false">COUNTIF(G17:J17,TRUE())</f>
        <v>0</v>
      </c>
      <c r="O17" s="32" t="n">
        <f aca="false">COUNTIF(K17:L17,TRUE())</f>
        <v>0</v>
      </c>
      <c r="P17" s="33" t="n">
        <v>0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customFormat="false" ht="21.75" hidden="false" customHeight="true" outlineLevel="0" collapsed="false">
      <c r="A18" s="29" t="s">
        <v>64</v>
      </c>
      <c r="B18" s="30" t="b">
        <f aca="false">FALSE()</f>
        <v>0</v>
      </c>
      <c r="C18" s="30" t="b">
        <f aca="false">FALSE()</f>
        <v>0</v>
      </c>
      <c r="D18" s="30" t="b">
        <f aca="false">FALSE()</f>
        <v>0</v>
      </c>
      <c r="E18" s="30" t="b">
        <f aca="false">FALSE()</f>
        <v>0</v>
      </c>
      <c r="F18" s="30" t="b">
        <f aca="false">FALSE()</f>
        <v>0</v>
      </c>
      <c r="G18" s="30" t="b">
        <f aca="false">FALSE()</f>
        <v>0</v>
      </c>
      <c r="H18" s="30" t="b">
        <f aca="false">FALSE()</f>
        <v>0</v>
      </c>
      <c r="I18" s="30" t="b">
        <f aca="false">FALSE()</f>
        <v>0</v>
      </c>
      <c r="J18" s="30" t="b">
        <f aca="false">FALSE()</f>
        <v>0</v>
      </c>
      <c r="K18" s="30" t="b">
        <f aca="false">FALSE()</f>
        <v>0</v>
      </c>
      <c r="L18" s="30" t="b">
        <f aca="false">FALSE()</f>
        <v>0</v>
      </c>
      <c r="M18" s="32" t="n">
        <f aca="false">COUNTIF(B18:F18,TRUE())</f>
        <v>0</v>
      </c>
      <c r="N18" s="32" t="n">
        <f aca="false">COUNTIF(G18:J18,TRUE())</f>
        <v>0</v>
      </c>
      <c r="O18" s="32" t="n">
        <f aca="false">COUNTIF(K18:L18,TRUE())</f>
        <v>0</v>
      </c>
      <c r="P18" s="33" t="n">
        <v>0</v>
      </c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customFormat="false" ht="21.75" hidden="false" customHeight="true" outlineLevel="0" collapsed="false">
      <c r="A19" s="15" t="s">
        <v>328</v>
      </c>
      <c r="B19" s="30" t="b">
        <f aca="false">FALSE()</f>
        <v>0</v>
      </c>
      <c r="C19" s="30" t="b">
        <f aca="false">FALSE()</f>
        <v>0</v>
      </c>
      <c r="D19" s="30" t="b">
        <f aca="false">FALSE()</f>
        <v>0</v>
      </c>
      <c r="E19" s="30" t="b">
        <f aca="false">FALSE()</f>
        <v>0</v>
      </c>
      <c r="F19" s="30" t="b">
        <f aca="false">FALSE()</f>
        <v>0</v>
      </c>
      <c r="G19" s="30" t="b">
        <f aca="false">FALSE()</f>
        <v>0</v>
      </c>
      <c r="H19" s="30" t="b">
        <f aca="false">FALSE()</f>
        <v>0</v>
      </c>
      <c r="I19" s="30" t="b">
        <f aca="false">FALSE()</f>
        <v>0</v>
      </c>
      <c r="J19" s="30" t="b">
        <f aca="false">FALSE()</f>
        <v>0</v>
      </c>
      <c r="K19" s="30" t="b">
        <f aca="false">FALSE()</f>
        <v>0</v>
      </c>
      <c r="L19" s="30" t="b">
        <f aca="false">FALSE()</f>
        <v>0</v>
      </c>
      <c r="M19" s="32" t="n">
        <f aca="false">COUNTIF(B19:F19,TRUE())</f>
        <v>0</v>
      </c>
      <c r="N19" s="32" t="n">
        <f aca="false">COUNTIF(G19:J19,TRUE())</f>
        <v>0</v>
      </c>
      <c r="O19" s="32" t="n">
        <f aca="false">COUNTIF(K19:L19,TRUE())</f>
        <v>0</v>
      </c>
      <c r="P19" s="33" t="n">
        <v>0</v>
      </c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customFormat="false" ht="21.75" hidden="false" customHeight="true" outlineLevel="0" collapsed="false">
      <c r="A20" s="29" t="s">
        <v>65</v>
      </c>
      <c r="B20" s="30" t="b">
        <f aca="false">FALSE()</f>
        <v>0</v>
      </c>
      <c r="C20" s="30" t="b">
        <f aca="false">FALSE()</f>
        <v>0</v>
      </c>
      <c r="D20" s="30" t="b">
        <f aca="false">FALSE()</f>
        <v>0</v>
      </c>
      <c r="E20" s="30" t="b">
        <f aca="false">FALSE()</f>
        <v>0</v>
      </c>
      <c r="F20" s="30" t="b">
        <f aca="false">FALSE()</f>
        <v>0</v>
      </c>
      <c r="G20" s="30" t="b">
        <f aca="false">FALSE()</f>
        <v>0</v>
      </c>
      <c r="H20" s="30" t="b">
        <f aca="false">FALSE()</f>
        <v>0</v>
      </c>
      <c r="I20" s="30" t="b">
        <f aca="false">FALSE()</f>
        <v>0</v>
      </c>
      <c r="J20" s="30" t="b">
        <f aca="false">FALSE()</f>
        <v>0</v>
      </c>
      <c r="K20" s="30" t="b">
        <f aca="false">FALSE()</f>
        <v>0</v>
      </c>
      <c r="L20" s="30" t="b">
        <f aca="false">FALSE()</f>
        <v>0</v>
      </c>
      <c r="M20" s="32" t="n">
        <f aca="false">COUNTIF(B20:F20,TRUE())</f>
        <v>0</v>
      </c>
      <c r="N20" s="32" t="n">
        <f aca="false">COUNTIF(G20:J20,TRUE())</f>
        <v>0</v>
      </c>
      <c r="O20" s="32" t="n">
        <f aca="false">COUNTIF(K20:L20,TRUE())</f>
        <v>0</v>
      </c>
      <c r="P20" s="33" t="n">
        <v>0</v>
      </c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customFormat="false" ht="21.75" hidden="false" customHeight="true" outlineLevel="0" collapsed="false">
      <c r="A21" s="29" t="s">
        <v>66</v>
      </c>
      <c r="B21" s="30" t="b">
        <f aca="false">FALSE()</f>
        <v>0</v>
      </c>
      <c r="C21" s="30" t="b">
        <f aca="false">FALSE()</f>
        <v>0</v>
      </c>
      <c r="D21" s="30" t="b">
        <f aca="false">FALSE()</f>
        <v>0</v>
      </c>
      <c r="E21" s="30" t="b">
        <f aca="false">FALSE()</f>
        <v>0</v>
      </c>
      <c r="F21" s="30" t="b">
        <f aca="false">FALSE()</f>
        <v>0</v>
      </c>
      <c r="G21" s="30" t="b">
        <f aca="false">FALSE()</f>
        <v>0</v>
      </c>
      <c r="H21" s="30" t="b">
        <f aca="false">FALSE()</f>
        <v>0</v>
      </c>
      <c r="I21" s="30" t="b">
        <f aca="false">FALSE()</f>
        <v>0</v>
      </c>
      <c r="J21" s="30" t="b">
        <f aca="false">FALSE()</f>
        <v>0</v>
      </c>
      <c r="K21" s="30" t="b">
        <f aca="false">FALSE()</f>
        <v>0</v>
      </c>
      <c r="L21" s="30" t="b">
        <f aca="false">FALSE()</f>
        <v>0</v>
      </c>
      <c r="M21" s="32" t="n">
        <f aca="false">COUNTIF(B21:F21,TRUE())</f>
        <v>0</v>
      </c>
      <c r="N21" s="32" t="n">
        <f aca="false">COUNTIF(G21:J21,TRUE())</f>
        <v>0</v>
      </c>
      <c r="O21" s="32" t="n">
        <f aca="false">COUNTIF(K21:L21,TRUE())</f>
        <v>0</v>
      </c>
      <c r="P21" s="33" t="n">
        <v>0</v>
      </c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customFormat="false" ht="21.75" hidden="false" customHeight="true" outlineLevel="0" collapsed="false">
      <c r="A22" s="29" t="s">
        <v>67</v>
      </c>
      <c r="B22" s="30" t="b">
        <f aca="false">FALSE()</f>
        <v>0</v>
      </c>
      <c r="C22" s="30" t="b">
        <f aca="false">FALSE()</f>
        <v>0</v>
      </c>
      <c r="D22" s="30" t="b">
        <f aca="false">FALSE()</f>
        <v>0</v>
      </c>
      <c r="E22" s="30" t="b">
        <f aca="false">FALSE()</f>
        <v>0</v>
      </c>
      <c r="F22" s="30" t="b">
        <f aca="false">FALSE()</f>
        <v>0</v>
      </c>
      <c r="G22" s="30" t="b">
        <f aca="false">FALSE()</f>
        <v>0</v>
      </c>
      <c r="H22" s="30" t="b">
        <f aca="false">FALSE()</f>
        <v>0</v>
      </c>
      <c r="I22" s="30" t="b">
        <f aca="false">FALSE()</f>
        <v>0</v>
      </c>
      <c r="J22" s="30" t="b">
        <f aca="false">FALSE()</f>
        <v>0</v>
      </c>
      <c r="K22" s="30" t="b">
        <f aca="false">FALSE()</f>
        <v>0</v>
      </c>
      <c r="L22" s="30" t="b">
        <f aca="false">FALSE()</f>
        <v>0</v>
      </c>
      <c r="M22" s="32" t="n">
        <f aca="false">COUNTIF(B22:F22,TRUE())</f>
        <v>0</v>
      </c>
      <c r="N22" s="32" t="n">
        <f aca="false">COUNTIF(G22:J22,TRUE())</f>
        <v>0</v>
      </c>
      <c r="O22" s="32" t="n">
        <f aca="false">COUNTIF(K22:L22,TRUE())</f>
        <v>0</v>
      </c>
      <c r="P22" s="33" t="n">
        <v>0</v>
      </c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customFormat="false" ht="21.75" hidden="false" customHeight="true" outlineLevel="0" collapsed="false">
      <c r="A23" s="29" t="s">
        <v>68</v>
      </c>
      <c r="B23" s="30" t="b">
        <f aca="false">FALSE()</f>
        <v>0</v>
      </c>
      <c r="C23" s="30" t="b">
        <f aca="false">FALSE()</f>
        <v>0</v>
      </c>
      <c r="D23" s="30" t="b">
        <f aca="false">FALSE()</f>
        <v>0</v>
      </c>
      <c r="E23" s="30" t="b">
        <f aca="false">FALSE()</f>
        <v>0</v>
      </c>
      <c r="F23" s="30" t="b">
        <f aca="false">FALSE()</f>
        <v>0</v>
      </c>
      <c r="G23" s="30" t="b">
        <f aca="false">FALSE()</f>
        <v>0</v>
      </c>
      <c r="H23" s="30" t="b">
        <f aca="false">FALSE()</f>
        <v>0</v>
      </c>
      <c r="I23" s="30" t="b">
        <f aca="false">FALSE()</f>
        <v>0</v>
      </c>
      <c r="J23" s="30" t="b">
        <f aca="false">FALSE()</f>
        <v>0</v>
      </c>
      <c r="K23" s="30" t="b">
        <f aca="false">FALSE()</f>
        <v>0</v>
      </c>
      <c r="L23" s="30" t="b">
        <f aca="false">FALSE()</f>
        <v>0</v>
      </c>
      <c r="M23" s="32" t="n">
        <f aca="false">COUNTIF(B23:F23,TRUE())</f>
        <v>0</v>
      </c>
      <c r="N23" s="32" t="n">
        <f aca="false">COUNTIF(G23:J23,TRUE())</f>
        <v>0</v>
      </c>
      <c r="O23" s="32" t="n">
        <f aca="false">COUNTIF(K23:L23,TRUE())</f>
        <v>0</v>
      </c>
      <c r="P23" s="33" t="n">
        <v>0</v>
      </c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customFormat="false" ht="21.75" hidden="false" customHeight="true" outlineLevel="0" collapsed="false">
      <c r="A24" s="29" t="s">
        <v>69</v>
      </c>
      <c r="B24" s="30" t="b">
        <f aca="false">FALSE()</f>
        <v>0</v>
      </c>
      <c r="C24" s="30" t="b">
        <f aca="false">FALSE()</f>
        <v>0</v>
      </c>
      <c r="D24" s="30" t="b">
        <f aca="false">FALSE()</f>
        <v>0</v>
      </c>
      <c r="E24" s="30" t="b">
        <f aca="false">FALSE()</f>
        <v>0</v>
      </c>
      <c r="F24" s="30" t="b">
        <f aca="false">FALSE()</f>
        <v>0</v>
      </c>
      <c r="G24" s="30" t="b">
        <f aca="false">FALSE()</f>
        <v>0</v>
      </c>
      <c r="H24" s="30" t="b">
        <f aca="false">FALSE()</f>
        <v>0</v>
      </c>
      <c r="I24" s="30" t="b">
        <f aca="false">FALSE()</f>
        <v>0</v>
      </c>
      <c r="J24" s="30" t="b">
        <f aca="false">FALSE()</f>
        <v>0</v>
      </c>
      <c r="K24" s="30" t="b">
        <f aca="false">FALSE()</f>
        <v>0</v>
      </c>
      <c r="L24" s="30" t="b">
        <f aca="false">FALSE()</f>
        <v>0</v>
      </c>
      <c r="M24" s="32" t="n">
        <f aca="false">COUNTIF(B24:F24,TRUE())</f>
        <v>0</v>
      </c>
      <c r="N24" s="32" t="n">
        <f aca="false">COUNTIF(G24:J24,TRUE())</f>
        <v>0</v>
      </c>
      <c r="O24" s="32" t="n">
        <f aca="false">COUNTIF(K24:L24,TRUE())</f>
        <v>0</v>
      </c>
      <c r="P24" s="33" t="n">
        <v>0</v>
      </c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customFormat="false" ht="21.75" hidden="false" customHeight="true" outlineLevel="0" collapsed="false">
      <c r="A25" s="29" t="s">
        <v>70</v>
      </c>
      <c r="B25" s="30" t="b">
        <f aca="false">FALSE()</f>
        <v>0</v>
      </c>
      <c r="C25" s="30" t="b">
        <f aca="false">FALSE()</f>
        <v>0</v>
      </c>
      <c r="D25" s="30" t="b">
        <f aca="false">FALSE()</f>
        <v>0</v>
      </c>
      <c r="E25" s="30" t="b">
        <f aca="false">FALSE()</f>
        <v>0</v>
      </c>
      <c r="F25" s="30" t="b">
        <f aca="false">FALSE()</f>
        <v>0</v>
      </c>
      <c r="G25" s="30" t="b">
        <f aca="false">FALSE()</f>
        <v>0</v>
      </c>
      <c r="H25" s="30" t="b">
        <f aca="false">FALSE()</f>
        <v>0</v>
      </c>
      <c r="I25" s="30" t="b">
        <f aca="false">FALSE()</f>
        <v>0</v>
      </c>
      <c r="J25" s="30" t="b">
        <f aca="false">FALSE()</f>
        <v>0</v>
      </c>
      <c r="K25" s="30" t="b">
        <f aca="false">FALSE()</f>
        <v>0</v>
      </c>
      <c r="L25" s="30" t="b">
        <f aca="false">FALSE()</f>
        <v>0</v>
      </c>
      <c r="M25" s="32" t="n">
        <f aca="false">COUNTIF(B25:F25,TRUE())</f>
        <v>0</v>
      </c>
      <c r="N25" s="32" t="n">
        <f aca="false">COUNTIF(G25:J25,TRUE())</f>
        <v>0</v>
      </c>
      <c r="O25" s="32" t="n">
        <f aca="false">COUNTIF(K25:L25,TRUE())</f>
        <v>0</v>
      </c>
      <c r="P25" s="33" t="n">
        <v>0</v>
      </c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customFormat="false" ht="21.75" hidden="false" customHeight="true" outlineLevel="0" collapsed="false">
      <c r="A26" s="29" t="s">
        <v>71</v>
      </c>
      <c r="B26" s="30" t="b">
        <f aca="false">FALSE()</f>
        <v>0</v>
      </c>
      <c r="C26" s="30" t="b">
        <f aca="false">FALSE()</f>
        <v>0</v>
      </c>
      <c r="D26" s="30" t="b">
        <f aca="false">FALSE()</f>
        <v>0</v>
      </c>
      <c r="E26" s="30" t="b">
        <f aca="false">FALSE()</f>
        <v>0</v>
      </c>
      <c r="F26" s="30" t="b">
        <f aca="false">FALSE()</f>
        <v>0</v>
      </c>
      <c r="G26" s="30" t="b">
        <f aca="false">FALSE()</f>
        <v>0</v>
      </c>
      <c r="H26" s="30" t="b">
        <f aca="false">FALSE()</f>
        <v>0</v>
      </c>
      <c r="I26" s="30" t="b">
        <f aca="false">FALSE()</f>
        <v>0</v>
      </c>
      <c r="J26" s="30" t="b">
        <f aca="false">FALSE()</f>
        <v>0</v>
      </c>
      <c r="K26" s="30" t="b">
        <f aca="false">FALSE()</f>
        <v>0</v>
      </c>
      <c r="L26" s="30" t="b">
        <f aca="false">FALSE()</f>
        <v>0</v>
      </c>
      <c r="M26" s="32" t="n">
        <f aca="false">COUNTIF(B26:F26,TRUE())</f>
        <v>0</v>
      </c>
      <c r="N26" s="32" t="n">
        <f aca="false">COUNTIF(G26:J26,TRUE())</f>
        <v>0</v>
      </c>
      <c r="O26" s="32" t="n">
        <f aca="false">COUNTIF(K26:L26,TRUE())</f>
        <v>0</v>
      </c>
      <c r="P26" s="33" t="n">
        <v>0</v>
      </c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customFormat="false" ht="21.75" hidden="false" customHeight="true" outlineLevel="0" collapsed="false">
      <c r="A27" s="29" t="s">
        <v>72</v>
      </c>
      <c r="B27" s="30" t="b">
        <f aca="false">FALSE()</f>
        <v>0</v>
      </c>
      <c r="C27" s="30" t="b">
        <f aca="false">FALSE()</f>
        <v>0</v>
      </c>
      <c r="D27" s="30" t="b">
        <f aca="false">FALSE()</f>
        <v>0</v>
      </c>
      <c r="E27" s="30" t="b">
        <f aca="false">FALSE()</f>
        <v>0</v>
      </c>
      <c r="F27" s="30" t="b">
        <f aca="false">FALSE()</f>
        <v>0</v>
      </c>
      <c r="G27" s="30" t="b">
        <f aca="false">FALSE()</f>
        <v>0</v>
      </c>
      <c r="H27" s="30" t="b">
        <f aca="false">FALSE()</f>
        <v>0</v>
      </c>
      <c r="I27" s="30" t="b">
        <f aca="false">FALSE()</f>
        <v>0</v>
      </c>
      <c r="J27" s="30" t="b">
        <f aca="false">FALSE()</f>
        <v>0</v>
      </c>
      <c r="K27" s="30" t="b">
        <f aca="false">FALSE()</f>
        <v>0</v>
      </c>
      <c r="L27" s="30" t="b">
        <f aca="false">FALSE()</f>
        <v>0</v>
      </c>
      <c r="M27" s="32" t="n">
        <f aca="false">COUNTIF(B27:F27,TRUE())</f>
        <v>0</v>
      </c>
      <c r="N27" s="32" t="n">
        <f aca="false">COUNTIF(G27:J27,TRUE())</f>
        <v>0</v>
      </c>
      <c r="O27" s="32" t="n">
        <f aca="false">COUNTIF(K27:L27,TRUE())</f>
        <v>0</v>
      </c>
      <c r="P27" s="33" t="n">
        <v>0</v>
      </c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customFormat="false" ht="21.75" hidden="false" customHeight="true" outlineLevel="0" collapsed="false">
      <c r="A28" s="29" t="s">
        <v>73</v>
      </c>
      <c r="B28" s="30" t="b">
        <f aca="false">FALSE()</f>
        <v>0</v>
      </c>
      <c r="C28" s="30" t="b">
        <f aca="false">FALSE()</f>
        <v>0</v>
      </c>
      <c r="D28" s="30" t="b">
        <f aca="false">FALSE()</f>
        <v>0</v>
      </c>
      <c r="E28" s="30" t="b">
        <f aca="false">FALSE()</f>
        <v>0</v>
      </c>
      <c r="F28" s="30" t="b">
        <f aca="false">FALSE()</f>
        <v>0</v>
      </c>
      <c r="G28" s="30" t="b">
        <f aca="false">FALSE()</f>
        <v>0</v>
      </c>
      <c r="H28" s="30" t="b">
        <f aca="false">FALSE()</f>
        <v>0</v>
      </c>
      <c r="I28" s="30" t="b">
        <f aca="false">FALSE()</f>
        <v>0</v>
      </c>
      <c r="J28" s="30" t="b">
        <f aca="false">FALSE()</f>
        <v>0</v>
      </c>
      <c r="K28" s="30" t="b">
        <f aca="false">FALSE()</f>
        <v>0</v>
      </c>
      <c r="L28" s="30" t="b">
        <f aca="false">FALSE()</f>
        <v>0</v>
      </c>
      <c r="M28" s="32" t="n">
        <f aca="false">COUNTIF(B28:F28,TRUE())</f>
        <v>0</v>
      </c>
      <c r="N28" s="32" t="n">
        <f aca="false">COUNTIF(G28:J28,TRUE())</f>
        <v>0</v>
      </c>
      <c r="O28" s="32" t="n">
        <f aca="false">COUNTIF(K28:L28,TRUE())</f>
        <v>0</v>
      </c>
      <c r="P28" s="33" t="n">
        <v>0</v>
      </c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customFormat="false" ht="21.75" hidden="false" customHeight="true" outlineLevel="0" collapsed="false">
      <c r="A29" s="29" t="s">
        <v>74</v>
      </c>
      <c r="B29" s="30" t="b">
        <f aca="false">FALSE()</f>
        <v>0</v>
      </c>
      <c r="C29" s="30" t="b">
        <f aca="false">FALSE()</f>
        <v>0</v>
      </c>
      <c r="D29" s="30" t="b">
        <f aca="false">FALSE()</f>
        <v>0</v>
      </c>
      <c r="E29" s="30" t="b">
        <f aca="false">FALSE()</f>
        <v>0</v>
      </c>
      <c r="F29" s="30" t="b">
        <f aca="false">FALSE()</f>
        <v>0</v>
      </c>
      <c r="G29" s="30" t="b">
        <f aca="false">FALSE()</f>
        <v>0</v>
      </c>
      <c r="H29" s="30" t="b">
        <f aca="false">FALSE()</f>
        <v>0</v>
      </c>
      <c r="I29" s="30" t="b">
        <f aca="false">FALSE()</f>
        <v>0</v>
      </c>
      <c r="J29" s="30" t="b">
        <f aca="false">FALSE()</f>
        <v>0</v>
      </c>
      <c r="K29" s="30" t="b">
        <f aca="false">FALSE()</f>
        <v>0</v>
      </c>
      <c r="L29" s="30" t="b">
        <f aca="false">FALSE()</f>
        <v>0</v>
      </c>
      <c r="M29" s="32" t="n">
        <f aca="false">COUNTIF(B29:F29,TRUE())</f>
        <v>0</v>
      </c>
      <c r="N29" s="32" t="n">
        <f aca="false">COUNTIF(G29:J29,TRUE())</f>
        <v>0</v>
      </c>
      <c r="O29" s="32" t="n">
        <f aca="false">COUNTIF(K29:L29,TRUE())</f>
        <v>0</v>
      </c>
      <c r="P29" s="33" t="n">
        <v>0</v>
      </c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customFormat="false" ht="21.75" hidden="false" customHeight="true" outlineLevel="0" collapsed="false">
      <c r="A30" s="29" t="s">
        <v>75</v>
      </c>
      <c r="B30" s="30" t="b">
        <f aca="false">FALSE()</f>
        <v>0</v>
      </c>
      <c r="C30" s="30" t="b">
        <f aca="false">FALSE()</f>
        <v>0</v>
      </c>
      <c r="D30" s="30" t="b">
        <f aca="false">FALSE()</f>
        <v>0</v>
      </c>
      <c r="E30" s="30" t="b">
        <f aca="false">FALSE()</f>
        <v>0</v>
      </c>
      <c r="F30" s="30" t="b">
        <f aca="false">FALSE()</f>
        <v>0</v>
      </c>
      <c r="G30" s="30" t="b">
        <f aca="false">FALSE()</f>
        <v>0</v>
      </c>
      <c r="H30" s="30" t="b">
        <f aca="false">FALSE()</f>
        <v>0</v>
      </c>
      <c r="I30" s="30" t="b">
        <f aca="false">FALSE()</f>
        <v>0</v>
      </c>
      <c r="J30" s="30" t="b">
        <f aca="false">FALSE()</f>
        <v>0</v>
      </c>
      <c r="K30" s="30" t="b">
        <f aca="false">FALSE()</f>
        <v>0</v>
      </c>
      <c r="L30" s="30" t="b">
        <f aca="false">FALSE()</f>
        <v>0</v>
      </c>
      <c r="M30" s="32" t="n">
        <f aca="false">COUNTIF(B30:F30,TRUE())</f>
        <v>0</v>
      </c>
      <c r="N30" s="32" t="n">
        <f aca="false">COUNTIF(G30:J30,TRUE())</f>
        <v>0</v>
      </c>
      <c r="O30" s="32" t="n">
        <f aca="false">COUNTIF(K30:L30,TRUE())</f>
        <v>0</v>
      </c>
      <c r="P30" s="33" t="n">
        <v>0</v>
      </c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customFormat="false" ht="21.75" hidden="false" customHeight="true" outlineLevel="0" collapsed="false">
      <c r="A31" s="29" t="s">
        <v>76</v>
      </c>
      <c r="B31" s="30" t="b">
        <f aca="false">FALSE()</f>
        <v>0</v>
      </c>
      <c r="C31" s="30" t="b">
        <f aca="false">FALSE()</f>
        <v>0</v>
      </c>
      <c r="D31" s="30" t="b">
        <f aca="false">FALSE()</f>
        <v>0</v>
      </c>
      <c r="E31" s="30" t="b">
        <f aca="false">FALSE()</f>
        <v>0</v>
      </c>
      <c r="F31" s="30" t="b">
        <f aca="false">FALSE()</f>
        <v>0</v>
      </c>
      <c r="G31" s="30" t="b">
        <f aca="false">FALSE()</f>
        <v>0</v>
      </c>
      <c r="H31" s="30" t="b">
        <f aca="false">FALSE()</f>
        <v>0</v>
      </c>
      <c r="I31" s="30" t="b">
        <f aca="false">FALSE()</f>
        <v>0</v>
      </c>
      <c r="J31" s="30" t="b">
        <f aca="false">FALSE()</f>
        <v>0</v>
      </c>
      <c r="K31" s="30" t="b">
        <f aca="false">FALSE()</f>
        <v>0</v>
      </c>
      <c r="L31" s="30" t="b">
        <f aca="false">FALSE()</f>
        <v>0</v>
      </c>
      <c r="M31" s="32" t="n">
        <f aca="false">COUNTIF(B31:F31,TRUE())</f>
        <v>0</v>
      </c>
      <c r="N31" s="32" t="n">
        <f aca="false">COUNTIF(G31:J31,TRUE())</f>
        <v>0</v>
      </c>
      <c r="O31" s="32" t="n">
        <f aca="false">COUNTIF(K31:L31,TRUE())</f>
        <v>0</v>
      </c>
      <c r="P31" s="33" t="n">
        <v>0</v>
      </c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customFormat="false" ht="21.75" hidden="false" customHeight="true" outlineLevel="0" collapsed="false">
      <c r="A32" s="29" t="s">
        <v>77</v>
      </c>
      <c r="B32" s="30" t="b">
        <f aca="false">FALSE()</f>
        <v>0</v>
      </c>
      <c r="C32" s="30" t="b">
        <f aca="false">FALSE()</f>
        <v>0</v>
      </c>
      <c r="D32" s="30" t="b">
        <f aca="false">FALSE()</f>
        <v>0</v>
      </c>
      <c r="E32" s="30" t="b">
        <f aca="false">FALSE()</f>
        <v>0</v>
      </c>
      <c r="F32" s="30" t="b">
        <f aca="false">FALSE()</f>
        <v>0</v>
      </c>
      <c r="G32" s="30" t="b">
        <f aca="false">FALSE()</f>
        <v>0</v>
      </c>
      <c r="H32" s="30" t="b">
        <f aca="false">FALSE()</f>
        <v>0</v>
      </c>
      <c r="I32" s="30" t="b">
        <f aca="false">FALSE()</f>
        <v>0</v>
      </c>
      <c r="J32" s="30" t="b">
        <f aca="false">FALSE()</f>
        <v>0</v>
      </c>
      <c r="K32" s="30" t="b">
        <f aca="false">FALSE()</f>
        <v>0</v>
      </c>
      <c r="L32" s="30" t="b">
        <f aca="false">FALSE()</f>
        <v>0</v>
      </c>
      <c r="M32" s="32" t="n">
        <f aca="false">COUNTIF(B32:F32,TRUE())</f>
        <v>0</v>
      </c>
      <c r="N32" s="32" t="n">
        <f aca="false">COUNTIF(G32:J32,TRUE())</f>
        <v>0</v>
      </c>
      <c r="O32" s="32" t="n">
        <f aca="false">COUNTIF(K32:L32,TRUE())</f>
        <v>0</v>
      </c>
      <c r="P32" s="33" t="n">
        <v>0</v>
      </c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customFormat="false" ht="21.75" hidden="false" customHeight="true" outlineLevel="0" collapsed="false">
      <c r="A33" s="29" t="s">
        <v>78</v>
      </c>
      <c r="B33" s="30" t="b">
        <f aca="false">FALSE()</f>
        <v>0</v>
      </c>
      <c r="C33" s="30" t="b">
        <f aca="false">FALSE()</f>
        <v>0</v>
      </c>
      <c r="D33" s="30" t="b">
        <f aca="false">FALSE()</f>
        <v>0</v>
      </c>
      <c r="E33" s="30" t="b">
        <f aca="false">FALSE()</f>
        <v>0</v>
      </c>
      <c r="F33" s="30" t="b">
        <f aca="false">FALSE()</f>
        <v>0</v>
      </c>
      <c r="G33" s="30" t="b">
        <f aca="false">FALSE()</f>
        <v>0</v>
      </c>
      <c r="H33" s="30" t="b">
        <f aca="false">FALSE()</f>
        <v>0</v>
      </c>
      <c r="I33" s="30" t="b">
        <f aca="false">FALSE()</f>
        <v>0</v>
      </c>
      <c r="J33" s="30" t="b">
        <f aca="false">FALSE()</f>
        <v>0</v>
      </c>
      <c r="K33" s="30" t="b">
        <f aca="false">FALSE()</f>
        <v>0</v>
      </c>
      <c r="L33" s="30" t="b">
        <f aca="false">FALSE()</f>
        <v>0</v>
      </c>
      <c r="M33" s="32" t="n">
        <f aca="false">COUNTIF(B33:F33,TRUE())</f>
        <v>0</v>
      </c>
      <c r="N33" s="32" t="n">
        <f aca="false">COUNTIF(G33:J33,TRUE())</f>
        <v>0</v>
      </c>
      <c r="O33" s="32" t="n">
        <f aca="false">COUNTIF(K33:L33,TRUE())</f>
        <v>0</v>
      </c>
      <c r="P33" s="33" t="n">
        <v>0</v>
      </c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customFormat="false" ht="21.75" hidden="false" customHeight="true" outlineLevel="0" collapsed="false">
      <c r="A34" s="29" t="s">
        <v>79</v>
      </c>
      <c r="B34" s="30" t="b">
        <f aca="false">FALSE()</f>
        <v>0</v>
      </c>
      <c r="C34" s="30" t="b">
        <f aca="false">FALSE()</f>
        <v>0</v>
      </c>
      <c r="D34" s="30" t="b">
        <f aca="false">FALSE()</f>
        <v>0</v>
      </c>
      <c r="E34" s="30" t="b">
        <f aca="false">FALSE()</f>
        <v>0</v>
      </c>
      <c r="F34" s="30" t="b">
        <f aca="false">FALSE()</f>
        <v>0</v>
      </c>
      <c r="G34" s="30" t="b">
        <f aca="false">FALSE()</f>
        <v>0</v>
      </c>
      <c r="H34" s="30" t="b">
        <f aca="false">FALSE()</f>
        <v>0</v>
      </c>
      <c r="I34" s="30" t="b">
        <f aca="false">FALSE()</f>
        <v>0</v>
      </c>
      <c r="J34" s="30" t="b">
        <f aca="false">FALSE()</f>
        <v>0</v>
      </c>
      <c r="K34" s="30" t="b">
        <f aca="false">FALSE()</f>
        <v>0</v>
      </c>
      <c r="L34" s="30" t="b">
        <f aca="false">FALSE()</f>
        <v>0</v>
      </c>
      <c r="M34" s="32" t="n">
        <f aca="false">COUNTIF(B34:F34,TRUE())</f>
        <v>0</v>
      </c>
      <c r="N34" s="32" t="n">
        <f aca="false">COUNTIF(G34:J34,TRUE())</f>
        <v>0</v>
      </c>
      <c r="O34" s="32" t="n">
        <f aca="false">COUNTIF(K34:L34,TRUE())</f>
        <v>0</v>
      </c>
      <c r="P34" s="33" t="n">
        <v>0</v>
      </c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customFormat="false" ht="21.75" hidden="false" customHeight="true" outlineLevel="0" collapsed="false">
      <c r="A35" s="29" t="s">
        <v>80</v>
      </c>
      <c r="B35" s="30" t="b">
        <f aca="false">FALSE()</f>
        <v>0</v>
      </c>
      <c r="C35" s="30" t="b">
        <f aca="false">FALSE()</f>
        <v>0</v>
      </c>
      <c r="D35" s="30" t="b">
        <f aca="false">FALSE()</f>
        <v>0</v>
      </c>
      <c r="E35" s="30" t="b">
        <f aca="false">FALSE()</f>
        <v>0</v>
      </c>
      <c r="F35" s="30" t="b">
        <f aca="false">FALSE()</f>
        <v>0</v>
      </c>
      <c r="G35" s="30" t="b">
        <f aca="false">FALSE()</f>
        <v>0</v>
      </c>
      <c r="H35" s="30" t="b">
        <f aca="false">FALSE()</f>
        <v>0</v>
      </c>
      <c r="I35" s="30" t="b">
        <f aca="false">FALSE()</f>
        <v>0</v>
      </c>
      <c r="J35" s="30" t="b">
        <f aca="false">FALSE()</f>
        <v>0</v>
      </c>
      <c r="K35" s="30" t="b">
        <f aca="false">FALSE()</f>
        <v>0</v>
      </c>
      <c r="L35" s="30" t="b">
        <f aca="false">FALSE()</f>
        <v>0</v>
      </c>
      <c r="M35" s="32" t="n">
        <f aca="false">COUNTIF(B35:F35,TRUE())</f>
        <v>0</v>
      </c>
      <c r="N35" s="32" t="n">
        <f aca="false">COUNTIF(G35:J35,TRUE())</f>
        <v>0</v>
      </c>
      <c r="O35" s="32" t="n">
        <f aca="false">COUNTIF(K35:L35,TRUE())</f>
        <v>0</v>
      </c>
      <c r="P35" s="33" t="n">
        <v>0</v>
      </c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customFormat="false" ht="21.75" hidden="false" customHeight="true" outlineLevel="0" collapsed="false">
      <c r="A36" s="29" t="s">
        <v>81</v>
      </c>
      <c r="B36" s="30" t="b">
        <f aca="false">FALSE()</f>
        <v>0</v>
      </c>
      <c r="C36" s="30" t="b">
        <f aca="false">FALSE()</f>
        <v>0</v>
      </c>
      <c r="D36" s="30" t="b">
        <f aca="false">FALSE()</f>
        <v>0</v>
      </c>
      <c r="E36" s="30" t="b">
        <f aca="false">FALSE()</f>
        <v>0</v>
      </c>
      <c r="F36" s="30" t="b">
        <f aca="false">FALSE()</f>
        <v>0</v>
      </c>
      <c r="G36" s="30" t="b">
        <f aca="false">FALSE()</f>
        <v>0</v>
      </c>
      <c r="H36" s="30" t="b">
        <f aca="false">FALSE()</f>
        <v>0</v>
      </c>
      <c r="I36" s="30" t="b">
        <f aca="false">FALSE()</f>
        <v>0</v>
      </c>
      <c r="J36" s="30" t="b">
        <f aca="false">FALSE()</f>
        <v>0</v>
      </c>
      <c r="K36" s="30" t="b">
        <f aca="false">FALSE()</f>
        <v>0</v>
      </c>
      <c r="L36" s="30" t="b">
        <f aca="false">FALSE()</f>
        <v>0</v>
      </c>
      <c r="M36" s="32" t="n">
        <f aca="false">COUNTIF(B36:F36,TRUE())</f>
        <v>0</v>
      </c>
      <c r="N36" s="32" t="n">
        <f aca="false">COUNTIF(G36:J36,TRUE())</f>
        <v>0</v>
      </c>
      <c r="O36" s="32" t="n">
        <f aca="false">COUNTIF(K36:L36,TRUE())</f>
        <v>0</v>
      </c>
      <c r="P36" s="33" t="n">
        <v>0</v>
      </c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customFormat="false" ht="21.75" hidden="false" customHeight="true" outlineLevel="0" collapsed="false">
      <c r="A37" s="29" t="s">
        <v>82</v>
      </c>
      <c r="B37" s="30" t="b">
        <f aca="false">FALSE()</f>
        <v>0</v>
      </c>
      <c r="C37" s="30" t="b">
        <f aca="false">FALSE()</f>
        <v>0</v>
      </c>
      <c r="D37" s="30" t="b">
        <f aca="false">FALSE()</f>
        <v>0</v>
      </c>
      <c r="E37" s="30" t="b">
        <f aca="false">FALSE()</f>
        <v>0</v>
      </c>
      <c r="F37" s="30" t="b">
        <f aca="false">FALSE()</f>
        <v>0</v>
      </c>
      <c r="G37" s="30" t="b">
        <f aca="false">FALSE()</f>
        <v>0</v>
      </c>
      <c r="H37" s="30" t="b">
        <f aca="false">FALSE()</f>
        <v>0</v>
      </c>
      <c r="I37" s="30" t="b">
        <f aca="false">FALSE()</f>
        <v>0</v>
      </c>
      <c r="J37" s="30" t="b">
        <f aca="false">FALSE()</f>
        <v>0</v>
      </c>
      <c r="K37" s="30" t="b">
        <f aca="false">FALSE()</f>
        <v>0</v>
      </c>
      <c r="L37" s="30" t="b">
        <f aca="false">FALSE()</f>
        <v>0</v>
      </c>
      <c r="M37" s="32" t="n">
        <f aca="false">COUNTIF(B37:F37,TRUE())</f>
        <v>0</v>
      </c>
      <c r="N37" s="32" t="n">
        <f aca="false">COUNTIF(G37:J37,TRUE())</f>
        <v>0</v>
      </c>
      <c r="O37" s="32" t="n">
        <f aca="false">COUNTIF(K37:L37,TRUE())</f>
        <v>0</v>
      </c>
      <c r="P37" s="33" t="n">
        <v>0</v>
      </c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customFormat="false" ht="21.75" hidden="false" customHeight="true" outlineLevel="0" collapsed="false">
      <c r="A38" s="29" t="s">
        <v>83</v>
      </c>
      <c r="B38" s="30" t="b">
        <f aca="false">FALSE()</f>
        <v>0</v>
      </c>
      <c r="C38" s="30" t="b">
        <f aca="false">FALSE()</f>
        <v>0</v>
      </c>
      <c r="D38" s="30" t="b">
        <f aca="false">FALSE()</f>
        <v>0</v>
      </c>
      <c r="E38" s="30" t="b">
        <f aca="false">FALSE()</f>
        <v>0</v>
      </c>
      <c r="F38" s="30" t="b">
        <f aca="false">FALSE()</f>
        <v>0</v>
      </c>
      <c r="G38" s="30" t="b">
        <f aca="false">FALSE()</f>
        <v>0</v>
      </c>
      <c r="H38" s="30" t="b">
        <f aca="false">FALSE()</f>
        <v>0</v>
      </c>
      <c r="I38" s="30" t="b">
        <f aca="false">FALSE()</f>
        <v>0</v>
      </c>
      <c r="J38" s="30" t="b">
        <f aca="false">FALSE()</f>
        <v>0</v>
      </c>
      <c r="K38" s="30" t="b">
        <f aca="false">FALSE()</f>
        <v>0</v>
      </c>
      <c r="L38" s="30" t="b">
        <f aca="false">FALSE()</f>
        <v>0</v>
      </c>
      <c r="M38" s="32" t="n">
        <f aca="false">COUNTIF(B38:F38,TRUE())</f>
        <v>0</v>
      </c>
      <c r="N38" s="32" t="n">
        <f aca="false">COUNTIF(G38:J38,TRUE())</f>
        <v>0</v>
      </c>
      <c r="O38" s="32" t="n">
        <f aca="false">COUNTIF(K38:L38,TRUE())</f>
        <v>0</v>
      </c>
      <c r="P38" s="33" t="n">
        <v>0</v>
      </c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customFormat="false" ht="21.75" hidden="false" customHeight="true" outlineLevel="0" collapsed="false">
      <c r="A39" s="29" t="s">
        <v>84</v>
      </c>
      <c r="B39" s="30" t="b">
        <f aca="false">FALSE()</f>
        <v>0</v>
      </c>
      <c r="C39" s="30" t="b">
        <f aca="false">FALSE()</f>
        <v>0</v>
      </c>
      <c r="D39" s="30" t="b">
        <f aca="false">FALSE()</f>
        <v>0</v>
      </c>
      <c r="E39" s="30" t="b">
        <f aca="false">FALSE()</f>
        <v>0</v>
      </c>
      <c r="F39" s="30" t="b">
        <f aca="false">FALSE()</f>
        <v>0</v>
      </c>
      <c r="G39" s="30" t="b">
        <f aca="false">FALSE()</f>
        <v>0</v>
      </c>
      <c r="H39" s="30" t="b">
        <f aca="false">FALSE()</f>
        <v>0</v>
      </c>
      <c r="I39" s="30" t="b">
        <f aca="false">FALSE()</f>
        <v>0</v>
      </c>
      <c r="J39" s="30" t="b">
        <f aca="false">FALSE()</f>
        <v>0</v>
      </c>
      <c r="K39" s="30" t="b">
        <f aca="false">FALSE()</f>
        <v>0</v>
      </c>
      <c r="L39" s="30" t="b">
        <f aca="false">FALSE()</f>
        <v>0</v>
      </c>
      <c r="M39" s="32" t="n">
        <f aca="false">COUNTIF(B39:F39,TRUE())</f>
        <v>0</v>
      </c>
      <c r="N39" s="32" t="n">
        <f aca="false">COUNTIF(G39:J39,TRUE())</f>
        <v>0</v>
      </c>
      <c r="O39" s="32" t="n">
        <f aca="false">COUNTIF(K39:L39,TRUE())</f>
        <v>0</v>
      </c>
      <c r="P39" s="33" t="n">
        <v>0</v>
      </c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customFormat="false" ht="21.75" hidden="false" customHeight="true" outlineLevel="0" collapsed="false">
      <c r="A40" s="29" t="s">
        <v>85</v>
      </c>
      <c r="B40" s="30" t="b">
        <f aca="false">FALSE()</f>
        <v>0</v>
      </c>
      <c r="C40" s="30" t="b">
        <f aca="false">FALSE()</f>
        <v>0</v>
      </c>
      <c r="D40" s="30" t="b">
        <f aca="false">FALSE()</f>
        <v>0</v>
      </c>
      <c r="E40" s="30" t="b">
        <f aca="false">FALSE()</f>
        <v>0</v>
      </c>
      <c r="F40" s="30" t="b">
        <f aca="false">FALSE()</f>
        <v>0</v>
      </c>
      <c r="G40" s="30" t="b">
        <f aca="false">FALSE()</f>
        <v>0</v>
      </c>
      <c r="H40" s="30" t="b">
        <f aca="false">FALSE()</f>
        <v>0</v>
      </c>
      <c r="I40" s="30" t="b">
        <f aca="false">FALSE()</f>
        <v>0</v>
      </c>
      <c r="J40" s="30" t="b">
        <f aca="false">FALSE()</f>
        <v>0</v>
      </c>
      <c r="K40" s="30" t="b">
        <f aca="false">FALSE()</f>
        <v>0</v>
      </c>
      <c r="L40" s="30" t="b">
        <f aca="false">FALSE()</f>
        <v>0</v>
      </c>
      <c r="M40" s="32" t="n">
        <f aca="false">COUNTIF(B40:F40,TRUE())</f>
        <v>0</v>
      </c>
      <c r="N40" s="32" t="n">
        <f aca="false">COUNTIF(G40:J40,TRUE())</f>
        <v>0</v>
      </c>
      <c r="O40" s="32" t="n">
        <f aca="false">COUNTIF(K40:L40,TRUE())</f>
        <v>0</v>
      </c>
      <c r="P40" s="33" t="n">
        <v>0</v>
      </c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customFormat="false" ht="21.75" hidden="false" customHeight="true" outlineLevel="0" collapsed="false">
      <c r="A41" s="29" t="s">
        <v>86</v>
      </c>
      <c r="B41" s="30" t="b">
        <f aca="false">FALSE()</f>
        <v>0</v>
      </c>
      <c r="C41" s="30" t="b">
        <f aca="false">FALSE()</f>
        <v>0</v>
      </c>
      <c r="D41" s="30" t="b">
        <f aca="false">FALSE()</f>
        <v>0</v>
      </c>
      <c r="E41" s="30" t="b">
        <f aca="false">FALSE()</f>
        <v>0</v>
      </c>
      <c r="F41" s="30" t="b">
        <f aca="false">FALSE()</f>
        <v>0</v>
      </c>
      <c r="G41" s="30" t="b">
        <f aca="false">FALSE()</f>
        <v>0</v>
      </c>
      <c r="H41" s="30" t="b">
        <f aca="false">FALSE()</f>
        <v>0</v>
      </c>
      <c r="I41" s="30" t="b">
        <f aca="false">FALSE()</f>
        <v>0</v>
      </c>
      <c r="J41" s="30" t="b">
        <f aca="false">FALSE()</f>
        <v>0</v>
      </c>
      <c r="K41" s="30" t="b">
        <f aca="false">FALSE()</f>
        <v>0</v>
      </c>
      <c r="L41" s="30" t="b">
        <f aca="false">FALSE()</f>
        <v>0</v>
      </c>
      <c r="M41" s="32" t="n">
        <f aca="false">COUNTIF(B41:F41,TRUE())</f>
        <v>0</v>
      </c>
      <c r="N41" s="32" t="n">
        <f aca="false">COUNTIF(G41:J41,TRUE())</f>
        <v>0</v>
      </c>
      <c r="O41" s="32" t="n">
        <f aca="false">COUNTIF(K41:L41,TRUE())</f>
        <v>0</v>
      </c>
      <c r="P41" s="33" t="n">
        <v>0</v>
      </c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customFormat="false" ht="21.75" hidden="false" customHeight="true" outlineLevel="0" collapsed="false">
      <c r="A42" s="29" t="s">
        <v>87</v>
      </c>
      <c r="B42" s="30" t="b">
        <f aca="false">FALSE()</f>
        <v>0</v>
      </c>
      <c r="C42" s="30" t="b">
        <f aca="false">FALSE()</f>
        <v>0</v>
      </c>
      <c r="D42" s="30" t="b">
        <f aca="false">FALSE()</f>
        <v>0</v>
      </c>
      <c r="E42" s="30" t="b">
        <f aca="false">FALSE()</f>
        <v>0</v>
      </c>
      <c r="F42" s="30" t="b">
        <f aca="false">FALSE()</f>
        <v>0</v>
      </c>
      <c r="G42" s="30" t="b">
        <f aca="false">FALSE()</f>
        <v>0</v>
      </c>
      <c r="H42" s="30" t="b">
        <f aca="false">FALSE()</f>
        <v>0</v>
      </c>
      <c r="I42" s="30" t="b">
        <f aca="false">FALSE()</f>
        <v>0</v>
      </c>
      <c r="J42" s="30" t="b">
        <f aca="false">FALSE()</f>
        <v>0</v>
      </c>
      <c r="K42" s="30" t="b">
        <f aca="false">FALSE()</f>
        <v>0</v>
      </c>
      <c r="L42" s="30" t="b">
        <f aca="false">FALSE()</f>
        <v>0</v>
      </c>
      <c r="M42" s="32" t="n">
        <f aca="false">COUNTIF(B42:F42,TRUE())</f>
        <v>0</v>
      </c>
      <c r="N42" s="32" t="n">
        <f aca="false">COUNTIF(G42:J42,TRUE())</f>
        <v>0</v>
      </c>
      <c r="O42" s="32" t="n">
        <f aca="false">COUNTIF(K42:L42,TRUE())</f>
        <v>0</v>
      </c>
      <c r="P42" s="33" t="n">
        <v>0</v>
      </c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customFormat="false" ht="21.75" hidden="false" customHeight="true" outlineLevel="0" collapsed="false">
      <c r="A43" s="29" t="s">
        <v>88</v>
      </c>
      <c r="B43" s="30" t="b">
        <f aca="false">FALSE()</f>
        <v>0</v>
      </c>
      <c r="C43" s="30" t="b">
        <f aca="false">FALSE()</f>
        <v>0</v>
      </c>
      <c r="D43" s="30" t="b">
        <f aca="false">FALSE()</f>
        <v>0</v>
      </c>
      <c r="E43" s="30" t="b">
        <f aca="false">FALSE()</f>
        <v>0</v>
      </c>
      <c r="F43" s="30" t="b">
        <f aca="false">FALSE()</f>
        <v>0</v>
      </c>
      <c r="G43" s="30" t="b">
        <f aca="false">FALSE()</f>
        <v>0</v>
      </c>
      <c r="H43" s="30" t="b">
        <f aca="false">FALSE()</f>
        <v>0</v>
      </c>
      <c r="I43" s="30" t="b">
        <f aca="false">FALSE()</f>
        <v>0</v>
      </c>
      <c r="J43" s="30" t="b">
        <f aca="false">FALSE()</f>
        <v>0</v>
      </c>
      <c r="K43" s="30" t="b">
        <f aca="false">FALSE()</f>
        <v>0</v>
      </c>
      <c r="L43" s="30" t="b">
        <f aca="false">FALSE()</f>
        <v>0</v>
      </c>
      <c r="M43" s="32" t="n">
        <f aca="false">COUNTIF(B43:F43,TRUE())</f>
        <v>0</v>
      </c>
      <c r="N43" s="32" t="n">
        <f aca="false">COUNTIF(G43:J43,TRUE())</f>
        <v>0</v>
      </c>
      <c r="O43" s="32" t="n">
        <f aca="false">COUNTIF(K43:L43,TRUE())</f>
        <v>0</v>
      </c>
      <c r="P43" s="33" t="n">
        <v>0</v>
      </c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customFormat="false" ht="21.75" hidden="false" customHeight="true" outlineLevel="0" collapsed="false">
      <c r="A44" s="29" t="s">
        <v>89</v>
      </c>
      <c r="B44" s="30" t="b">
        <f aca="false">FALSE()</f>
        <v>0</v>
      </c>
      <c r="C44" s="30" t="b">
        <f aca="false">FALSE()</f>
        <v>0</v>
      </c>
      <c r="D44" s="30" t="b">
        <f aca="false">FALSE()</f>
        <v>0</v>
      </c>
      <c r="E44" s="30" t="b">
        <f aca="false">FALSE()</f>
        <v>0</v>
      </c>
      <c r="F44" s="30" t="b">
        <f aca="false">FALSE()</f>
        <v>0</v>
      </c>
      <c r="G44" s="30" t="b">
        <f aca="false">FALSE()</f>
        <v>0</v>
      </c>
      <c r="H44" s="30" t="b">
        <f aca="false">FALSE()</f>
        <v>0</v>
      </c>
      <c r="I44" s="30" t="b">
        <f aca="false">FALSE()</f>
        <v>0</v>
      </c>
      <c r="J44" s="30" t="b">
        <f aca="false">FALSE()</f>
        <v>0</v>
      </c>
      <c r="K44" s="30" t="b">
        <f aca="false">FALSE()</f>
        <v>0</v>
      </c>
      <c r="L44" s="30" t="b">
        <f aca="false">FALSE()</f>
        <v>0</v>
      </c>
      <c r="M44" s="32" t="n">
        <f aca="false">COUNTIF(B44:F44,TRUE())</f>
        <v>0</v>
      </c>
      <c r="N44" s="32" t="n">
        <f aca="false">COUNTIF(G44:J44,TRUE())</f>
        <v>0</v>
      </c>
      <c r="O44" s="32" t="n">
        <f aca="false">COUNTIF(K44:L44,TRUE())</f>
        <v>0</v>
      </c>
      <c r="P44" s="33" t="n">
        <v>0</v>
      </c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customFormat="false" ht="21.75" hidden="false" customHeight="true" outlineLevel="0" collapsed="false">
      <c r="A45" s="29" t="s">
        <v>90</v>
      </c>
      <c r="B45" s="30" t="b">
        <f aca="false">FALSE()</f>
        <v>0</v>
      </c>
      <c r="C45" s="30" t="b">
        <f aca="false">FALSE()</f>
        <v>0</v>
      </c>
      <c r="D45" s="30" t="b">
        <f aca="false">FALSE()</f>
        <v>0</v>
      </c>
      <c r="E45" s="30" t="b">
        <f aca="false">FALSE()</f>
        <v>0</v>
      </c>
      <c r="F45" s="30" t="b">
        <f aca="false">FALSE()</f>
        <v>0</v>
      </c>
      <c r="G45" s="30" t="b">
        <f aca="false">FALSE()</f>
        <v>0</v>
      </c>
      <c r="H45" s="30" t="b">
        <f aca="false">FALSE()</f>
        <v>0</v>
      </c>
      <c r="I45" s="30" t="b">
        <f aca="false">FALSE()</f>
        <v>0</v>
      </c>
      <c r="J45" s="30" t="b">
        <f aca="false">FALSE()</f>
        <v>0</v>
      </c>
      <c r="K45" s="30" t="b">
        <f aca="false">FALSE()</f>
        <v>0</v>
      </c>
      <c r="L45" s="30" t="b">
        <f aca="false">FALSE()</f>
        <v>0</v>
      </c>
      <c r="M45" s="32" t="n">
        <f aca="false">COUNTIF(B45:F45,TRUE())</f>
        <v>0</v>
      </c>
      <c r="N45" s="32" t="n">
        <f aca="false">COUNTIF(G45:J45,TRUE())</f>
        <v>0</v>
      </c>
      <c r="O45" s="32" t="n">
        <f aca="false">COUNTIF(K45:L45,TRUE())</f>
        <v>0</v>
      </c>
      <c r="P45" s="33" t="n">
        <v>0</v>
      </c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customFormat="false" ht="21.75" hidden="false" customHeight="true" outlineLevel="0" collapsed="false">
      <c r="A46" s="29" t="s">
        <v>91</v>
      </c>
      <c r="B46" s="30" t="b">
        <f aca="false">FALSE()</f>
        <v>0</v>
      </c>
      <c r="C46" s="30" t="b">
        <f aca="false">FALSE()</f>
        <v>0</v>
      </c>
      <c r="D46" s="30" t="b">
        <f aca="false">FALSE()</f>
        <v>0</v>
      </c>
      <c r="E46" s="30" t="b">
        <f aca="false">FALSE()</f>
        <v>0</v>
      </c>
      <c r="F46" s="30" t="b">
        <f aca="false">FALSE()</f>
        <v>0</v>
      </c>
      <c r="G46" s="30" t="b">
        <f aca="false">FALSE()</f>
        <v>0</v>
      </c>
      <c r="H46" s="30" t="b">
        <f aca="false">FALSE()</f>
        <v>0</v>
      </c>
      <c r="I46" s="30" t="b">
        <f aca="false">FALSE()</f>
        <v>0</v>
      </c>
      <c r="J46" s="30" t="b">
        <f aca="false">FALSE()</f>
        <v>0</v>
      </c>
      <c r="K46" s="30" t="b">
        <f aca="false">FALSE()</f>
        <v>0</v>
      </c>
      <c r="L46" s="30" t="b">
        <f aca="false">FALSE()</f>
        <v>0</v>
      </c>
      <c r="M46" s="32" t="n">
        <f aca="false">COUNTIF(B46:F46,TRUE())</f>
        <v>0</v>
      </c>
      <c r="N46" s="32" t="n">
        <f aca="false">COUNTIF(G46:J46,TRUE())</f>
        <v>0</v>
      </c>
      <c r="O46" s="32" t="n">
        <f aca="false">COUNTIF(K46:L46,TRUE())</f>
        <v>0</v>
      </c>
      <c r="P46" s="33" t="n">
        <v>0</v>
      </c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customFormat="false" ht="21.75" hidden="false" customHeight="true" outlineLevel="0" collapsed="false">
      <c r="A47" s="29" t="s">
        <v>92</v>
      </c>
      <c r="B47" s="30" t="b">
        <f aca="false">FALSE()</f>
        <v>0</v>
      </c>
      <c r="C47" s="30" t="b">
        <f aca="false">FALSE()</f>
        <v>0</v>
      </c>
      <c r="D47" s="30" t="b">
        <f aca="false">FALSE()</f>
        <v>0</v>
      </c>
      <c r="E47" s="30" t="b">
        <f aca="false">FALSE()</f>
        <v>0</v>
      </c>
      <c r="F47" s="30" t="b">
        <f aca="false">FALSE()</f>
        <v>0</v>
      </c>
      <c r="G47" s="30" t="b">
        <f aca="false">FALSE()</f>
        <v>0</v>
      </c>
      <c r="H47" s="30" t="b">
        <f aca="false">FALSE()</f>
        <v>0</v>
      </c>
      <c r="I47" s="30" t="b">
        <f aca="false">FALSE()</f>
        <v>0</v>
      </c>
      <c r="J47" s="30" t="b">
        <f aca="false">FALSE()</f>
        <v>0</v>
      </c>
      <c r="K47" s="30" t="b">
        <f aca="false">FALSE()</f>
        <v>0</v>
      </c>
      <c r="L47" s="30" t="b">
        <f aca="false">FALSE()</f>
        <v>0</v>
      </c>
      <c r="M47" s="32" t="n">
        <f aca="false">COUNTIF(B47:F47,TRUE())</f>
        <v>0</v>
      </c>
      <c r="N47" s="32" t="n">
        <f aca="false">COUNTIF(G47:J47,TRUE())</f>
        <v>0</v>
      </c>
      <c r="O47" s="32" t="n">
        <f aca="false">COUNTIF(K47:L47,TRUE())</f>
        <v>0</v>
      </c>
      <c r="P47" s="33" t="n">
        <v>0</v>
      </c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customFormat="false" ht="21.75" hidden="false" customHeight="true" outlineLevel="0" collapsed="false">
      <c r="A48" s="29" t="s">
        <v>93</v>
      </c>
      <c r="B48" s="30" t="b">
        <f aca="false">FALSE()</f>
        <v>0</v>
      </c>
      <c r="C48" s="30" t="b">
        <f aca="false">FALSE()</f>
        <v>0</v>
      </c>
      <c r="D48" s="30" t="b">
        <f aca="false">FALSE()</f>
        <v>0</v>
      </c>
      <c r="E48" s="30" t="b">
        <f aca="false">FALSE()</f>
        <v>0</v>
      </c>
      <c r="F48" s="30" t="b">
        <f aca="false">FALSE()</f>
        <v>0</v>
      </c>
      <c r="G48" s="30" t="b">
        <f aca="false">FALSE()</f>
        <v>0</v>
      </c>
      <c r="H48" s="30" t="b">
        <f aca="false">FALSE()</f>
        <v>0</v>
      </c>
      <c r="I48" s="30" t="b">
        <f aca="false">FALSE()</f>
        <v>0</v>
      </c>
      <c r="J48" s="30" t="b">
        <f aca="false">FALSE()</f>
        <v>0</v>
      </c>
      <c r="K48" s="30" t="b">
        <f aca="false">FALSE()</f>
        <v>0</v>
      </c>
      <c r="L48" s="30" t="b">
        <f aca="false">FALSE()</f>
        <v>0</v>
      </c>
      <c r="M48" s="32" t="n">
        <f aca="false">COUNTIF(B48:F48,TRUE())</f>
        <v>0</v>
      </c>
      <c r="N48" s="32" t="n">
        <f aca="false">COUNTIF(G48:J48,TRUE())</f>
        <v>0</v>
      </c>
      <c r="O48" s="32" t="n">
        <f aca="false">COUNTIF(K48:L48,TRUE())</f>
        <v>0</v>
      </c>
      <c r="P48" s="33" t="n">
        <v>0</v>
      </c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customFormat="false" ht="21.75" hidden="false" customHeight="true" outlineLevel="0" collapsed="false">
      <c r="A49" s="29" t="s">
        <v>94</v>
      </c>
      <c r="B49" s="30" t="b">
        <f aca="false">FALSE()</f>
        <v>0</v>
      </c>
      <c r="C49" s="30" t="b">
        <f aca="false">FALSE()</f>
        <v>0</v>
      </c>
      <c r="D49" s="30" t="b">
        <f aca="false">FALSE()</f>
        <v>0</v>
      </c>
      <c r="E49" s="30" t="b">
        <f aca="false">FALSE()</f>
        <v>0</v>
      </c>
      <c r="F49" s="30" t="b">
        <f aca="false">FALSE()</f>
        <v>0</v>
      </c>
      <c r="G49" s="30" t="b">
        <f aca="false">FALSE()</f>
        <v>0</v>
      </c>
      <c r="H49" s="30" t="b">
        <f aca="false">FALSE()</f>
        <v>0</v>
      </c>
      <c r="I49" s="30" t="b">
        <f aca="false">FALSE()</f>
        <v>0</v>
      </c>
      <c r="J49" s="30" t="b">
        <f aca="false">FALSE()</f>
        <v>0</v>
      </c>
      <c r="K49" s="30" t="b">
        <f aca="false">FALSE()</f>
        <v>0</v>
      </c>
      <c r="L49" s="30" t="b">
        <f aca="false">FALSE()</f>
        <v>0</v>
      </c>
      <c r="M49" s="32" t="n">
        <f aca="false">COUNTIF(B49:F49,TRUE())</f>
        <v>0</v>
      </c>
      <c r="N49" s="32" t="n">
        <f aca="false">COUNTIF(G49:J49,TRUE())</f>
        <v>0</v>
      </c>
      <c r="O49" s="32" t="n">
        <f aca="false">COUNTIF(K49:L49,TRUE())</f>
        <v>0</v>
      </c>
      <c r="P49" s="33" t="n">
        <v>0</v>
      </c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customFormat="false" ht="21.75" hidden="false" customHeight="true" outlineLevel="0" collapsed="false">
      <c r="A50" s="29" t="s">
        <v>95</v>
      </c>
      <c r="B50" s="30" t="b">
        <f aca="false">FALSE()</f>
        <v>0</v>
      </c>
      <c r="C50" s="30" t="b">
        <f aca="false">FALSE()</f>
        <v>0</v>
      </c>
      <c r="D50" s="30" t="b">
        <f aca="false">FALSE()</f>
        <v>0</v>
      </c>
      <c r="E50" s="30" t="b">
        <f aca="false">FALSE()</f>
        <v>0</v>
      </c>
      <c r="F50" s="30" t="b">
        <f aca="false">FALSE()</f>
        <v>0</v>
      </c>
      <c r="G50" s="30" t="b">
        <f aca="false">FALSE()</f>
        <v>0</v>
      </c>
      <c r="H50" s="30" t="b">
        <f aca="false">FALSE()</f>
        <v>0</v>
      </c>
      <c r="I50" s="30" t="b">
        <f aca="false">FALSE()</f>
        <v>0</v>
      </c>
      <c r="J50" s="30" t="b">
        <f aca="false">FALSE()</f>
        <v>0</v>
      </c>
      <c r="K50" s="30" t="b">
        <f aca="false">FALSE()</f>
        <v>0</v>
      </c>
      <c r="L50" s="30" t="b">
        <f aca="false">FALSE()</f>
        <v>0</v>
      </c>
      <c r="M50" s="32" t="n">
        <f aca="false">COUNTIF(B50:F50,TRUE())</f>
        <v>0</v>
      </c>
      <c r="N50" s="32" t="n">
        <f aca="false">COUNTIF(G50:J50,TRUE())</f>
        <v>0</v>
      </c>
      <c r="O50" s="32" t="n">
        <f aca="false">COUNTIF(K50:L50,TRUE())</f>
        <v>0</v>
      </c>
      <c r="P50" s="33" t="n">
        <v>0</v>
      </c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customFormat="false" ht="21.75" hidden="false" customHeight="true" outlineLevel="0" collapsed="false">
      <c r="A51" s="29" t="s">
        <v>96</v>
      </c>
      <c r="B51" s="30" t="b">
        <f aca="false">FALSE()</f>
        <v>0</v>
      </c>
      <c r="C51" s="30" t="b">
        <f aca="false">FALSE()</f>
        <v>0</v>
      </c>
      <c r="D51" s="30" t="b">
        <f aca="false">FALSE()</f>
        <v>0</v>
      </c>
      <c r="E51" s="30" t="b">
        <f aca="false">FALSE()</f>
        <v>0</v>
      </c>
      <c r="F51" s="30" t="b">
        <f aca="false">FALSE()</f>
        <v>0</v>
      </c>
      <c r="G51" s="30" t="b">
        <f aca="false">FALSE()</f>
        <v>0</v>
      </c>
      <c r="H51" s="30" t="b">
        <f aca="false">FALSE()</f>
        <v>0</v>
      </c>
      <c r="I51" s="30" t="b">
        <f aca="false">FALSE()</f>
        <v>0</v>
      </c>
      <c r="J51" s="30" t="b">
        <f aca="false">FALSE()</f>
        <v>0</v>
      </c>
      <c r="K51" s="30" t="b">
        <f aca="false">FALSE()</f>
        <v>0</v>
      </c>
      <c r="L51" s="30" t="b">
        <f aca="false">FALSE()</f>
        <v>0</v>
      </c>
      <c r="M51" s="32" t="n">
        <f aca="false">COUNTIF(B51:F51,TRUE())</f>
        <v>0</v>
      </c>
      <c r="N51" s="32" t="n">
        <f aca="false">COUNTIF(G51:J51,TRUE())</f>
        <v>0</v>
      </c>
      <c r="O51" s="32" t="n">
        <f aca="false">COUNTIF(K51:L51,TRUE())</f>
        <v>0</v>
      </c>
      <c r="P51" s="33" t="n">
        <v>0</v>
      </c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customFormat="false" ht="21.75" hidden="false" customHeight="true" outlineLevel="0" collapsed="false">
      <c r="A52" s="29" t="s">
        <v>97</v>
      </c>
      <c r="B52" s="30" t="b">
        <f aca="false">FALSE()</f>
        <v>0</v>
      </c>
      <c r="C52" s="30" t="b">
        <f aca="false">FALSE()</f>
        <v>0</v>
      </c>
      <c r="D52" s="30" t="b">
        <f aca="false">FALSE()</f>
        <v>0</v>
      </c>
      <c r="E52" s="30" t="b">
        <f aca="false">FALSE()</f>
        <v>0</v>
      </c>
      <c r="F52" s="30" t="b">
        <f aca="false">FALSE()</f>
        <v>0</v>
      </c>
      <c r="G52" s="30" t="b">
        <f aca="false">FALSE()</f>
        <v>0</v>
      </c>
      <c r="H52" s="30" t="b">
        <f aca="false">FALSE()</f>
        <v>0</v>
      </c>
      <c r="I52" s="30" t="b">
        <f aca="false">FALSE()</f>
        <v>0</v>
      </c>
      <c r="J52" s="30" t="b">
        <f aca="false">FALSE()</f>
        <v>0</v>
      </c>
      <c r="K52" s="30" t="b">
        <f aca="false">FALSE()</f>
        <v>0</v>
      </c>
      <c r="L52" s="30" t="b">
        <f aca="false">FALSE()</f>
        <v>0</v>
      </c>
      <c r="M52" s="32" t="n">
        <f aca="false">COUNTIF(B52:F52,TRUE())</f>
        <v>0</v>
      </c>
      <c r="N52" s="32" t="n">
        <f aca="false">COUNTIF(G52:J52,TRUE())</f>
        <v>0</v>
      </c>
      <c r="O52" s="32" t="n">
        <f aca="false">COUNTIF(K52:L52,TRUE())</f>
        <v>0</v>
      </c>
      <c r="P52" s="33" t="n">
        <v>0</v>
      </c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customFormat="false" ht="21.75" hidden="false" customHeight="true" outlineLevel="0" collapsed="false">
      <c r="A53" s="29" t="s">
        <v>98</v>
      </c>
      <c r="B53" s="30" t="b">
        <f aca="false">FALSE()</f>
        <v>0</v>
      </c>
      <c r="C53" s="30" t="b">
        <f aca="false">FALSE()</f>
        <v>0</v>
      </c>
      <c r="D53" s="30" t="b">
        <f aca="false">FALSE()</f>
        <v>0</v>
      </c>
      <c r="E53" s="30" t="b">
        <f aca="false">FALSE()</f>
        <v>0</v>
      </c>
      <c r="F53" s="30" t="b">
        <f aca="false">FALSE()</f>
        <v>0</v>
      </c>
      <c r="G53" s="30" t="b">
        <f aca="false">FALSE()</f>
        <v>0</v>
      </c>
      <c r="H53" s="30" t="b">
        <f aca="false">FALSE()</f>
        <v>0</v>
      </c>
      <c r="I53" s="30" t="b">
        <f aca="false">FALSE()</f>
        <v>0</v>
      </c>
      <c r="J53" s="30" t="b">
        <f aca="false">FALSE()</f>
        <v>0</v>
      </c>
      <c r="K53" s="30" t="b">
        <f aca="false">FALSE()</f>
        <v>0</v>
      </c>
      <c r="L53" s="30" t="b">
        <f aca="false">FALSE()</f>
        <v>0</v>
      </c>
      <c r="M53" s="32" t="n">
        <f aca="false">COUNTIF(B53:F53,TRUE())</f>
        <v>0</v>
      </c>
      <c r="N53" s="32" t="n">
        <f aca="false">COUNTIF(G53:J53,TRUE())</f>
        <v>0</v>
      </c>
      <c r="O53" s="32" t="n">
        <f aca="false">COUNTIF(K53:L53,TRUE())</f>
        <v>0</v>
      </c>
      <c r="P53" s="33" t="n">
        <v>0</v>
      </c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customFormat="false" ht="21.75" hidden="false" customHeight="true" outlineLevel="0" collapsed="false">
      <c r="A54" s="29" t="s">
        <v>99</v>
      </c>
      <c r="B54" s="30" t="b">
        <f aca="false">FALSE()</f>
        <v>0</v>
      </c>
      <c r="C54" s="30" t="b">
        <f aca="false">FALSE()</f>
        <v>0</v>
      </c>
      <c r="D54" s="30" t="b">
        <f aca="false">FALSE()</f>
        <v>0</v>
      </c>
      <c r="E54" s="30" t="b">
        <f aca="false">FALSE()</f>
        <v>0</v>
      </c>
      <c r="F54" s="30" t="b">
        <f aca="false">FALSE()</f>
        <v>0</v>
      </c>
      <c r="G54" s="30" t="b">
        <f aca="false">FALSE()</f>
        <v>0</v>
      </c>
      <c r="H54" s="30" t="b">
        <f aca="false">FALSE()</f>
        <v>0</v>
      </c>
      <c r="I54" s="30" t="b">
        <f aca="false">FALSE()</f>
        <v>0</v>
      </c>
      <c r="J54" s="30" t="b">
        <f aca="false">FALSE()</f>
        <v>0</v>
      </c>
      <c r="K54" s="30" t="b">
        <f aca="false">FALSE()</f>
        <v>0</v>
      </c>
      <c r="L54" s="30" t="b">
        <f aca="false">FALSE()</f>
        <v>0</v>
      </c>
      <c r="M54" s="32" t="n">
        <f aca="false">COUNTIF(B54:F54,TRUE())</f>
        <v>0</v>
      </c>
      <c r="N54" s="32" t="n">
        <f aca="false">COUNTIF(G54:J54,TRUE())</f>
        <v>0</v>
      </c>
      <c r="O54" s="32" t="n">
        <f aca="false">COUNTIF(K54:L54,TRUE())</f>
        <v>0</v>
      </c>
      <c r="P54" s="33" t="n">
        <v>0</v>
      </c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customFormat="false" ht="21.75" hidden="false" customHeight="true" outlineLevel="0" collapsed="false">
      <c r="A55" s="29" t="s">
        <v>100</v>
      </c>
      <c r="B55" s="30" t="b">
        <f aca="false">FALSE()</f>
        <v>0</v>
      </c>
      <c r="C55" s="30" t="b">
        <f aca="false">FALSE()</f>
        <v>0</v>
      </c>
      <c r="D55" s="30" t="b">
        <f aca="false">FALSE()</f>
        <v>0</v>
      </c>
      <c r="E55" s="30" t="b">
        <f aca="false">FALSE()</f>
        <v>0</v>
      </c>
      <c r="F55" s="30" t="b">
        <f aca="false">FALSE()</f>
        <v>0</v>
      </c>
      <c r="G55" s="30" t="b">
        <f aca="false">FALSE()</f>
        <v>0</v>
      </c>
      <c r="H55" s="30" t="b">
        <f aca="false">FALSE()</f>
        <v>0</v>
      </c>
      <c r="I55" s="30" t="b">
        <f aca="false">FALSE()</f>
        <v>0</v>
      </c>
      <c r="J55" s="30" t="b">
        <f aca="false">FALSE()</f>
        <v>0</v>
      </c>
      <c r="K55" s="30" t="b">
        <f aca="false">FALSE()</f>
        <v>0</v>
      </c>
      <c r="L55" s="30" t="b">
        <f aca="false">FALSE()</f>
        <v>0</v>
      </c>
      <c r="M55" s="32" t="n">
        <f aca="false">COUNTIF(B55:F55,TRUE())</f>
        <v>0</v>
      </c>
      <c r="N55" s="32" t="n">
        <f aca="false">COUNTIF(G55:J55,TRUE())</f>
        <v>0</v>
      </c>
      <c r="O55" s="32" t="n">
        <f aca="false">COUNTIF(K55:L55,TRUE())</f>
        <v>0</v>
      </c>
      <c r="P55" s="33" t="n">
        <v>0</v>
      </c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customFormat="false" ht="21.75" hidden="false" customHeight="true" outlineLevel="0" collapsed="false">
      <c r="A56" s="29" t="s">
        <v>101</v>
      </c>
      <c r="B56" s="30" t="b">
        <f aca="false">FALSE()</f>
        <v>0</v>
      </c>
      <c r="C56" s="30" t="b">
        <f aca="false">FALSE()</f>
        <v>0</v>
      </c>
      <c r="D56" s="30" t="b">
        <f aca="false">FALSE()</f>
        <v>0</v>
      </c>
      <c r="E56" s="30" t="b">
        <f aca="false">FALSE()</f>
        <v>0</v>
      </c>
      <c r="F56" s="30" t="b">
        <f aca="false">FALSE()</f>
        <v>0</v>
      </c>
      <c r="G56" s="30" t="b">
        <f aca="false">FALSE()</f>
        <v>0</v>
      </c>
      <c r="H56" s="30" t="b">
        <f aca="false">FALSE()</f>
        <v>0</v>
      </c>
      <c r="I56" s="30" t="b">
        <f aca="false">FALSE()</f>
        <v>0</v>
      </c>
      <c r="J56" s="30" t="b">
        <f aca="false">FALSE()</f>
        <v>0</v>
      </c>
      <c r="K56" s="30" t="b">
        <f aca="false">FALSE()</f>
        <v>0</v>
      </c>
      <c r="L56" s="30" t="b">
        <f aca="false">FALSE()</f>
        <v>0</v>
      </c>
      <c r="M56" s="32" t="n">
        <f aca="false">COUNTIF(B56:F56,TRUE())</f>
        <v>0</v>
      </c>
      <c r="N56" s="32" t="n">
        <f aca="false">COUNTIF(G56:J56,TRUE())</f>
        <v>0</v>
      </c>
      <c r="O56" s="32" t="n">
        <f aca="false">COUNTIF(K56:L56,TRUE())</f>
        <v>0</v>
      </c>
      <c r="P56" s="33" t="n">
        <v>0</v>
      </c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customFormat="false" ht="21.75" hidden="false" customHeight="true" outlineLevel="0" collapsed="false">
      <c r="A57" s="29" t="s">
        <v>102</v>
      </c>
      <c r="B57" s="30" t="b">
        <f aca="false">FALSE()</f>
        <v>0</v>
      </c>
      <c r="C57" s="30" t="b">
        <f aca="false">FALSE()</f>
        <v>0</v>
      </c>
      <c r="D57" s="30" t="b">
        <f aca="false">FALSE()</f>
        <v>0</v>
      </c>
      <c r="E57" s="30" t="b">
        <f aca="false">FALSE()</f>
        <v>0</v>
      </c>
      <c r="F57" s="30" t="b">
        <f aca="false">FALSE()</f>
        <v>0</v>
      </c>
      <c r="G57" s="30" t="b">
        <f aca="false">FALSE()</f>
        <v>0</v>
      </c>
      <c r="H57" s="30" t="b">
        <f aca="false">FALSE()</f>
        <v>0</v>
      </c>
      <c r="I57" s="30" t="b">
        <f aca="false">FALSE()</f>
        <v>0</v>
      </c>
      <c r="J57" s="30" t="b">
        <f aca="false">FALSE()</f>
        <v>0</v>
      </c>
      <c r="K57" s="30" t="b">
        <f aca="false">FALSE()</f>
        <v>0</v>
      </c>
      <c r="L57" s="30" t="b">
        <f aca="false">FALSE()</f>
        <v>0</v>
      </c>
      <c r="M57" s="32" t="n">
        <f aca="false">COUNTIF(B57:F57,TRUE())</f>
        <v>0</v>
      </c>
      <c r="N57" s="32" t="n">
        <f aca="false">COUNTIF(G57:J57,TRUE())</f>
        <v>0</v>
      </c>
      <c r="O57" s="32" t="n">
        <f aca="false">COUNTIF(K57:L57,TRUE())</f>
        <v>0</v>
      </c>
      <c r="P57" s="33" t="n">
        <v>0</v>
      </c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customFormat="false" ht="21.75" hidden="false" customHeight="true" outlineLevel="0" collapsed="false">
      <c r="A58" s="29" t="s">
        <v>103</v>
      </c>
      <c r="B58" s="30" t="b">
        <f aca="false">FALSE()</f>
        <v>0</v>
      </c>
      <c r="C58" s="30" t="b">
        <f aca="false">FALSE()</f>
        <v>0</v>
      </c>
      <c r="D58" s="30" t="b">
        <f aca="false">FALSE()</f>
        <v>0</v>
      </c>
      <c r="E58" s="30" t="b">
        <f aca="false">FALSE()</f>
        <v>0</v>
      </c>
      <c r="F58" s="30" t="b">
        <f aca="false">FALSE()</f>
        <v>0</v>
      </c>
      <c r="G58" s="30" t="b">
        <f aca="false">FALSE()</f>
        <v>0</v>
      </c>
      <c r="H58" s="30" t="b">
        <f aca="false">FALSE()</f>
        <v>0</v>
      </c>
      <c r="I58" s="30" t="b">
        <f aca="false">FALSE()</f>
        <v>0</v>
      </c>
      <c r="J58" s="30" t="b">
        <f aca="false">FALSE()</f>
        <v>0</v>
      </c>
      <c r="K58" s="30" t="b">
        <f aca="false">FALSE()</f>
        <v>0</v>
      </c>
      <c r="L58" s="30" t="b">
        <f aca="false">FALSE()</f>
        <v>0</v>
      </c>
      <c r="M58" s="32" t="n">
        <f aca="false">COUNTIF(B58:F58,TRUE())</f>
        <v>0</v>
      </c>
      <c r="N58" s="32" t="n">
        <f aca="false">COUNTIF(G58:J58,TRUE())</f>
        <v>0</v>
      </c>
      <c r="O58" s="32" t="n">
        <f aca="false">COUNTIF(K58:L58,TRUE())</f>
        <v>0</v>
      </c>
      <c r="P58" s="33" t="n">
        <v>0</v>
      </c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customFormat="false" ht="21.75" hidden="false" customHeight="true" outlineLevel="0" collapsed="false">
      <c r="A59" s="29" t="s">
        <v>104</v>
      </c>
      <c r="B59" s="30" t="b">
        <f aca="false">FALSE()</f>
        <v>0</v>
      </c>
      <c r="C59" s="30" t="b">
        <f aca="false">FALSE()</f>
        <v>0</v>
      </c>
      <c r="D59" s="30" t="b">
        <f aca="false">FALSE()</f>
        <v>0</v>
      </c>
      <c r="E59" s="30" t="b">
        <f aca="false">FALSE()</f>
        <v>0</v>
      </c>
      <c r="F59" s="30" t="b">
        <f aca="false">FALSE()</f>
        <v>0</v>
      </c>
      <c r="G59" s="30" t="b">
        <f aca="false">FALSE()</f>
        <v>0</v>
      </c>
      <c r="H59" s="30" t="b">
        <f aca="false">FALSE()</f>
        <v>0</v>
      </c>
      <c r="I59" s="30" t="b">
        <f aca="false">FALSE()</f>
        <v>0</v>
      </c>
      <c r="J59" s="30" t="b">
        <f aca="false">FALSE()</f>
        <v>0</v>
      </c>
      <c r="K59" s="30" t="b">
        <f aca="false">FALSE()</f>
        <v>0</v>
      </c>
      <c r="L59" s="30" t="b">
        <f aca="false">FALSE()</f>
        <v>0</v>
      </c>
      <c r="M59" s="32" t="n">
        <f aca="false">COUNTIF(B59:F59,TRUE())</f>
        <v>0</v>
      </c>
      <c r="N59" s="32" t="n">
        <f aca="false">COUNTIF(G59:J59,TRUE())</f>
        <v>0</v>
      </c>
      <c r="O59" s="32" t="n">
        <f aca="false">COUNTIF(K59:L59,TRUE())</f>
        <v>0</v>
      </c>
      <c r="P59" s="33" t="n">
        <v>0</v>
      </c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customFormat="false" ht="21.75" hidden="false" customHeight="true" outlineLevel="0" collapsed="false">
      <c r="A60" s="29" t="s">
        <v>105</v>
      </c>
      <c r="B60" s="30" t="b">
        <f aca="false">FALSE()</f>
        <v>0</v>
      </c>
      <c r="C60" s="30" t="b">
        <f aca="false">FALSE()</f>
        <v>0</v>
      </c>
      <c r="D60" s="30" t="b">
        <f aca="false">FALSE()</f>
        <v>0</v>
      </c>
      <c r="E60" s="30" t="b">
        <f aca="false">FALSE()</f>
        <v>0</v>
      </c>
      <c r="F60" s="30" t="b">
        <f aca="false">FALSE()</f>
        <v>0</v>
      </c>
      <c r="G60" s="30" t="b">
        <f aca="false">FALSE()</f>
        <v>0</v>
      </c>
      <c r="H60" s="30" t="b">
        <f aca="false">FALSE()</f>
        <v>0</v>
      </c>
      <c r="I60" s="30" t="b">
        <f aca="false">FALSE()</f>
        <v>0</v>
      </c>
      <c r="J60" s="30" t="b">
        <f aca="false">FALSE()</f>
        <v>0</v>
      </c>
      <c r="K60" s="30" t="b">
        <f aca="false">FALSE()</f>
        <v>0</v>
      </c>
      <c r="L60" s="30" t="b">
        <f aca="false">FALSE()</f>
        <v>0</v>
      </c>
      <c r="M60" s="32" t="n">
        <f aca="false">COUNTIF(B60:F60,TRUE())</f>
        <v>0</v>
      </c>
      <c r="N60" s="32" t="n">
        <f aca="false">COUNTIF(G60:J60,TRUE())</f>
        <v>0</v>
      </c>
      <c r="O60" s="32" t="n">
        <f aca="false">COUNTIF(K60:L60,TRUE())</f>
        <v>0</v>
      </c>
      <c r="P60" s="33" t="n">
        <v>0</v>
      </c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customFormat="false" ht="21.75" hidden="false" customHeight="true" outlineLevel="0" collapsed="false">
      <c r="A61" s="29" t="s">
        <v>106</v>
      </c>
      <c r="B61" s="30" t="b">
        <f aca="false">FALSE()</f>
        <v>0</v>
      </c>
      <c r="C61" s="30" t="b">
        <f aca="false">FALSE()</f>
        <v>0</v>
      </c>
      <c r="D61" s="30" t="b">
        <f aca="false">FALSE()</f>
        <v>0</v>
      </c>
      <c r="E61" s="30" t="b">
        <f aca="false">FALSE()</f>
        <v>0</v>
      </c>
      <c r="F61" s="30" t="b">
        <f aca="false">FALSE()</f>
        <v>0</v>
      </c>
      <c r="G61" s="30" t="b">
        <f aca="false">FALSE()</f>
        <v>0</v>
      </c>
      <c r="H61" s="30" t="b">
        <f aca="false">FALSE()</f>
        <v>0</v>
      </c>
      <c r="I61" s="30" t="b">
        <f aca="false">FALSE()</f>
        <v>0</v>
      </c>
      <c r="J61" s="30" t="b">
        <f aca="false">FALSE()</f>
        <v>0</v>
      </c>
      <c r="K61" s="30" t="b">
        <f aca="false">FALSE()</f>
        <v>0</v>
      </c>
      <c r="L61" s="30" t="b">
        <f aca="false">FALSE()</f>
        <v>0</v>
      </c>
      <c r="M61" s="32" t="n">
        <f aca="false">COUNTIF(B61:F61,TRUE())</f>
        <v>0</v>
      </c>
      <c r="N61" s="32" t="n">
        <f aca="false">COUNTIF(G61:J61,TRUE())</f>
        <v>0</v>
      </c>
      <c r="O61" s="32" t="n">
        <f aca="false">COUNTIF(K61:L61,TRUE())</f>
        <v>0</v>
      </c>
      <c r="P61" s="33" t="n">
        <v>0</v>
      </c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customFormat="false" ht="21.75" hidden="false" customHeight="true" outlineLevel="0" collapsed="false">
      <c r="A62" s="29" t="s">
        <v>107</v>
      </c>
      <c r="B62" s="30" t="b">
        <f aca="false">FALSE()</f>
        <v>0</v>
      </c>
      <c r="C62" s="30" t="b">
        <f aca="false">FALSE()</f>
        <v>0</v>
      </c>
      <c r="D62" s="30" t="b">
        <f aca="false">FALSE()</f>
        <v>0</v>
      </c>
      <c r="E62" s="30" t="b">
        <f aca="false">FALSE()</f>
        <v>0</v>
      </c>
      <c r="F62" s="30" t="b">
        <f aca="false">FALSE()</f>
        <v>0</v>
      </c>
      <c r="G62" s="30" t="b">
        <f aca="false">FALSE()</f>
        <v>0</v>
      </c>
      <c r="H62" s="30" t="b">
        <f aca="false">FALSE()</f>
        <v>0</v>
      </c>
      <c r="I62" s="30" t="b">
        <f aca="false">FALSE()</f>
        <v>0</v>
      </c>
      <c r="J62" s="30" t="b">
        <f aca="false">FALSE()</f>
        <v>0</v>
      </c>
      <c r="K62" s="30" t="b">
        <f aca="false">FALSE()</f>
        <v>0</v>
      </c>
      <c r="L62" s="30" t="b">
        <f aca="false">FALSE()</f>
        <v>0</v>
      </c>
      <c r="M62" s="32" t="n">
        <f aca="false">COUNTIF(B62:F62,TRUE())</f>
        <v>0</v>
      </c>
      <c r="N62" s="32" t="n">
        <f aca="false">COUNTIF(G62:J62,TRUE())</f>
        <v>0</v>
      </c>
      <c r="O62" s="32" t="n">
        <f aca="false">COUNTIF(K62:L62,TRUE())</f>
        <v>0</v>
      </c>
      <c r="P62" s="33" t="n">
        <v>0</v>
      </c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customFormat="false" ht="21.75" hidden="false" customHeight="true" outlineLevel="0" collapsed="false">
      <c r="A63" s="29" t="s">
        <v>108</v>
      </c>
      <c r="B63" s="30" t="b">
        <f aca="false">FALSE()</f>
        <v>0</v>
      </c>
      <c r="C63" s="30" t="b">
        <f aca="false">FALSE()</f>
        <v>0</v>
      </c>
      <c r="D63" s="30" t="b">
        <f aca="false">FALSE()</f>
        <v>0</v>
      </c>
      <c r="E63" s="30" t="b">
        <f aca="false">FALSE()</f>
        <v>0</v>
      </c>
      <c r="F63" s="30" t="b">
        <f aca="false">FALSE()</f>
        <v>0</v>
      </c>
      <c r="G63" s="30" t="b">
        <f aca="false">FALSE()</f>
        <v>0</v>
      </c>
      <c r="H63" s="30" t="b">
        <f aca="false">FALSE()</f>
        <v>0</v>
      </c>
      <c r="I63" s="30" t="b">
        <f aca="false">FALSE()</f>
        <v>0</v>
      </c>
      <c r="J63" s="30" t="b">
        <f aca="false">FALSE()</f>
        <v>0</v>
      </c>
      <c r="K63" s="30" t="b">
        <f aca="false">FALSE()</f>
        <v>0</v>
      </c>
      <c r="L63" s="30" t="b">
        <f aca="false">FALSE()</f>
        <v>0</v>
      </c>
      <c r="M63" s="32" t="n">
        <f aca="false">COUNTIF(B63:F63,TRUE())</f>
        <v>0</v>
      </c>
      <c r="N63" s="32" t="n">
        <f aca="false">COUNTIF(G63:J63,TRUE())</f>
        <v>0</v>
      </c>
      <c r="O63" s="32" t="n">
        <f aca="false">COUNTIF(K63:L63,TRUE())</f>
        <v>0</v>
      </c>
      <c r="P63" s="33" t="n">
        <v>0</v>
      </c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customFormat="false" ht="21.75" hidden="false" customHeight="true" outlineLevel="0" collapsed="false">
      <c r="A64" s="29" t="s">
        <v>109</v>
      </c>
      <c r="B64" s="30" t="b">
        <f aca="false">FALSE()</f>
        <v>0</v>
      </c>
      <c r="C64" s="30" t="b">
        <f aca="false">FALSE()</f>
        <v>0</v>
      </c>
      <c r="D64" s="30" t="b">
        <f aca="false">FALSE()</f>
        <v>0</v>
      </c>
      <c r="E64" s="30" t="b">
        <f aca="false">FALSE()</f>
        <v>0</v>
      </c>
      <c r="F64" s="30" t="b">
        <f aca="false">FALSE()</f>
        <v>0</v>
      </c>
      <c r="G64" s="30" t="b">
        <f aca="false">FALSE()</f>
        <v>0</v>
      </c>
      <c r="H64" s="30" t="b">
        <f aca="false">FALSE()</f>
        <v>0</v>
      </c>
      <c r="I64" s="30" t="b">
        <f aca="false">FALSE()</f>
        <v>0</v>
      </c>
      <c r="J64" s="30" t="b">
        <f aca="false">FALSE()</f>
        <v>0</v>
      </c>
      <c r="K64" s="30" t="b">
        <f aca="false">FALSE()</f>
        <v>0</v>
      </c>
      <c r="L64" s="30" t="b">
        <f aca="false">FALSE()</f>
        <v>0</v>
      </c>
      <c r="M64" s="32" t="n">
        <f aca="false">COUNTIF(B64:F64,TRUE())</f>
        <v>0</v>
      </c>
      <c r="N64" s="32" t="n">
        <f aca="false">COUNTIF(G64:J64,TRUE())</f>
        <v>0</v>
      </c>
      <c r="O64" s="32" t="n">
        <f aca="false">COUNTIF(K64:L64,TRUE())</f>
        <v>0</v>
      </c>
      <c r="P64" s="33" t="n">
        <v>0</v>
      </c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customFormat="false" ht="21.75" hidden="false" customHeight="true" outlineLevel="0" collapsed="false">
      <c r="A65" s="29" t="s">
        <v>110</v>
      </c>
      <c r="B65" s="30" t="b">
        <f aca="false">FALSE()</f>
        <v>0</v>
      </c>
      <c r="C65" s="30" t="b">
        <f aca="false">FALSE()</f>
        <v>0</v>
      </c>
      <c r="D65" s="30" t="b">
        <f aca="false">FALSE()</f>
        <v>0</v>
      </c>
      <c r="E65" s="30" t="b">
        <f aca="false">FALSE()</f>
        <v>0</v>
      </c>
      <c r="F65" s="30" t="b">
        <f aca="false">FALSE()</f>
        <v>0</v>
      </c>
      <c r="G65" s="30" t="b">
        <f aca="false">FALSE()</f>
        <v>0</v>
      </c>
      <c r="H65" s="30" t="b">
        <f aca="false">FALSE()</f>
        <v>0</v>
      </c>
      <c r="I65" s="30" t="b">
        <f aca="false">FALSE()</f>
        <v>0</v>
      </c>
      <c r="J65" s="30" t="b">
        <f aca="false">FALSE()</f>
        <v>0</v>
      </c>
      <c r="K65" s="30" t="b">
        <f aca="false">FALSE()</f>
        <v>0</v>
      </c>
      <c r="L65" s="30" t="b">
        <f aca="false">FALSE()</f>
        <v>0</v>
      </c>
      <c r="M65" s="32" t="n">
        <f aca="false">COUNTIF(B65:F65,TRUE())</f>
        <v>0</v>
      </c>
      <c r="N65" s="32" t="n">
        <f aca="false">COUNTIF(G65:J65,TRUE())</f>
        <v>0</v>
      </c>
      <c r="O65" s="32" t="n">
        <f aca="false">COUNTIF(K65:L65,TRUE())</f>
        <v>0</v>
      </c>
      <c r="P65" s="33" t="n">
        <v>0</v>
      </c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customFormat="false" ht="21.75" hidden="false" customHeight="true" outlineLevel="0" collapsed="false">
      <c r="A66" s="29" t="s">
        <v>111</v>
      </c>
      <c r="B66" s="30" t="b">
        <f aca="false">FALSE()</f>
        <v>0</v>
      </c>
      <c r="C66" s="30" t="b">
        <f aca="false">FALSE()</f>
        <v>0</v>
      </c>
      <c r="D66" s="30" t="b">
        <f aca="false">FALSE()</f>
        <v>0</v>
      </c>
      <c r="E66" s="30" t="b">
        <f aca="false">FALSE()</f>
        <v>0</v>
      </c>
      <c r="F66" s="30" t="b">
        <f aca="false">FALSE()</f>
        <v>0</v>
      </c>
      <c r="G66" s="30" t="b">
        <f aca="false">FALSE()</f>
        <v>0</v>
      </c>
      <c r="H66" s="30" t="b">
        <f aca="false">FALSE()</f>
        <v>0</v>
      </c>
      <c r="I66" s="30" t="b">
        <f aca="false">FALSE()</f>
        <v>0</v>
      </c>
      <c r="J66" s="30" t="b">
        <f aca="false">FALSE()</f>
        <v>0</v>
      </c>
      <c r="K66" s="30" t="b">
        <f aca="false">FALSE()</f>
        <v>0</v>
      </c>
      <c r="L66" s="30" t="b">
        <f aca="false">FALSE()</f>
        <v>0</v>
      </c>
      <c r="M66" s="32" t="n">
        <f aca="false">COUNTIF(B66:F66,TRUE())</f>
        <v>0</v>
      </c>
      <c r="N66" s="32" t="n">
        <f aca="false">COUNTIF(G66:J66,TRUE())</f>
        <v>0</v>
      </c>
      <c r="O66" s="32" t="n">
        <f aca="false">COUNTIF(K66:L66,TRUE())</f>
        <v>0</v>
      </c>
      <c r="P66" s="33" t="n">
        <v>0</v>
      </c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customFormat="false" ht="21.75" hidden="false" customHeight="true" outlineLevel="0" collapsed="false">
      <c r="A67" s="29" t="s">
        <v>112</v>
      </c>
      <c r="B67" s="30" t="b">
        <f aca="false">FALSE()</f>
        <v>0</v>
      </c>
      <c r="C67" s="30" t="b">
        <f aca="false">FALSE()</f>
        <v>0</v>
      </c>
      <c r="D67" s="30" t="b">
        <f aca="false">FALSE()</f>
        <v>0</v>
      </c>
      <c r="E67" s="30" t="b">
        <f aca="false">FALSE()</f>
        <v>0</v>
      </c>
      <c r="F67" s="30" t="b">
        <f aca="false">FALSE()</f>
        <v>0</v>
      </c>
      <c r="G67" s="30" t="b">
        <f aca="false">FALSE()</f>
        <v>0</v>
      </c>
      <c r="H67" s="30" t="b">
        <f aca="false">FALSE()</f>
        <v>0</v>
      </c>
      <c r="I67" s="30" t="b">
        <f aca="false">FALSE()</f>
        <v>0</v>
      </c>
      <c r="J67" s="30" t="b">
        <f aca="false">FALSE()</f>
        <v>0</v>
      </c>
      <c r="K67" s="30" t="b">
        <f aca="false">FALSE()</f>
        <v>0</v>
      </c>
      <c r="L67" s="30" t="b">
        <f aca="false">FALSE()</f>
        <v>0</v>
      </c>
      <c r="M67" s="32" t="n">
        <f aca="false">COUNTIF(B67:F67,TRUE())</f>
        <v>0</v>
      </c>
      <c r="N67" s="32" t="n">
        <f aca="false">COUNTIF(G67:J67,TRUE())</f>
        <v>0</v>
      </c>
      <c r="O67" s="32" t="n">
        <f aca="false">COUNTIF(K67:L67,TRUE())</f>
        <v>0</v>
      </c>
      <c r="P67" s="33" t="n">
        <v>0</v>
      </c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customFormat="false" ht="21.75" hidden="false" customHeight="true" outlineLevel="0" collapsed="false">
      <c r="A68" s="29" t="s">
        <v>113</v>
      </c>
      <c r="B68" s="30" t="b">
        <f aca="false">FALSE()</f>
        <v>0</v>
      </c>
      <c r="C68" s="30" t="b">
        <f aca="false">FALSE()</f>
        <v>0</v>
      </c>
      <c r="D68" s="30" t="b">
        <f aca="false">FALSE()</f>
        <v>0</v>
      </c>
      <c r="E68" s="30" t="b">
        <f aca="false">FALSE()</f>
        <v>0</v>
      </c>
      <c r="F68" s="30" t="b">
        <f aca="false">FALSE()</f>
        <v>0</v>
      </c>
      <c r="G68" s="30" t="b">
        <f aca="false">FALSE()</f>
        <v>0</v>
      </c>
      <c r="H68" s="30" t="b">
        <f aca="false">FALSE()</f>
        <v>0</v>
      </c>
      <c r="I68" s="30" t="b">
        <f aca="false">FALSE()</f>
        <v>0</v>
      </c>
      <c r="J68" s="30" t="b">
        <f aca="false">FALSE()</f>
        <v>0</v>
      </c>
      <c r="K68" s="30" t="b">
        <f aca="false">FALSE()</f>
        <v>0</v>
      </c>
      <c r="L68" s="30" t="b">
        <f aca="false">FALSE()</f>
        <v>0</v>
      </c>
      <c r="M68" s="32" t="n">
        <f aca="false">COUNTIF(B68:F68,TRUE())</f>
        <v>0</v>
      </c>
      <c r="N68" s="32" t="n">
        <f aca="false">COUNTIF(G68:J68,TRUE())</f>
        <v>0</v>
      </c>
      <c r="O68" s="32" t="n">
        <f aca="false">COUNTIF(K68:L68,TRUE())</f>
        <v>0</v>
      </c>
      <c r="P68" s="33" t="n">
        <v>0</v>
      </c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customFormat="false" ht="21.75" hidden="false" customHeight="true" outlineLevel="0" collapsed="false">
      <c r="A69" s="29" t="s">
        <v>114</v>
      </c>
      <c r="B69" s="30" t="b">
        <f aca="false">FALSE()</f>
        <v>0</v>
      </c>
      <c r="C69" s="30" t="b">
        <f aca="false">FALSE()</f>
        <v>0</v>
      </c>
      <c r="D69" s="30" t="b">
        <f aca="false">FALSE()</f>
        <v>0</v>
      </c>
      <c r="E69" s="30" t="b">
        <f aca="false">FALSE()</f>
        <v>0</v>
      </c>
      <c r="F69" s="30" t="b">
        <f aca="false">FALSE()</f>
        <v>0</v>
      </c>
      <c r="G69" s="30" t="b">
        <f aca="false">FALSE()</f>
        <v>0</v>
      </c>
      <c r="H69" s="30" t="b">
        <f aca="false">FALSE()</f>
        <v>0</v>
      </c>
      <c r="I69" s="30" t="b">
        <f aca="false">FALSE()</f>
        <v>0</v>
      </c>
      <c r="J69" s="30" t="b">
        <f aca="false">FALSE()</f>
        <v>0</v>
      </c>
      <c r="K69" s="30" t="b">
        <f aca="false">FALSE()</f>
        <v>0</v>
      </c>
      <c r="L69" s="30" t="b">
        <f aca="false">FALSE()</f>
        <v>0</v>
      </c>
      <c r="M69" s="32" t="n">
        <f aca="false">COUNTIF(B69:F69,TRUE())</f>
        <v>0</v>
      </c>
      <c r="N69" s="32" t="n">
        <f aca="false">COUNTIF(G69:J69,TRUE())</f>
        <v>0</v>
      </c>
      <c r="O69" s="32" t="n">
        <f aca="false">COUNTIF(K69:L69,TRUE())</f>
        <v>0</v>
      </c>
      <c r="P69" s="33" t="n">
        <v>0</v>
      </c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customFormat="false" ht="21.75" hidden="false" customHeight="true" outlineLevel="0" collapsed="false">
      <c r="A70" s="29" t="s">
        <v>115</v>
      </c>
      <c r="B70" s="30" t="b">
        <f aca="false">FALSE()</f>
        <v>0</v>
      </c>
      <c r="C70" s="30" t="b">
        <f aca="false">FALSE()</f>
        <v>0</v>
      </c>
      <c r="D70" s="30" t="b">
        <f aca="false">FALSE()</f>
        <v>0</v>
      </c>
      <c r="E70" s="30" t="b">
        <f aca="false">FALSE()</f>
        <v>0</v>
      </c>
      <c r="F70" s="30" t="b">
        <f aca="false">FALSE()</f>
        <v>0</v>
      </c>
      <c r="G70" s="30" t="b">
        <f aca="false">FALSE()</f>
        <v>0</v>
      </c>
      <c r="H70" s="30" t="b">
        <f aca="false">FALSE()</f>
        <v>0</v>
      </c>
      <c r="I70" s="30" t="b">
        <f aca="false">FALSE()</f>
        <v>0</v>
      </c>
      <c r="J70" s="30" t="b">
        <f aca="false">FALSE()</f>
        <v>0</v>
      </c>
      <c r="K70" s="30" t="b">
        <f aca="false">FALSE()</f>
        <v>0</v>
      </c>
      <c r="L70" s="30" t="b">
        <f aca="false">FALSE()</f>
        <v>0</v>
      </c>
      <c r="M70" s="32" t="n">
        <f aca="false">COUNTIF(B70:F70,TRUE())</f>
        <v>0</v>
      </c>
      <c r="N70" s="32" t="n">
        <f aca="false">COUNTIF(G70:J70,TRUE())</f>
        <v>0</v>
      </c>
      <c r="O70" s="32" t="n">
        <f aca="false">COUNTIF(K70:L70,TRUE())</f>
        <v>0</v>
      </c>
      <c r="P70" s="33" t="n">
        <v>0</v>
      </c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customFormat="false" ht="21.75" hidden="false" customHeight="true" outlineLevel="0" collapsed="false">
      <c r="A71" s="29" t="s">
        <v>116</v>
      </c>
      <c r="B71" s="30" t="b">
        <f aca="false">FALSE()</f>
        <v>0</v>
      </c>
      <c r="C71" s="30" t="b">
        <f aca="false">FALSE()</f>
        <v>0</v>
      </c>
      <c r="D71" s="30" t="b">
        <f aca="false">FALSE()</f>
        <v>0</v>
      </c>
      <c r="E71" s="30" t="b">
        <f aca="false">FALSE()</f>
        <v>0</v>
      </c>
      <c r="F71" s="30" t="b">
        <f aca="false">FALSE()</f>
        <v>0</v>
      </c>
      <c r="G71" s="30" t="b">
        <f aca="false">FALSE()</f>
        <v>0</v>
      </c>
      <c r="H71" s="30" t="b">
        <f aca="false">FALSE()</f>
        <v>0</v>
      </c>
      <c r="I71" s="30" t="b">
        <f aca="false">FALSE()</f>
        <v>0</v>
      </c>
      <c r="J71" s="30" t="b">
        <f aca="false">FALSE()</f>
        <v>0</v>
      </c>
      <c r="K71" s="30" t="b">
        <f aca="false">FALSE()</f>
        <v>0</v>
      </c>
      <c r="L71" s="30" t="b">
        <f aca="false">FALSE()</f>
        <v>0</v>
      </c>
      <c r="M71" s="32" t="n">
        <f aca="false">COUNTIF(B71:F71,TRUE())</f>
        <v>0</v>
      </c>
      <c r="N71" s="32" t="n">
        <f aca="false">COUNTIF(G71:J71,TRUE())</f>
        <v>0</v>
      </c>
      <c r="O71" s="32" t="n">
        <f aca="false">COUNTIF(K71:L71,TRUE())</f>
        <v>0</v>
      </c>
      <c r="P71" s="33" t="n">
        <v>0</v>
      </c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customFormat="false" ht="21.75" hidden="false" customHeight="true" outlineLevel="0" collapsed="false">
      <c r="A72" s="29" t="s">
        <v>117</v>
      </c>
      <c r="B72" s="30" t="b">
        <f aca="false">FALSE()</f>
        <v>0</v>
      </c>
      <c r="C72" s="30" t="b">
        <f aca="false">FALSE()</f>
        <v>0</v>
      </c>
      <c r="D72" s="30" t="b">
        <f aca="false">FALSE()</f>
        <v>0</v>
      </c>
      <c r="E72" s="30" t="b">
        <f aca="false">FALSE()</f>
        <v>0</v>
      </c>
      <c r="F72" s="30" t="b">
        <f aca="false">FALSE()</f>
        <v>0</v>
      </c>
      <c r="G72" s="30" t="b">
        <f aca="false">FALSE()</f>
        <v>0</v>
      </c>
      <c r="H72" s="30" t="b">
        <f aca="false">FALSE()</f>
        <v>0</v>
      </c>
      <c r="I72" s="30" t="b">
        <f aca="false">FALSE()</f>
        <v>0</v>
      </c>
      <c r="J72" s="30" t="b">
        <f aca="false">FALSE()</f>
        <v>0</v>
      </c>
      <c r="K72" s="30" t="b">
        <f aca="false">FALSE()</f>
        <v>0</v>
      </c>
      <c r="L72" s="30" t="b">
        <f aca="false">FALSE()</f>
        <v>0</v>
      </c>
      <c r="M72" s="32" t="n">
        <f aca="false">COUNTIF(B72:F72,TRUE())</f>
        <v>0</v>
      </c>
      <c r="N72" s="32" t="n">
        <f aca="false">COUNTIF(G72:J72,TRUE())</f>
        <v>0</v>
      </c>
      <c r="O72" s="32" t="n">
        <f aca="false">COUNTIF(K72:L72,TRUE())</f>
        <v>0</v>
      </c>
      <c r="P72" s="33" t="n">
        <v>0</v>
      </c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customFormat="false" ht="21.75" hidden="false" customHeight="true" outlineLevel="0" collapsed="false">
      <c r="A73" s="29" t="s">
        <v>118</v>
      </c>
      <c r="B73" s="30" t="b">
        <f aca="false">FALSE()</f>
        <v>0</v>
      </c>
      <c r="C73" s="30" t="b">
        <f aca="false">FALSE()</f>
        <v>0</v>
      </c>
      <c r="D73" s="30" t="b">
        <f aca="false">FALSE()</f>
        <v>0</v>
      </c>
      <c r="E73" s="30" t="b">
        <f aca="false">FALSE()</f>
        <v>0</v>
      </c>
      <c r="F73" s="30" t="b">
        <f aca="false">FALSE()</f>
        <v>0</v>
      </c>
      <c r="G73" s="30" t="b">
        <f aca="false">FALSE()</f>
        <v>0</v>
      </c>
      <c r="H73" s="30" t="b">
        <f aca="false">FALSE()</f>
        <v>0</v>
      </c>
      <c r="I73" s="30" t="b">
        <f aca="false">FALSE()</f>
        <v>0</v>
      </c>
      <c r="J73" s="30" t="b">
        <f aca="false">FALSE()</f>
        <v>0</v>
      </c>
      <c r="K73" s="30" t="b">
        <f aca="false">FALSE()</f>
        <v>0</v>
      </c>
      <c r="L73" s="30" t="b">
        <f aca="false">FALSE()</f>
        <v>0</v>
      </c>
      <c r="M73" s="32" t="n">
        <f aca="false">COUNTIF(B73:F73,TRUE())</f>
        <v>0</v>
      </c>
      <c r="N73" s="32" t="n">
        <f aca="false">COUNTIF(G73:J73,TRUE())</f>
        <v>0</v>
      </c>
      <c r="O73" s="32" t="n">
        <f aca="false">COUNTIF(K73:L73,TRUE())</f>
        <v>0</v>
      </c>
      <c r="P73" s="33" t="n">
        <v>0</v>
      </c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customFormat="false" ht="21.75" hidden="false" customHeight="true" outlineLevel="0" collapsed="false">
      <c r="A74" s="29" t="s">
        <v>119</v>
      </c>
      <c r="B74" s="30" t="b">
        <f aca="false">FALSE()</f>
        <v>0</v>
      </c>
      <c r="C74" s="30" t="b">
        <f aca="false">FALSE()</f>
        <v>0</v>
      </c>
      <c r="D74" s="30" t="b">
        <f aca="false">FALSE()</f>
        <v>0</v>
      </c>
      <c r="E74" s="30" t="b">
        <f aca="false">FALSE()</f>
        <v>0</v>
      </c>
      <c r="F74" s="30" t="b">
        <f aca="false">FALSE()</f>
        <v>0</v>
      </c>
      <c r="G74" s="30" t="b">
        <f aca="false">FALSE()</f>
        <v>0</v>
      </c>
      <c r="H74" s="30" t="b">
        <f aca="false">FALSE()</f>
        <v>0</v>
      </c>
      <c r="I74" s="30" t="b">
        <f aca="false">FALSE()</f>
        <v>0</v>
      </c>
      <c r="J74" s="30" t="b">
        <f aca="false">FALSE()</f>
        <v>0</v>
      </c>
      <c r="K74" s="30" t="b">
        <f aca="false">FALSE()</f>
        <v>0</v>
      </c>
      <c r="L74" s="30" t="b">
        <f aca="false">FALSE()</f>
        <v>0</v>
      </c>
      <c r="M74" s="32" t="n">
        <f aca="false">COUNTIF(B74:F74,TRUE())</f>
        <v>0</v>
      </c>
      <c r="N74" s="32" t="n">
        <f aca="false">COUNTIF(G74:J74,TRUE())</f>
        <v>0</v>
      </c>
      <c r="O74" s="32" t="n">
        <f aca="false">COUNTIF(K74:L74,TRUE())</f>
        <v>0</v>
      </c>
      <c r="P74" s="33" t="n">
        <v>0</v>
      </c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customFormat="false" ht="21.75" hidden="false" customHeight="true" outlineLevel="0" collapsed="false">
      <c r="A75" s="29" t="s">
        <v>120</v>
      </c>
      <c r="B75" s="30" t="b">
        <f aca="false">FALSE()</f>
        <v>0</v>
      </c>
      <c r="C75" s="30" t="b">
        <f aca="false">FALSE()</f>
        <v>0</v>
      </c>
      <c r="D75" s="30" t="b">
        <f aca="false">FALSE()</f>
        <v>0</v>
      </c>
      <c r="E75" s="30" t="b">
        <f aca="false">FALSE()</f>
        <v>0</v>
      </c>
      <c r="F75" s="30" t="b">
        <f aca="false">FALSE()</f>
        <v>0</v>
      </c>
      <c r="G75" s="30" t="b">
        <f aca="false">FALSE()</f>
        <v>0</v>
      </c>
      <c r="H75" s="30" t="b">
        <f aca="false">FALSE()</f>
        <v>0</v>
      </c>
      <c r="I75" s="30" t="b">
        <f aca="false">FALSE()</f>
        <v>0</v>
      </c>
      <c r="J75" s="30" t="b">
        <f aca="false">FALSE()</f>
        <v>0</v>
      </c>
      <c r="K75" s="30" t="b">
        <f aca="false">FALSE()</f>
        <v>0</v>
      </c>
      <c r="L75" s="30" t="b">
        <f aca="false">FALSE()</f>
        <v>0</v>
      </c>
      <c r="M75" s="32" t="n">
        <f aca="false">COUNTIF(B75:F75,TRUE())</f>
        <v>0</v>
      </c>
      <c r="N75" s="32" t="n">
        <f aca="false">COUNTIF(G75:J75,TRUE())</f>
        <v>0</v>
      </c>
      <c r="O75" s="32" t="n">
        <f aca="false">COUNTIF(K75:L75,TRUE())</f>
        <v>0</v>
      </c>
      <c r="P75" s="33" t="n">
        <v>0</v>
      </c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customFormat="false" ht="21.75" hidden="false" customHeight="true" outlineLevel="0" collapsed="false">
      <c r="A76" s="29" t="s">
        <v>121</v>
      </c>
      <c r="B76" s="30" t="b">
        <f aca="false">FALSE()</f>
        <v>0</v>
      </c>
      <c r="C76" s="30" t="b">
        <f aca="false">FALSE()</f>
        <v>0</v>
      </c>
      <c r="D76" s="30" t="b">
        <f aca="false">FALSE()</f>
        <v>0</v>
      </c>
      <c r="E76" s="30" t="b">
        <f aca="false">FALSE()</f>
        <v>0</v>
      </c>
      <c r="F76" s="30" t="b">
        <f aca="false">FALSE()</f>
        <v>0</v>
      </c>
      <c r="G76" s="30" t="b">
        <f aca="false">FALSE()</f>
        <v>0</v>
      </c>
      <c r="H76" s="30" t="b">
        <f aca="false">FALSE()</f>
        <v>0</v>
      </c>
      <c r="I76" s="30" t="b">
        <f aca="false">FALSE()</f>
        <v>0</v>
      </c>
      <c r="J76" s="30" t="b">
        <f aca="false">FALSE()</f>
        <v>0</v>
      </c>
      <c r="K76" s="30" t="b">
        <f aca="false">FALSE()</f>
        <v>0</v>
      </c>
      <c r="L76" s="30" t="b">
        <f aca="false">FALSE()</f>
        <v>0</v>
      </c>
      <c r="M76" s="32" t="n">
        <f aca="false">COUNTIF(B76:F76,TRUE())</f>
        <v>0</v>
      </c>
      <c r="N76" s="32" t="n">
        <f aca="false">COUNTIF(G76:J76,TRUE())</f>
        <v>0</v>
      </c>
      <c r="O76" s="32" t="n">
        <f aca="false">COUNTIF(K76:L76,TRUE())</f>
        <v>0</v>
      </c>
      <c r="P76" s="33" t="n">
        <v>0</v>
      </c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customFormat="false" ht="21.75" hidden="false" customHeight="true" outlineLevel="0" collapsed="false">
      <c r="A77" s="29" t="s">
        <v>122</v>
      </c>
      <c r="B77" s="30" t="b">
        <f aca="false">FALSE()</f>
        <v>0</v>
      </c>
      <c r="C77" s="30" t="b">
        <f aca="false">FALSE()</f>
        <v>0</v>
      </c>
      <c r="D77" s="30" t="b">
        <f aca="false">FALSE()</f>
        <v>0</v>
      </c>
      <c r="E77" s="30" t="b">
        <f aca="false">FALSE()</f>
        <v>0</v>
      </c>
      <c r="F77" s="30" t="b">
        <f aca="false">FALSE()</f>
        <v>0</v>
      </c>
      <c r="G77" s="30" t="b">
        <f aca="false">FALSE()</f>
        <v>0</v>
      </c>
      <c r="H77" s="30" t="b">
        <f aca="false">FALSE()</f>
        <v>0</v>
      </c>
      <c r="I77" s="30" t="b">
        <f aca="false">FALSE()</f>
        <v>0</v>
      </c>
      <c r="J77" s="30" t="b">
        <f aca="false">FALSE()</f>
        <v>0</v>
      </c>
      <c r="K77" s="30" t="b">
        <f aca="false">FALSE()</f>
        <v>0</v>
      </c>
      <c r="L77" s="30" t="b">
        <f aca="false">FALSE()</f>
        <v>0</v>
      </c>
      <c r="M77" s="32" t="n">
        <f aca="false">COUNTIF(B77:F77,TRUE())</f>
        <v>0</v>
      </c>
      <c r="N77" s="32" t="n">
        <f aca="false">COUNTIF(G77:J77,TRUE())</f>
        <v>0</v>
      </c>
      <c r="O77" s="32" t="n">
        <f aca="false">COUNTIF(K77:L77,TRUE())</f>
        <v>0</v>
      </c>
      <c r="P77" s="33" t="n">
        <v>0</v>
      </c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customFormat="false" ht="21.75" hidden="false" customHeight="true" outlineLevel="0" collapsed="false">
      <c r="A78" s="29" t="s">
        <v>115</v>
      </c>
      <c r="B78" s="30" t="b">
        <f aca="false">FALSE()</f>
        <v>0</v>
      </c>
      <c r="C78" s="30" t="b">
        <f aca="false">FALSE()</f>
        <v>0</v>
      </c>
      <c r="D78" s="30" t="b">
        <f aca="false">FALSE()</f>
        <v>0</v>
      </c>
      <c r="E78" s="30" t="b">
        <f aca="false">FALSE()</f>
        <v>0</v>
      </c>
      <c r="F78" s="30" t="b">
        <f aca="false">FALSE()</f>
        <v>0</v>
      </c>
      <c r="G78" s="30" t="b">
        <f aca="false">FALSE()</f>
        <v>0</v>
      </c>
      <c r="H78" s="30" t="b">
        <f aca="false">FALSE()</f>
        <v>0</v>
      </c>
      <c r="I78" s="30" t="b">
        <f aca="false">FALSE()</f>
        <v>0</v>
      </c>
      <c r="J78" s="30" t="b">
        <f aca="false">FALSE()</f>
        <v>0</v>
      </c>
      <c r="K78" s="30" t="b">
        <f aca="false">FALSE()</f>
        <v>0</v>
      </c>
      <c r="L78" s="30" t="b">
        <f aca="false">FALSE()</f>
        <v>0</v>
      </c>
      <c r="M78" s="32" t="n">
        <f aca="false">COUNTIF(B78:F78,TRUE())</f>
        <v>0</v>
      </c>
      <c r="N78" s="32" t="n">
        <f aca="false">COUNTIF(G78:J78,TRUE())</f>
        <v>0</v>
      </c>
      <c r="O78" s="32" t="n">
        <f aca="false">COUNTIF(K78:L78,TRUE())</f>
        <v>0</v>
      </c>
      <c r="P78" s="33" t="n">
        <v>0</v>
      </c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customFormat="false" ht="21.75" hidden="false" customHeight="true" outlineLevel="0" collapsed="false">
      <c r="A79" s="29" t="s">
        <v>123</v>
      </c>
      <c r="B79" s="30" t="b">
        <f aca="false">FALSE()</f>
        <v>0</v>
      </c>
      <c r="C79" s="30" t="b">
        <f aca="false">FALSE()</f>
        <v>0</v>
      </c>
      <c r="D79" s="30" t="b">
        <f aca="false">FALSE()</f>
        <v>0</v>
      </c>
      <c r="E79" s="30" t="b">
        <f aca="false">FALSE()</f>
        <v>0</v>
      </c>
      <c r="F79" s="30" t="b">
        <f aca="false">FALSE()</f>
        <v>0</v>
      </c>
      <c r="G79" s="30" t="b">
        <f aca="false">FALSE()</f>
        <v>0</v>
      </c>
      <c r="H79" s="30" t="b">
        <f aca="false">FALSE()</f>
        <v>0</v>
      </c>
      <c r="I79" s="30" t="b">
        <f aca="false">FALSE()</f>
        <v>0</v>
      </c>
      <c r="J79" s="30" t="b">
        <f aca="false">FALSE()</f>
        <v>0</v>
      </c>
      <c r="K79" s="30" t="b">
        <f aca="false">FALSE()</f>
        <v>0</v>
      </c>
      <c r="L79" s="30" t="b">
        <f aca="false">FALSE()</f>
        <v>0</v>
      </c>
      <c r="M79" s="32" t="n">
        <f aca="false">COUNTIF(B79:F79,TRUE())</f>
        <v>0</v>
      </c>
      <c r="N79" s="32" t="n">
        <f aca="false">COUNTIF(G79:J79,TRUE())</f>
        <v>0</v>
      </c>
      <c r="O79" s="32" t="n">
        <f aca="false">COUNTIF(K79:L79,TRUE())</f>
        <v>0</v>
      </c>
      <c r="P79" s="33" t="n">
        <v>0</v>
      </c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customFormat="false" ht="21.75" hidden="false" customHeight="true" outlineLevel="0" collapsed="false">
      <c r="A80" s="29" t="s">
        <v>124</v>
      </c>
      <c r="B80" s="30" t="b">
        <f aca="false">FALSE()</f>
        <v>0</v>
      </c>
      <c r="C80" s="30" t="b">
        <f aca="false">FALSE()</f>
        <v>0</v>
      </c>
      <c r="D80" s="30" t="b">
        <f aca="false">FALSE()</f>
        <v>0</v>
      </c>
      <c r="E80" s="30" t="b">
        <f aca="false">FALSE()</f>
        <v>0</v>
      </c>
      <c r="F80" s="30" t="b">
        <f aca="false">FALSE()</f>
        <v>0</v>
      </c>
      <c r="G80" s="30" t="b">
        <f aca="false">FALSE()</f>
        <v>0</v>
      </c>
      <c r="H80" s="30" t="b">
        <f aca="false">FALSE()</f>
        <v>0</v>
      </c>
      <c r="I80" s="30" t="b">
        <f aca="false">FALSE()</f>
        <v>0</v>
      </c>
      <c r="J80" s="30" t="b">
        <f aca="false">FALSE()</f>
        <v>0</v>
      </c>
      <c r="K80" s="30" t="b">
        <f aca="false">FALSE()</f>
        <v>0</v>
      </c>
      <c r="L80" s="30" t="b">
        <f aca="false">FALSE()</f>
        <v>0</v>
      </c>
      <c r="M80" s="32" t="n">
        <f aca="false">COUNTIF(B80:F80,TRUE())</f>
        <v>0</v>
      </c>
      <c r="N80" s="32" t="n">
        <f aca="false">COUNTIF(G80:J80,TRUE())</f>
        <v>0</v>
      </c>
      <c r="O80" s="32" t="n">
        <f aca="false">COUNTIF(K80:L80,TRUE())</f>
        <v>0</v>
      </c>
      <c r="P80" s="33" t="n">
        <v>0</v>
      </c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customFormat="false" ht="21.75" hidden="false" customHeight="true" outlineLevel="0" collapsed="false">
      <c r="A81" s="29" t="s">
        <v>125</v>
      </c>
      <c r="B81" s="30" t="b">
        <f aca="false">FALSE()</f>
        <v>0</v>
      </c>
      <c r="C81" s="30" t="b">
        <f aca="false">FALSE()</f>
        <v>0</v>
      </c>
      <c r="D81" s="30" t="b">
        <f aca="false">FALSE()</f>
        <v>0</v>
      </c>
      <c r="E81" s="30" t="b">
        <f aca="false">FALSE()</f>
        <v>0</v>
      </c>
      <c r="F81" s="30" t="b">
        <f aca="false">FALSE()</f>
        <v>0</v>
      </c>
      <c r="G81" s="30" t="b">
        <f aca="false">FALSE()</f>
        <v>0</v>
      </c>
      <c r="H81" s="30" t="b">
        <f aca="false">FALSE()</f>
        <v>0</v>
      </c>
      <c r="I81" s="30" t="b">
        <f aca="false">FALSE()</f>
        <v>0</v>
      </c>
      <c r="J81" s="30" t="b">
        <f aca="false">FALSE()</f>
        <v>0</v>
      </c>
      <c r="K81" s="30" t="b">
        <f aca="false">FALSE()</f>
        <v>0</v>
      </c>
      <c r="L81" s="30" t="b">
        <f aca="false">FALSE()</f>
        <v>0</v>
      </c>
      <c r="M81" s="32" t="n">
        <f aca="false">COUNTIF(B81:F81,TRUE())</f>
        <v>0</v>
      </c>
      <c r="N81" s="32" t="n">
        <f aca="false">COUNTIF(G81:J81,TRUE())</f>
        <v>0</v>
      </c>
      <c r="O81" s="32" t="n">
        <f aca="false">COUNTIF(K81:L81,TRUE())</f>
        <v>0</v>
      </c>
      <c r="P81" s="33" t="n">
        <v>0</v>
      </c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customFormat="false" ht="21.75" hidden="false" customHeight="true" outlineLevel="0" collapsed="false">
      <c r="A82" s="29" t="s">
        <v>126</v>
      </c>
      <c r="B82" s="30" t="b">
        <f aca="false">FALSE()</f>
        <v>0</v>
      </c>
      <c r="C82" s="30" t="b">
        <f aca="false">FALSE()</f>
        <v>0</v>
      </c>
      <c r="D82" s="30" t="b">
        <f aca="false">FALSE()</f>
        <v>0</v>
      </c>
      <c r="E82" s="30" t="b">
        <f aca="false">FALSE()</f>
        <v>0</v>
      </c>
      <c r="F82" s="30" t="b">
        <f aca="false">FALSE()</f>
        <v>0</v>
      </c>
      <c r="G82" s="30" t="b">
        <f aca="false">FALSE()</f>
        <v>0</v>
      </c>
      <c r="H82" s="30" t="b">
        <f aca="false">FALSE()</f>
        <v>0</v>
      </c>
      <c r="I82" s="30" t="b">
        <f aca="false">FALSE()</f>
        <v>0</v>
      </c>
      <c r="J82" s="30" t="b">
        <f aca="false">FALSE()</f>
        <v>0</v>
      </c>
      <c r="K82" s="30" t="b">
        <f aca="false">FALSE()</f>
        <v>0</v>
      </c>
      <c r="L82" s="30" t="b">
        <f aca="false">FALSE()</f>
        <v>0</v>
      </c>
      <c r="M82" s="32" t="n">
        <f aca="false">COUNTIF(B82:F82,TRUE())</f>
        <v>0</v>
      </c>
      <c r="N82" s="32" t="n">
        <f aca="false">COUNTIF(G82:J82,TRUE())</f>
        <v>0</v>
      </c>
      <c r="O82" s="32" t="n">
        <f aca="false">COUNTIF(K82:L82,TRUE())</f>
        <v>0</v>
      </c>
      <c r="P82" s="33" t="n">
        <v>0</v>
      </c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customFormat="false" ht="21.75" hidden="false" customHeight="true" outlineLevel="0" collapsed="false">
      <c r="A83" s="29" t="s">
        <v>127</v>
      </c>
      <c r="B83" s="30" t="b">
        <f aca="false">FALSE()</f>
        <v>0</v>
      </c>
      <c r="C83" s="30" t="b">
        <f aca="false">FALSE()</f>
        <v>0</v>
      </c>
      <c r="D83" s="30" t="b">
        <f aca="false">FALSE()</f>
        <v>0</v>
      </c>
      <c r="E83" s="30" t="b">
        <f aca="false">FALSE()</f>
        <v>0</v>
      </c>
      <c r="F83" s="30" t="b">
        <f aca="false">FALSE()</f>
        <v>0</v>
      </c>
      <c r="G83" s="30" t="b">
        <f aca="false">FALSE()</f>
        <v>0</v>
      </c>
      <c r="H83" s="30" t="b">
        <f aca="false">FALSE()</f>
        <v>0</v>
      </c>
      <c r="I83" s="30" t="b">
        <f aca="false">FALSE()</f>
        <v>0</v>
      </c>
      <c r="J83" s="30" t="b">
        <f aca="false">FALSE()</f>
        <v>0</v>
      </c>
      <c r="K83" s="30" t="b">
        <f aca="false">FALSE()</f>
        <v>0</v>
      </c>
      <c r="L83" s="30" t="b">
        <f aca="false">FALSE()</f>
        <v>0</v>
      </c>
      <c r="M83" s="32" t="n">
        <f aca="false">COUNTIF(B83:F83,TRUE())</f>
        <v>0</v>
      </c>
      <c r="N83" s="32" t="n">
        <f aca="false">COUNTIF(G83:J83,TRUE())</f>
        <v>0</v>
      </c>
      <c r="O83" s="32" t="n">
        <f aca="false">COUNTIF(K83:L83,TRUE())</f>
        <v>0</v>
      </c>
      <c r="P83" s="33" t="n">
        <v>0</v>
      </c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customFormat="false" ht="21.75" hidden="false" customHeight="true" outlineLevel="0" collapsed="false">
      <c r="A84" s="29" t="s">
        <v>128</v>
      </c>
      <c r="B84" s="30" t="b">
        <f aca="false">FALSE()</f>
        <v>0</v>
      </c>
      <c r="C84" s="30" t="b">
        <f aca="false">FALSE()</f>
        <v>0</v>
      </c>
      <c r="D84" s="30" t="b">
        <f aca="false">FALSE()</f>
        <v>0</v>
      </c>
      <c r="E84" s="30" t="b">
        <f aca="false">FALSE()</f>
        <v>0</v>
      </c>
      <c r="F84" s="30" t="b">
        <f aca="false">FALSE()</f>
        <v>0</v>
      </c>
      <c r="G84" s="30" t="b">
        <f aca="false">FALSE()</f>
        <v>0</v>
      </c>
      <c r="H84" s="30" t="b">
        <f aca="false">FALSE()</f>
        <v>0</v>
      </c>
      <c r="I84" s="30" t="b">
        <f aca="false">FALSE()</f>
        <v>0</v>
      </c>
      <c r="J84" s="30" t="b">
        <f aca="false">FALSE()</f>
        <v>0</v>
      </c>
      <c r="K84" s="30" t="b">
        <f aca="false">FALSE()</f>
        <v>0</v>
      </c>
      <c r="L84" s="30" t="b">
        <f aca="false">FALSE()</f>
        <v>0</v>
      </c>
      <c r="M84" s="32" t="n">
        <f aca="false">COUNTIF(B84:F84,TRUE())</f>
        <v>0</v>
      </c>
      <c r="N84" s="32" t="n">
        <f aca="false">COUNTIF(G84:J84,TRUE())</f>
        <v>0</v>
      </c>
      <c r="O84" s="32" t="n">
        <f aca="false">COUNTIF(K84:L84,TRUE())</f>
        <v>0</v>
      </c>
      <c r="P84" s="33" t="n">
        <v>0</v>
      </c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customFormat="false" ht="21.75" hidden="false" customHeight="true" outlineLevel="0" collapsed="false">
      <c r="A85" s="29" t="s">
        <v>129</v>
      </c>
      <c r="B85" s="30" t="b">
        <f aca="false">FALSE()</f>
        <v>0</v>
      </c>
      <c r="C85" s="30" t="b">
        <f aca="false">FALSE()</f>
        <v>0</v>
      </c>
      <c r="D85" s="30" t="b">
        <f aca="false">FALSE()</f>
        <v>0</v>
      </c>
      <c r="E85" s="30" t="b">
        <f aca="false">FALSE()</f>
        <v>0</v>
      </c>
      <c r="F85" s="30" t="b">
        <f aca="false">FALSE()</f>
        <v>0</v>
      </c>
      <c r="G85" s="30" t="b">
        <f aca="false">FALSE()</f>
        <v>0</v>
      </c>
      <c r="H85" s="30" t="b">
        <f aca="false">FALSE()</f>
        <v>0</v>
      </c>
      <c r="I85" s="30" t="b">
        <f aca="false">FALSE()</f>
        <v>0</v>
      </c>
      <c r="J85" s="30" t="b">
        <f aca="false">FALSE()</f>
        <v>0</v>
      </c>
      <c r="K85" s="30" t="b">
        <f aca="false">FALSE()</f>
        <v>0</v>
      </c>
      <c r="L85" s="30" t="b">
        <f aca="false">FALSE()</f>
        <v>0</v>
      </c>
      <c r="M85" s="32" t="n">
        <f aca="false">COUNTIF(B85:F85,TRUE())</f>
        <v>0</v>
      </c>
      <c r="N85" s="32" t="n">
        <f aca="false">COUNTIF(G85:J85,TRUE())</f>
        <v>0</v>
      </c>
      <c r="O85" s="32" t="n">
        <f aca="false">COUNTIF(K85:L85,TRUE())</f>
        <v>0</v>
      </c>
      <c r="P85" s="33" t="n">
        <v>0</v>
      </c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customFormat="false" ht="21.75" hidden="false" customHeight="true" outlineLevel="0" collapsed="false">
      <c r="A86" s="29" t="s">
        <v>130</v>
      </c>
      <c r="B86" s="30" t="b">
        <f aca="false">FALSE()</f>
        <v>0</v>
      </c>
      <c r="C86" s="30" t="b">
        <f aca="false">FALSE()</f>
        <v>0</v>
      </c>
      <c r="D86" s="30" t="b">
        <f aca="false">FALSE()</f>
        <v>0</v>
      </c>
      <c r="E86" s="30" t="b">
        <f aca="false">FALSE()</f>
        <v>0</v>
      </c>
      <c r="F86" s="30" t="b">
        <f aca="false">FALSE()</f>
        <v>0</v>
      </c>
      <c r="G86" s="30" t="b">
        <f aca="false">FALSE()</f>
        <v>0</v>
      </c>
      <c r="H86" s="30" t="b">
        <f aca="false">FALSE()</f>
        <v>0</v>
      </c>
      <c r="I86" s="30" t="b">
        <f aca="false">FALSE()</f>
        <v>0</v>
      </c>
      <c r="J86" s="30" t="b">
        <f aca="false">FALSE()</f>
        <v>0</v>
      </c>
      <c r="K86" s="30" t="b">
        <f aca="false">FALSE()</f>
        <v>0</v>
      </c>
      <c r="L86" s="30" t="b">
        <f aca="false">FALSE()</f>
        <v>0</v>
      </c>
      <c r="M86" s="32" t="n">
        <f aca="false">COUNTIF(B86:F86,TRUE())</f>
        <v>0</v>
      </c>
      <c r="N86" s="32" t="n">
        <f aca="false">COUNTIF(G86:J86,TRUE())</f>
        <v>0</v>
      </c>
      <c r="O86" s="32" t="n">
        <f aca="false">COUNTIF(K86:L86,TRUE())</f>
        <v>0</v>
      </c>
      <c r="P86" s="33" t="n">
        <v>0</v>
      </c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customFormat="false" ht="21.75" hidden="false" customHeight="true" outlineLevel="0" collapsed="false">
      <c r="A87" s="29" t="s">
        <v>131</v>
      </c>
      <c r="B87" s="30" t="b">
        <f aca="false">FALSE()</f>
        <v>0</v>
      </c>
      <c r="C87" s="30" t="b">
        <f aca="false">FALSE()</f>
        <v>0</v>
      </c>
      <c r="D87" s="30" t="b">
        <f aca="false">FALSE()</f>
        <v>0</v>
      </c>
      <c r="E87" s="30" t="b">
        <f aca="false">FALSE()</f>
        <v>0</v>
      </c>
      <c r="F87" s="30" t="b">
        <f aca="false">FALSE()</f>
        <v>0</v>
      </c>
      <c r="G87" s="30" t="b">
        <f aca="false">FALSE()</f>
        <v>0</v>
      </c>
      <c r="H87" s="30" t="b">
        <f aca="false">FALSE()</f>
        <v>0</v>
      </c>
      <c r="I87" s="30" t="b">
        <f aca="false">FALSE()</f>
        <v>0</v>
      </c>
      <c r="J87" s="30" t="b">
        <f aca="false">FALSE()</f>
        <v>0</v>
      </c>
      <c r="K87" s="30" t="b">
        <f aca="false">FALSE()</f>
        <v>0</v>
      </c>
      <c r="L87" s="30" t="b">
        <f aca="false">FALSE()</f>
        <v>0</v>
      </c>
      <c r="M87" s="32" t="n">
        <f aca="false">COUNTIF(B87:F87,TRUE())</f>
        <v>0</v>
      </c>
      <c r="N87" s="32" t="n">
        <f aca="false">COUNTIF(G87:J87,TRUE())</f>
        <v>0</v>
      </c>
      <c r="O87" s="32" t="n">
        <f aca="false">COUNTIF(K87:L87,TRUE())</f>
        <v>0</v>
      </c>
      <c r="P87" s="33" t="n">
        <v>0</v>
      </c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customFormat="false" ht="21.75" hidden="false" customHeight="true" outlineLevel="0" collapsed="false">
      <c r="A88" s="29" t="s">
        <v>132</v>
      </c>
      <c r="B88" s="30" t="b">
        <f aca="false">FALSE()</f>
        <v>0</v>
      </c>
      <c r="C88" s="30" t="b">
        <f aca="false">FALSE()</f>
        <v>0</v>
      </c>
      <c r="D88" s="30" t="b">
        <f aca="false">FALSE()</f>
        <v>0</v>
      </c>
      <c r="E88" s="30" t="b">
        <f aca="false">FALSE()</f>
        <v>0</v>
      </c>
      <c r="F88" s="30" t="b">
        <f aca="false">FALSE()</f>
        <v>0</v>
      </c>
      <c r="G88" s="30" t="b">
        <f aca="false">FALSE()</f>
        <v>0</v>
      </c>
      <c r="H88" s="30" t="b">
        <f aca="false">FALSE()</f>
        <v>0</v>
      </c>
      <c r="I88" s="30" t="b">
        <f aca="false">FALSE()</f>
        <v>0</v>
      </c>
      <c r="J88" s="30" t="b">
        <f aca="false">FALSE()</f>
        <v>0</v>
      </c>
      <c r="K88" s="30" t="b">
        <f aca="false">FALSE()</f>
        <v>0</v>
      </c>
      <c r="L88" s="30" t="b">
        <f aca="false">FALSE()</f>
        <v>0</v>
      </c>
      <c r="M88" s="32" t="n">
        <f aca="false">COUNTIF(B88:F88,TRUE())</f>
        <v>0</v>
      </c>
      <c r="N88" s="32" t="n">
        <f aca="false">COUNTIF(G88:J88,TRUE())</f>
        <v>0</v>
      </c>
      <c r="O88" s="32" t="n">
        <f aca="false">COUNTIF(K88:L88,TRUE())</f>
        <v>0</v>
      </c>
      <c r="P88" s="33" t="n">
        <v>0</v>
      </c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customFormat="false" ht="21.75" hidden="false" customHeight="true" outlineLevel="0" collapsed="false">
      <c r="A89" s="29" t="s">
        <v>133</v>
      </c>
      <c r="B89" s="30" t="b">
        <f aca="false">FALSE()</f>
        <v>0</v>
      </c>
      <c r="C89" s="30" t="b">
        <f aca="false">FALSE()</f>
        <v>0</v>
      </c>
      <c r="D89" s="30" t="b">
        <f aca="false">FALSE()</f>
        <v>0</v>
      </c>
      <c r="E89" s="30" t="b">
        <f aca="false">FALSE()</f>
        <v>0</v>
      </c>
      <c r="F89" s="30" t="b">
        <f aca="false">FALSE()</f>
        <v>0</v>
      </c>
      <c r="G89" s="30" t="b">
        <f aca="false">FALSE()</f>
        <v>0</v>
      </c>
      <c r="H89" s="30" t="b">
        <f aca="false">FALSE()</f>
        <v>0</v>
      </c>
      <c r="I89" s="30" t="b">
        <f aca="false">FALSE()</f>
        <v>0</v>
      </c>
      <c r="J89" s="30" t="b">
        <f aca="false">FALSE()</f>
        <v>0</v>
      </c>
      <c r="K89" s="30" t="b">
        <f aca="false">FALSE()</f>
        <v>0</v>
      </c>
      <c r="L89" s="30" t="b">
        <f aca="false">FALSE()</f>
        <v>0</v>
      </c>
      <c r="M89" s="32" t="n">
        <f aca="false">COUNTIF(B89:F89,TRUE())</f>
        <v>0</v>
      </c>
      <c r="N89" s="32" t="n">
        <f aca="false">COUNTIF(G89:J89,TRUE())</f>
        <v>0</v>
      </c>
      <c r="O89" s="32" t="n">
        <f aca="false">COUNTIF(K89:L89,TRUE())</f>
        <v>0</v>
      </c>
      <c r="P89" s="33" t="n">
        <v>0</v>
      </c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customFormat="false" ht="21.75" hidden="false" customHeight="true" outlineLevel="0" collapsed="false">
      <c r="A90" s="29" t="s">
        <v>134</v>
      </c>
      <c r="B90" s="30" t="b">
        <f aca="false">FALSE()</f>
        <v>0</v>
      </c>
      <c r="C90" s="30" t="b">
        <f aca="false">FALSE()</f>
        <v>0</v>
      </c>
      <c r="D90" s="30" t="b">
        <f aca="false">FALSE()</f>
        <v>0</v>
      </c>
      <c r="E90" s="30" t="b">
        <f aca="false">FALSE()</f>
        <v>0</v>
      </c>
      <c r="F90" s="30" t="b">
        <f aca="false">FALSE()</f>
        <v>0</v>
      </c>
      <c r="G90" s="30" t="b">
        <f aca="false">FALSE()</f>
        <v>0</v>
      </c>
      <c r="H90" s="30" t="b">
        <f aca="false">FALSE()</f>
        <v>0</v>
      </c>
      <c r="I90" s="30" t="b">
        <f aca="false">FALSE()</f>
        <v>0</v>
      </c>
      <c r="J90" s="30" t="b">
        <f aca="false">FALSE()</f>
        <v>0</v>
      </c>
      <c r="K90" s="30" t="b">
        <f aca="false">FALSE()</f>
        <v>0</v>
      </c>
      <c r="L90" s="30" t="b">
        <f aca="false">FALSE()</f>
        <v>0</v>
      </c>
      <c r="M90" s="32" t="n">
        <f aca="false">COUNTIF(B90:F90,TRUE())</f>
        <v>0</v>
      </c>
      <c r="N90" s="32" t="n">
        <f aca="false">COUNTIF(G90:J90,TRUE())</f>
        <v>0</v>
      </c>
      <c r="O90" s="32" t="n">
        <f aca="false">COUNTIF(K90:L90,TRUE())</f>
        <v>0</v>
      </c>
      <c r="P90" s="33" t="n">
        <v>0</v>
      </c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customFormat="false" ht="21.75" hidden="false" customHeight="true" outlineLevel="0" collapsed="false">
      <c r="A91" s="29" t="s">
        <v>135</v>
      </c>
      <c r="B91" s="30" t="b">
        <f aca="false">FALSE()</f>
        <v>0</v>
      </c>
      <c r="C91" s="30" t="b">
        <f aca="false">FALSE()</f>
        <v>0</v>
      </c>
      <c r="D91" s="30" t="b">
        <f aca="false">FALSE()</f>
        <v>0</v>
      </c>
      <c r="E91" s="30" t="b">
        <f aca="false">FALSE()</f>
        <v>0</v>
      </c>
      <c r="F91" s="30" t="b">
        <f aca="false">FALSE()</f>
        <v>0</v>
      </c>
      <c r="G91" s="30" t="b">
        <f aca="false">FALSE()</f>
        <v>0</v>
      </c>
      <c r="H91" s="30" t="b">
        <f aca="false">FALSE()</f>
        <v>0</v>
      </c>
      <c r="I91" s="30" t="b">
        <f aca="false">FALSE()</f>
        <v>0</v>
      </c>
      <c r="J91" s="30" t="b">
        <f aca="false">FALSE()</f>
        <v>0</v>
      </c>
      <c r="K91" s="30" t="b">
        <f aca="false">FALSE()</f>
        <v>0</v>
      </c>
      <c r="L91" s="30" t="b">
        <f aca="false">FALSE()</f>
        <v>0</v>
      </c>
      <c r="M91" s="32" t="n">
        <f aca="false">COUNTIF(B91:F91,TRUE())</f>
        <v>0</v>
      </c>
      <c r="N91" s="32" t="n">
        <f aca="false">COUNTIF(G91:J91,TRUE())</f>
        <v>0</v>
      </c>
      <c r="O91" s="32" t="n">
        <f aca="false">COUNTIF(K91:L91,TRUE())</f>
        <v>0</v>
      </c>
      <c r="P91" s="33" t="n">
        <v>0</v>
      </c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customFormat="false" ht="21.75" hidden="false" customHeight="true" outlineLevel="0" collapsed="false">
      <c r="A92" s="29" t="s">
        <v>136</v>
      </c>
      <c r="B92" s="30" t="b">
        <f aca="false">FALSE()</f>
        <v>0</v>
      </c>
      <c r="C92" s="30" t="b">
        <f aca="false">FALSE()</f>
        <v>0</v>
      </c>
      <c r="D92" s="30" t="b">
        <f aca="false">FALSE()</f>
        <v>0</v>
      </c>
      <c r="E92" s="30" t="b">
        <f aca="false">FALSE()</f>
        <v>0</v>
      </c>
      <c r="F92" s="30" t="b">
        <f aca="false">FALSE()</f>
        <v>0</v>
      </c>
      <c r="G92" s="30" t="b">
        <f aca="false">FALSE()</f>
        <v>0</v>
      </c>
      <c r="H92" s="30" t="b">
        <f aca="false">FALSE()</f>
        <v>0</v>
      </c>
      <c r="I92" s="30" t="b">
        <f aca="false">FALSE()</f>
        <v>0</v>
      </c>
      <c r="J92" s="30" t="b">
        <f aca="false">FALSE()</f>
        <v>0</v>
      </c>
      <c r="K92" s="30" t="b">
        <f aca="false">FALSE()</f>
        <v>0</v>
      </c>
      <c r="L92" s="30" t="b">
        <f aca="false">FALSE()</f>
        <v>0</v>
      </c>
      <c r="M92" s="32" t="n">
        <f aca="false">COUNTIF(B92:F92,TRUE())</f>
        <v>0</v>
      </c>
      <c r="N92" s="32" t="n">
        <f aca="false">COUNTIF(G92:J92,TRUE())</f>
        <v>0</v>
      </c>
      <c r="O92" s="32" t="n">
        <f aca="false">COUNTIF(K92:L92,TRUE())</f>
        <v>0</v>
      </c>
      <c r="P92" s="33" t="n">
        <v>0</v>
      </c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customFormat="false" ht="21.75" hidden="false" customHeight="true" outlineLevel="0" collapsed="false">
      <c r="A93" s="29" t="s">
        <v>137</v>
      </c>
      <c r="B93" s="30" t="b">
        <f aca="false">FALSE()</f>
        <v>0</v>
      </c>
      <c r="C93" s="30" t="b">
        <f aca="false">FALSE()</f>
        <v>0</v>
      </c>
      <c r="D93" s="30" t="b">
        <f aca="false">FALSE()</f>
        <v>0</v>
      </c>
      <c r="E93" s="30" t="b">
        <f aca="false">FALSE()</f>
        <v>0</v>
      </c>
      <c r="F93" s="30" t="b">
        <f aca="false">FALSE()</f>
        <v>0</v>
      </c>
      <c r="G93" s="30" t="b">
        <f aca="false">FALSE()</f>
        <v>0</v>
      </c>
      <c r="H93" s="30" t="b">
        <f aca="false">FALSE()</f>
        <v>0</v>
      </c>
      <c r="I93" s="30" t="b">
        <f aca="false">FALSE()</f>
        <v>0</v>
      </c>
      <c r="J93" s="30" t="b">
        <f aca="false">FALSE()</f>
        <v>0</v>
      </c>
      <c r="K93" s="30" t="b">
        <f aca="false">FALSE()</f>
        <v>0</v>
      </c>
      <c r="L93" s="30" t="b">
        <f aca="false">FALSE()</f>
        <v>0</v>
      </c>
      <c r="M93" s="32" t="n">
        <f aca="false">COUNTIF(B93:F93,TRUE())</f>
        <v>0</v>
      </c>
      <c r="N93" s="32" t="n">
        <f aca="false">COUNTIF(G93:J93,TRUE())</f>
        <v>0</v>
      </c>
      <c r="O93" s="32" t="n">
        <f aca="false">COUNTIF(K93:L93,TRUE())</f>
        <v>0</v>
      </c>
      <c r="P93" s="33" t="n">
        <v>0</v>
      </c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customFormat="false" ht="21.75" hidden="false" customHeight="true" outlineLevel="0" collapsed="false">
      <c r="A94" s="29" t="s">
        <v>138</v>
      </c>
      <c r="B94" s="30" t="b">
        <f aca="false">FALSE()</f>
        <v>0</v>
      </c>
      <c r="C94" s="30" t="b">
        <f aca="false">FALSE()</f>
        <v>0</v>
      </c>
      <c r="D94" s="30" t="b">
        <f aca="false">FALSE()</f>
        <v>0</v>
      </c>
      <c r="E94" s="30" t="b">
        <f aca="false">FALSE()</f>
        <v>0</v>
      </c>
      <c r="F94" s="30" t="b">
        <f aca="false">FALSE()</f>
        <v>0</v>
      </c>
      <c r="G94" s="30" t="b">
        <f aca="false">FALSE()</f>
        <v>0</v>
      </c>
      <c r="H94" s="30" t="b">
        <f aca="false">FALSE()</f>
        <v>0</v>
      </c>
      <c r="I94" s="30" t="b">
        <f aca="false">FALSE()</f>
        <v>0</v>
      </c>
      <c r="J94" s="30" t="b">
        <f aca="false">FALSE()</f>
        <v>0</v>
      </c>
      <c r="K94" s="30" t="b">
        <f aca="false">FALSE()</f>
        <v>0</v>
      </c>
      <c r="L94" s="30" t="b">
        <f aca="false">FALSE()</f>
        <v>0</v>
      </c>
      <c r="M94" s="32" t="n">
        <f aca="false">COUNTIF(B94:F94,TRUE())</f>
        <v>0</v>
      </c>
      <c r="N94" s="32" t="n">
        <f aca="false">COUNTIF(G94:J94,TRUE())</f>
        <v>0</v>
      </c>
      <c r="O94" s="32" t="n">
        <f aca="false">COUNTIF(K94:L94,TRUE())</f>
        <v>0</v>
      </c>
      <c r="P94" s="33" t="n">
        <v>0</v>
      </c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customFormat="false" ht="21.75" hidden="false" customHeight="true" outlineLevel="0" collapsed="false">
      <c r="A95" s="29" t="s">
        <v>139</v>
      </c>
      <c r="B95" s="30" t="b">
        <f aca="false">FALSE()</f>
        <v>0</v>
      </c>
      <c r="C95" s="30" t="b">
        <f aca="false">FALSE()</f>
        <v>0</v>
      </c>
      <c r="D95" s="30" t="b">
        <f aca="false">FALSE()</f>
        <v>0</v>
      </c>
      <c r="E95" s="30" t="b">
        <f aca="false">FALSE()</f>
        <v>0</v>
      </c>
      <c r="F95" s="30" t="b">
        <f aca="false">FALSE()</f>
        <v>0</v>
      </c>
      <c r="G95" s="30" t="b">
        <f aca="false">FALSE()</f>
        <v>0</v>
      </c>
      <c r="H95" s="30" t="b">
        <f aca="false">FALSE()</f>
        <v>0</v>
      </c>
      <c r="I95" s="30" t="b">
        <f aca="false">FALSE()</f>
        <v>0</v>
      </c>
      <c r="J95" s="30" t="b">
        <f aca="false">FALSE()</f>
        <v>0</v>
      </c>
      <c r="K95" s="30" t="b">
        <f aca="false">FALSE()</f>
        <v>0</v>
      </c>
      <c r="L95" s="30" t="b">
        <f aca="false">FALSE()</f>
        <v>0</v>
      </c>
      <c r="M95" s="32" t="n">
        <f aca="false">COUNTIF(B95:F95,TRUE())</f>
        <v>0</v>
      </c>
      <c r="N95" s="32" t="n">
        <f aca="false">COUNTIF(G95:J95,TRUE())</f>
        <v>0</v>
      </c>
      <c r="O95" s="32" t="n">
        <f aca="false">COUNTIF(K95:L95,TRUE())</f>
        <v>0</v>
      </c>
      <c r="P95" s="33" t="n">
        <v>0</v>
      </c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customFormat="false" ht="21.75" hidden="false" customHeight="true" outlineLevel="0" collapsed="false">
      <c r="A96" s="29" t="s">
        <v>140</v>
      </c>
      <c r="B96" s="30" t="b">
        <f aca="false">FALSE()</f>
        <v>0</v>
      </c>
      <c r="C96" s="30" t="b">
        <f aca="false">FALSE()</f>
        <v>0</v>
      </c>
      <c r="D96" s="30" t="b">
        <f aca="false">FALSE()</f>
        <v>0</v>
      </c>
      <c r="E96" s="30" t="b">
        <f aca="false">FALSE()</f>
        <v>0</v>
      </c>
      <c r="F96" s="30" t="b">
        <f aca="false">FALSE()</f>
        <v>0</v>
      </c>
      <c r="G96" s="30" t="b">
        <f aca="false">FALSE()</f>
        <v>0</v>
      </c>
      <c r="H96" s="30" t="b">
        <f aca="false">FALSE()</f>
        <v>0</v>
      </c>
      <c r="I96" s="30" t="b">
        <f aca="false">FALSE()</f>
        <v>0</v>
      </c>
      <c r="J96" s="30" t="b">
        <f aca="false">FALSE()</f>
        <v>0</v>
      </c>
      <c r="K96" s="30" t="b">
        <f aca="false">FALSE()</f>
        <v>0</v>
      </c>
      <c r="L96" s="30" t="b">
        <f aca="false">FALSE()</f>
        <v>0</v>
      </c>
      <c r="M96" s="32" t="n">
        <f aca="false">COUNTIF(B96:F96,TRUE())</f>
        <v>0</v>
      </c>
      <c r="N96" s="32" t="n">
        <f aca="false">COUNTIF(G96:J96,TRUE())</f>
        <v>0</v>
      </c>
      <c r="O96" s="32" t="n">
        <f aca="false">COUNTIF(K96:L96,TRUE())</f>
        <v>0</v>
      </c>
      <c r="P96" s="33" t="n">
        <v>0</v>
      </c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customFormat="false" ht="21.75" hidden="false" customHeight="true" outlineLevel="0" collapsed="false">
      <c r="A97" s="29" t="s">
        <v>141</v>
      </c>
      <c r="B97" s="30" t="b">
        <f aca="false">FALSE()</f>
        <v>0</v>
      </c>
      <c r="C97" s="30" t="b">
        <f aca="false">FALSE()</f>
        <v>0</v>
      </c>
      <c r="D97" s="30" t="b">
        <f aca="false">FALSE()</f>
        <v>0</v>
      </c>
      <c r="E97" s="30" t="b">
        <f aca="false">FALSE()</f>
        <v>0</v>
      </c>
      <c r="F97" s="30" t="b">
        <f aca="false">FALSE()</f>
        <v>0</v>
      </c>
      <c r="G97" s="30" t="b">
        <f aca="false">FALSE()</f>
        <v>0</v>
      </c>
      <c r="H97" s="30" t="b">
        <f aca="false">FALSE()</f>
        <v>0</v>
      </c>
      <c r="I97" s="30" t="b">
        <f aca="false">FALSE()</f>
        <v>0</v>
      </c>
      <c r="J97" s="30" t="b">
        <f aca="false">FALSE()</f>
        <v>0</v>
      </c>
      <c r="K97" s="30" t="b">
        <f aca="false">FALSE()</f>
        <v>0</v>
      </c>
      <c r="L97" s="30" t="b">
        <f aca="false">FALSE()</f>
        <v>0</v>
      </c>
      <c r="M97" s="32" t="n">
        <f aca="false">COUNTIF(B97:F97,TRUE())</f>
        <v>0</v>
      </c>
      <c r="N97" s="32" t="n">
        <f aca="false">COUNTIF(G97:J97,TRUE())</f>
        <v>0</v>
      </c>
      <c r="O97" s="32" t="n">
        <f aca="false">COUNTIF(K97:L97,TRUE())</f>
        <v>0</v>
      </c>
      <c r="P97" s="33" t="n">
        <v>0</v>
      </c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customFormat="false" ht="21.75" hidden="false" customHeight="true" outlineLevel="0" collapsed="false">
      <c r="A98" s="29" t="s">
        <v>142</v>
      </c>
      <c r="B98" s="30" t="b">
        <f aca="false">FALSE()</f>
        <v>0</v>
      </c>
      <c r="C98" s="30" t="b">
        <f aca="false">FALSE()</f>
        <v>0</v>
      </c>
      <c r="D98" s="30" t="b">
        <f aca="false">FALSE()</f>
        <v>0</v>
      </c>
      <c r="E98" s="30" t="b">
        <f aca="false">FALSE()</f>
        <v>0</v>
      </c>
      <c r="F98" s="30" t="b">
        <f aca="false">FALSE()</f>
        <v>0</v>
      </c>
      <c r="G98" s="30" t="b">
        <f aca="false">FALSE()</f>
        <v>0</v>
      </c>
      <c r="H98" s="30" t="b">
        <f aca="false">FALSE()</f>
        <v>0</v>
      </c>
      <c r="I98" s="30" t="b">
        <f aca="false">FALSE()</f>
        <v>0</v>
      </c>
      <c r="J98" s="30" t="b">
        <f aca="false">FALSE()</f>
        <v>0</v>
      </c>
      <c r="K98" s="30" t="b">
        <f aca="false">FALSE()</f>
        <v>0</v>
      </c>
      <c r="L98" s="30" t="b">
        <f aca="false">FALSE()</f>
        <v>0</v>
      </c>
      <c r="M98" s="32" t="n">
        <f aca="false">COUNTIF(B98:F98,TRUE())</f>
        <v>0</v>
      </c>
      <c r="N98" s="32" t="n">
        <f aca="false">COUNTIF(G98:J98,TRUE())</f>
        <v>0</v>
      </c>
      <c r="O98" s="32" t="n">
        <f aca="false">COUNTIF(K98:L98,TRUE())</f>
        <v>0</v>
      </c>
      <c r="P98" s="33" t="n">
        <v>0</v>
      </c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customFormat="false" ht="21.75" hidden="false" customHeight="true" outlineLevel="0" collapsed="false">
      <c r="A99" s="29" t="s">
        <v>143</v>
      </c>
      <c r="B99" s="30" t="b">
        <f aca="false">FALSE()</f>
        <v>0</v>
      </c>
      <c r="C99" s="30" t="b">
        <f aca="false">FALSE()</f>
        <v>0</v>
      </c>
      <c r="D99" s="30" t="b">
        <f aca="false">FALSE()</f>
        <v>0</v>
      </c>
      <c r="E99" s="30" t="b">
        <f aca="false">FALSE()</f>
        <v>0</v>
      </c>
      <c r="F99" s="30" t="b">
        <f aca="false">FALSE()</f>
        <v>0</v>
      </c>
      <c r="G99" s="30" t="b">
        <f aca="false">FALSE()</f>
        <v>0</v>
      </c>
      <c r="H99" s="30" t="b">
        <f aca="false">FALSE()</f>
        <v>0</v>
      </c>
      <c r="I99" s="30" t="b">
        <f aca="false">FALSE()</f>
        <v>0</v>
      </c>
      <c r="J99" s="30" t="b">
        <f aca="false">FALSE()</f>
        <v>0</v>
      </c>
      <c r="K99" s="30" t="b">
        <f aca="false">FALSE()</f>
        <v>0</v>
      </c>
      <c r="L99" s="30" t="b">
        <f aca="false">FALSE()</f>
        <v>0</v>
      </c>
      <c r="M99" s="32" t="n">
        <f aca="false">COUNTIF(B99:F99,TRUE())</f>
        <v>0</v>
      </c>
      <c r="N99" s="32" t="n">
        <f aca="false">COUNTIF(G99:J99,TRUE())</f>
        <v>0</v>
      </c>
      <c r="O99" s="32" t="n">
        <f aca="false">COUNTIF(K99:L99,TRUE())</f>
        <v>0</v>
      </c>
      <c r="P99" s="33" t="n">
        <v>0</v>
      </c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customFormat="false" ht="21.75" hidden="false" customHeight="true" outlineLevel="0" collapsed="false">
      <c r="A100" s="29" t="s">
        <v>144</v>
      </c>
      <c r="B100" s="30" t="b">
        <f aca="false">FALSE()</f>
        <v>0</v>
      </c>
      <c r="C100" s="30" t="b">
        <f aca="false">FALSE()</f>
        <v>0</v>
      </c>
      <c r="D100" s="30" t="b">
        <f aca="false">FALSE()</f>
        <v>0</v>
      </c>
      <c r="E100" s="30" t="b">
        <f aca="false">FALSE()</f>
        <v>0</v>
      </c>
      <c r="F100" s="30" t="b">
        <f aca="false">FALSE()</f>
        <v>0</v>
      </c>
      <c r="G100" s="30" t="b">
        <f aca="false">FALSE()</f>
        <v>0</v>
      </c>
      <c r="H100" s="30" t="b">
        <f aca="false">FALSE()</f>
        <v>0</v>
      </c>
      <c r="I100" s="30" t="b">
        <f aca="false">FALSE()</f>
        <v>0</v>
      </c>
      <c r="J100" s="30" t="b">
        <f aca="false">FALSE()</f>
        <v>0</v>
      </c>
      <c r="K100" s="30" t="b">
        <f aca="false">FALSE()</f>
        <v>0</v>
      </c>
      <c r="L100" s="30" t="b">
        <f aca="false">FALSE()</f>
        <v>0</v>
      </c>
      <c r="M100" s="32" t="n">
        <f aca="false">COUNTIF(B100:F100,TRUE())</f>
        <v>0</v>
      </c>
      <c r="N100" s="32" t="n">
        <f aca="false">COUNTIF(G100:J100,TRUE())</f>
        <v>0</v>
      </c>
      <c r="O100" s="32" t="n">
        <f aca="false">COUNTIF(K100:L100,TRUE())</f>
        <v>0</v>
      </c>
      <c r="P100" s="33" t="n">
        <v>0</v>
      </c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customFormat="false" ht="21.75" hidden="false" customHeight="true" outlineLevel="0" collapsed="false">
      <c r="A101" s="29" t="s">
        <v>145</v>
      </c>
      <c r="B101" s="30" t="b">
        <f aca="false">FALSE()</f>
        <v>0</v>
      </c>
      <c r="C101" s="30" t="b">
        <f aca="false">FALSE()</f>
        <v>0</v>
      </c>
      <c r="D101" s="30" t="b">
        <f aca="false">FALSE()</f>
        <v>0</v>
      </c>
      <c r="E101" s="30" t="b">
        <f aca="false">FALSE()</f>
        <v>0</v>
      </c>
      <c r="F101" s="30" t="b">
        <f aca="false">FALSE()</f>
        <v>0</v>
      </c>
      <c r="G101" s="30" t="b">
        <f aca="false">FALSE()</f>
        <v>0</v>
      </c>
      <c r="H101" s="30" t="b">
        <f aca="false">FALSE()</f>
        <v>0</v>
      </c>
      <c r="I101" s="30" t="b">
        <f aca="false">FALSE()</f>
        <v>0</v>
      </c>
      <c r="J101" s="30" t="b">
        <f aca="false">FALSE()</f>
        <v>0</v>
      </c>
      <c r="K101" s="30" t="b">
        <f aca="false">FALSE()</f>
        <v>0</v>
      </c>
      <c r="L101" s="30" t="b">
        <f aca="false">FALSE()</f>
        <v>0</v>
      </c>
      <c r="M101" s="32" t="n">
        <f aca="false">COUNTIF(B101:F101,TRUE())</f>
        <v>0</v>
      </c>
      <c r="N101" s="32" t="n">
        <f aca="false">COUNTIF(G101:J101,TRUE())</f>
        <v>0</v>
      </c>
      <c r="O101" s="32" t="n">
        <f aca="false">COUNTIF(K101:L101,TRUE())</f>
        <v>0</v>
      </c>
      <c r="P101" s="33" t="n">
        <v>0</v>
      </c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customFormat="false" ht="21.75" hidden="false" customHeight="true" outlineLevel="0" collapsed="false">
      <c r="A102" s="29" t="s">
        <v>146</v>
      </c>
      <c r="B102" s="30" t="b">
        <f aca="false">FALSE()</f>
        <v>0</v>
      </c>
      <c r="C102" s="30" t="b">
        <f aca="false">FALSE()</f>
        <v>0</v>
      </c>
      <c r="D102" s="30" t="b">
        <f aca="false">FALSE()</f>
        <v>0</v>
      </c>
      <c r="E102" s="30" t="b">
        <f aca="false">FALSE()</f>
        <v>0</v>
      </c>
      <c r="F102" s="30" t="b">
        <f aca="false">FALSE()</f>
        <v>0</v>
      </c>
      <c r="G102" s="30" t="b">
        <f aca="false">FALSE()</f>
        <v>0</v>
      </c>
      <c r="H102" s="30" t="b">
        <f aca="false">FALSE()</f>
        <v>0</v>
      </c>
      <c r="I102" s="30" t="b">
        <f aca="false">FALSE()</f>
        <v>0</v>
      </c>
      <c r="J102" s="30" t="b">
        <f aca="false">FALSE()</f>
        <v>0</v>
      </c>
      <c r="K102" s="30" t="b">
        <f aca="false">FALSE()</f>
        <v>0</v>
      </c>
      <c r="L102" s="30" t="b">
        <f aca="false">FALSE()</f>
        <v>0</v>
      </c>
      <c r="M102" s="32" t="n">
        <f aca="false">COUNTIF(B102:F102,TRUE())</f>
        <v>0</v>
      </c>
      <c r="N102" s="32" t="n">
        <f aca="false">COUNTIF(G102:J102,TRUE())</f>
        <v>0</v>
      </c>
      <c r="O102" s="32" t="n">
        <f aca="false">COUNTIF(K102:L102,TRUE())</f>
        <v>0</v>
      </c>
      <c r="P102" s="33" t="n">
        <v>0</v>
      </c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customFormat="false" ht="21.75" hidden="false" customHeight="true" outlineLevel="0" collapsed="false">
      <c r="A103" s="29" t="s">
        <v>147</v>
      </c>
      <c r="B103" s="30" t="b">
        <f aca="false">FALSE()</f>
        <v>0</v>
      </c>
      <c r="C103" s="30" t="b">
        <f aca="false">FALSE()</f>
        <v>0</v>
      </c>
      <c r="D103" s="30" t="b">
        <f aca="false">FALSE()</f>
        <v>0</v>
      </c>
      <c r="E103" s="30" t="b">
        <f aca="false">FALSE()</f>
        <v>0</v>
      </c>
      <c r="F103" s="30" t="b">
        <f aca="false">FALSE()</f>
        <v>0</v>
      </c>
      <c r="G103" s="30" t="b">
        <f aca="false">FALSE()</f>
        <v>0</v>
      </c>
      <c r="H103" s="30" t="b">
        <f aca="false">FALSE()</f>
        <v>0</v>
      </c>
      <c r="I103" s="30" t="b">
        <f aca="false">FALSE()</f>
        <v>0</v>
      </c>
      <c r="J103" s="30" t="b">
        <f aca="false">FALSE()</f>
        <v>0</v>
      </c>
      <c r="K103" s="30" t="b">
        <f aca="false">FALSE()</f>
        <v>0</v>
      </c>
      <c r="L103" s="30" t="b">
        <f aca="false">FALSE()</f>
        <v>0</v>
      </c>
      <c r="M103" s="32" t="n">
        <f aca="false">COUNTIF(B103:F103,TRUE())</f>
        <v>0</v>
      </c>
      <c r="N103" s="32" t="n">
        <f aca="false">COUNTIF(G103:J103,TRUE())</f>
        <v>0</v>
      </c>
      <c r="O103" s="32" t="n">
        <f aca="false">COUNTIF(K103:L103,TRUE())</f>
        <v>0</v>
      </c>
      <c r="P103" s="33" t="n">
        <v>0</v>
      </c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customFormat="false" ht="21.75" hidden="false" customHeight="true" outlineLevel="0" collapsed="false">
      <c r="A104" s="29" t="s">
        <v>148</v>
      </c>
      <c r="B104" s="30" t="b">
        <f aca="false">FALSE()</f>
        <v>0</v>
      </c>
      <c r="C104" s="30" t="b">
        <f aca="false">FALSE()</f>
        <v>0</v>
      </c>
      <c r="D104" s="30" t="b">
        <f aca="false">FALSE()</f>
        <v>0</v>
      </c>
      <c r="E104" s="30" t="b">
        <f aca="false">FALSE()</f>
        <v>0</v>
      </c>
      <c r="F104" s="30" t="b">
        <f aca="false">FALSE()</f>
        <v>0</v>
      </c>
      <c r="G104" s="30" t="b">
        <f aca="false">FALSE()</f>
        <v>0</v>
      </c>
      <c r="H104" s="30" t="b">
        <f aca="false">FALSE()</f>
        <v>0</v>
      </c>
      <c r="I104" s="30" t="b">
        <f aca="false">FALSE()</f>
        <v>0</v>
      </c>
      <c r="J104" s="30" t="b">
        <f aca="false">FALSE()</f>
        <v>0</v>
      </c>
      <c r="K104" s="30" t="b">
        <f aca="false">FALSE()</f>
        <v>0</v>
      </c>
      <c r="L104" s="30" t="b">
        <f aca="false">FALSE()</f>
        <v>0</v>
      </c>
      <c r="M104" s="32" t="n">
        <f aca="false">COUNTIF(B104:F104,TRUE())</f>
        <v>0</v>
      </c>
      <c r="N104" s="32" t="n">
        <f aca="false">COUNTIF(G104:J104,TRUE())</f>
        <v>0</v>
      </c>
      <c r="O104" s="32" t="n">
        <f aca="false">COUNTIF(K104:L104,TRUE())</f>
        <v>0</v>
      </c>
      <c r="P104" s="33" t="n">
        <v>0</v>
      </c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customFormat="false" ht="21.75" hidden="false" customHeight="true" outlineLevel="0" collapsed="false">
      <c r="A105" s="29" t="s">
        <v>149</v>
      </c>
      <c r="B105" s="30" t="b">
        <f aca="false">FALSE()</f>
        <v>0</v>
      </c>
      <c r="C105" s="30" t="b">
        <f aca="false">FALSE()</f>
        <v>0</v>
      </c>
      <c r="D105" s="30" t="b">
        <f aca="false">FALSE()</f>
        <v>0</v>
      </c>
      <c r="E105" s="30" t="b">
        <f aca="false">FALSE()</f>
        <v>0</v>
      </c>
      <c r="F105" s="30" t="b">
        <f aca="false">FALSE()</f>
        <v>0</v>
      </c>
      <c r="G105" s="30" t="b">
        <f aca="false">FALSE()</f>
        <v>0</v>
      </c>
      <c r="H105" s="30" t="b">
        <f aca="false">FALSE()</f>
        <v>0</v>
      </c>
      <c r="I105" s="30" t="b">
        <f aca="false">FALSE()</f>
        <v>0</v>
      </c>
      <c r="J105" s="30" t="b">
        <f aca="false">FALSE()</f>
        <v>0</v>
      </c>
      <c r="K105" s="30" t="b">
        <f aca="false">FALSE()</f>
        <v>0</v>
      </c>
      <c r="L105" s="30" t="b">
        <f aca="false">FALSE()</f>
        <v>0</v>
      </c>
      <c r="M105" s="32" t="n">
        <f aca="false">COUNTIF(B105:F105,TRUE())</f>
        <v>0</v>
      </c>
      <c r="N105" s="32" t="n">
        <f aca="false">COUNTIF(G105:J105,TRUE())</f>
        <v>0</v>
      </c>
      <c r="O105" s="32" t="n">
        <f aca="false">COUNTIF(K105:L105,TRUE())</f>
        <v>0</v>
      </c>
      <c r="P105" s="33" t="n">
        <v>0</v>
      </c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customFormat="false" ht="21.75" hidden="false" customHeight="true" outlineLevel="0" collapsed="false">
      <c r="A106" s="29" t="s">
        <v>150</v>
      </c>
      <c r="B106" s="30" t="b">
        <f aca="false">FALSE()</f>
        <v>0</v>
      </c>
      <c r="C106" s="30" t="b">
        <f aca="false">FALSE()</f>
        <v>0</v>
      </c>
      <c r="D106" s="30" t="b">
        <f aca="false">FALSE()</f>
        <v>0</v>
      </c>
      <c r="E106" s="30" t="b">
        <f aca="false">FALSE()</f>
        <v>0</v>
      </c>
      <c r="F106" s="30" t="b">
        <f aca="false">FALSE()</f>
        <v>0</v>
      </c>
      <c r="G106" s="30" t="b">
        <f aca="false">FALSE()</f>
        <v>0</v>
      </c>
      <c r="H106" s="30" t="b">
        <f aca="false">FALSE()</f>
        <v>0</v>
      </c>
      <c r="I106" s="30" t="b">
        <f aca="false">FALSE()</f>
        <v>0</v>
      </c>
      <c r="J106" s="30" t="b">
        <f aca="false">FALSE()</f>
        <v>0</v>
      </c>
      <c r="K106" s="30" t="b">
        <f aca="false">FALSE()</f>
        <v>0</v>
      </c>
      <c r="L106" s="30" t="b">
        <f aca="false">FALSE()</f>
        <v>0</v>
      </c>
      <c r="M106" s="32" t="n">
        <f aca="false">COUNTIF(B106:F106,TRUE())</f>
        <v>0</v>
      </c>
      <c r="N106" s="32" t="n">
        <f aca="false">COUNTIF(G106:J106,TRUE())</f>
        <v>0</v>
      </c>
      <c r="O106" s="32" t="n">
        <f aca="false">COUNTIF(K106:L106,TRUE())</f>
        <v>0</v>
      </c>
      <c r="P106" s="33" t="n">
        <v>0</v>
      </c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customFormat="false" ht="21.75" hidden="false" customHeight="true" outlineLevel="0" collapsed="false">
      <c r="A107" s="29" t="s">
        <v>151</v>
      </c>
      <c r="B107" s="30" t="b">
        <f aca="false">FALSE()</f>
        <v>0</v>
      </c>
      <c r="C107" s="30" t="b">
        <f aca="false">FALSE()</f>
        <v>0</v>
      </c>
      <c r="D107" s="30" t="b">
        <f aca="false">FALSE()</f>
        <v>0</v>
      </c>
      <c r="E107" s="30" t="b">
        <f aca="false">FALSE()</f>
        <v>0</v>
      </c>
      <c r="F107" s="30" t="b">
        <f aca="false">FALSE()</f>
        <v>0</v>
      </c>
      <c r="G107" s="30" t="b">
        <f aca="false">FALSE()</f>
        <v>0</v>
      </c>
      <c r="H107" s="30" t="b">
        <f aca="false">FALSE()</f>
        <v>0</v>
      </c>
      <c r="I107" s="30" t="b">
        <f aca="false">FALSE()</f>
        <v>0</v>
      </c>
      <c r="J107" s="30" t="b">
        <f aca="false">FALSE()</f>
        <v>0</v>
      </c>
      <c r="K107" s="30" t="b">
        <f aca="false">FALSE()</f>
        <v>0</v>
      </c>
      <c r="L107" s="30" t="b">
        <f aca="false">FALSE()</f>
        <v>0</v>
      </c>
      <c r="M107" s="32" t="n">
        <f aca="false">COUNTIF(B107:F107,TRUE())</f>
        <v>0</v>
      </c>
      <c r="N107" s="32" t="n">
        <f aca="false">COUNTIF(G107:J107,TRUE())</f>
        <v>0</v>
      </c>
      <c r="O107" s="32" t="n">
        <f aca="false">COUNTIF(K107:L107,TRUE())</f>
        <v>0</v>
      </c>
      <c r="P107" s="33" t="n">
        <v>0</v>
      </c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customFormat="false" ht="21.75" hidden="false" customHeight="true" outlineLevel="0" collapsed="false">
      <c r="A108" s="29" t="s">
        <v>152</v>
      </c>
      <c r="B108" s="30" t="b">
        <f aca="false">FALSE()</f>
        <v>0</v>
      </c>
      <c r="C108" s="30" t="b">
        <f aca="false">FALSE()</f>
        <v>0</v>
      </c>
      <c r="D108" s="30" t="b">
        <f aca="false">FALSE()</f>
        <v>0</v>
      </c>
      <c r="E108" s="30" t="b">
        <f aca="false">FALSE()</f>
        <v>0</v>
      </c>
      <c r="F108" s="30" t="b">
        <f aca="false">FALSE()</f>
        <v>0</v>
      </c>
      <c r="G108" s="30" t="b">
        <f aca="false">FALSE()</f>
        <v>0</v>
      </c>
      <c r="H108" s="30" t="b">
        <f aca="false">FALSE()</f>
        <v>0</v>
      </c>
      <c r="I108" s="30" t="b">
        <f aca="false">FALSE()</f>
        <v>0</v>
      </c>
      <c r="J108" s="30" t="b">
        <f aca="false">FALSE()</f>
        <v>0</v>
      </c>
      <c r="K108" s="30" t="b">
        <f aca="false">FALSE()</f>
        <v>0</v>
      </c>
      <c r="L108" s="30" t="b">
        <f aca="false">FALSE()</f>
        <v>0</v>
      </c>
      <c r="M108" s="32" t="n">
        <f aca="false">COUNTIF(B108:F108,TRUE())</f>
        <v>0</v>
      </c>
      <c r="N108" s="32" t="n">
        <f aca="false">COUNTIF(G108:J108,TRUE())</f>
        <v>0</v>
      </c>
      <c r="O108" s="32" t="n">
        <f aca="false">COUNTIF(K108:L108,TRUE())</f>
        <v>0</v>
      </c>
      <c r="P108" s="33" t="n">
        <v>0</v>
      </c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customFormat="false" ht="21.75" hidden="false" customHeight="true" outlineLevel="0" collapsed="false">
      <c r="A109" s="29" t="s">
        <v>153</v>
      </c>
      <c r="B109" s="30" t="b">
        <f aca="false">FALSE()</f>
        <v>0</v>
      </c>
      <c r="C109" s="30" t="b">
        <f aca="false">FALSE()</f>
        <v>0</v>
      </c>
      <c r="D109" s="30" t="b">
        <f aca="false">FALSE()</f>
        <v>0</v>
      </c>
      <c r="E109" s="30" t="b">
        <f aca="false">FALSE()</f>
        <v>0</v>
      </c>
      <c r="F109" s="30" t="b">
        <f aca="false">FALSE()</f>
        <v>0</v>
      </c>
      <c r="G109" s="30" t="b">
        <f aca="false">FALSE()</f>
        <v>0</v>
      </c>
      <c r="H109" s="30" t="b">
        <f aca="false">FALSE()</f>
        <v>0</v>
      </c>
      <c r="I109" s="30" t="b">
        <f aca="false">FALSE()</f>
        <v>0</v>
      </c>
      <c r="J109" s="30" t="b">
        <f aca="false">FALSE()</f>
        <v>0</v>
      </c>
      <c r="K109" s="30" t="b">
        <f aca="false">FALSE()</f>
        <v>0</v>
      </c>
      <c r="L109" s="30" t="b">
        <f aca="false">FALSE()</f>
        <v>0</v>
      </c>
      <c r="M109" s="32" t="n">
        <f aca="false">COUNTIF(B109:F109,TRUE())</f>
        <v>0</v>
      </c>
      <c r="N109" s="32" t="n">
        <f aca="false">COUNTIF(G109:J109,TRUE())</f>
        <v>0</v>
      </c>
      <c r="O109" s="32" t="n">
        <f aca="false">COUNTIF(K109:L109,TRUE())</f>
        <v>0</v>
      </c>
      <c r="P109" s="33" t="n">
        <v>0</v>
      </c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customFormat="false" ht="21.75" hidden="false" customHeight="true" outlineLevel="0" collapsed="false">
      <c r="A110" s="29" t="s">
        <v>154</v>
      </c>
      <c r="B110" s="30" t="b">
        <f aca="false">FALSE()</f>
        <v>0</v>
      </c>
      <c r="C110" s="30" t="b">
        <f aca="false">FALSE()</f>
        <v>0</v>
      </c>
      <c r="D110" s="30" t="b">
        <f aca="false">FALSE()</f>
        <v>0</v>
      </c>
      <c r="E110" s="30" t="b">
        <f aca="false">FALSE()</f>
        <v>0</v>
      </c>
      <c r="F110" s="30" t="b">
        <f aca="false">FALSE()</f>
        <v>0</v>
      </c>
      <c r="G110" s="30" t="b">
        <f aca="false">FALSE()</f>
        <v>0</v>
      </c>
      <c r="H110" s="30" t="b">
        <f aca="false">FALSE()</f>
        <v>0</v>
      </c>
      <c r="I110" s="30" t="b">
        <f aca="false">FALSE()</f>
        <v>0</v>
      </c>
      <c r="J110" s="30" t="b">
        <f aca="false">FALSE()</f>
        <v>0</v>
      </c>
      <c r="K110" s="30" t="b">
        <f aca="false">FALSE()</f>
        <v>0</v>
      </c>
      <c r="L110" s="30" t="b">
        <f aca="false">FALSE()</f>
        <v>0</v>
      </c>
      <c r="M110" s="32" t="n">
        <f aca="false">COUNTIF(B110:F110,TRUE())</f>
        <v>0</v>
      </c>
      <c r="N110" s="32" t="n">
        <f aca="false">COUNTIF(G110:J110,TRUE())</f>
        <v>0</v>
      </c>
      <c r="O110" s="32" t="n">
        <f aca="false">COUNTIF(K110:L110,TRUE())</f>
        <v>0</v>
      </c>
      <c r="P110" s="33" t="n">
        <v>0</v>
      </c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customFormat="false" ht="21.75" hidden="false" customHeight="true" outlineLevel="0" collapsed="false">
      <c r="A111" s="29" t="s">
        <v>155</v>
      </c>
      <c r="B111" s="30" t="b">
        <f aca="false">FALSE()</f>
        <v>0</v>
      </c>
      <c r="C111" s="30" t="b">
        <f aca="false">FALSE()</f>
        <v>0</v>
      </c>
      <c r="D111" s="30" t="b">
        <f aca="false">FALSE()</f>
        <v>0</v>
      </c>
      <c r="E111" s="30" t="b">
        <f aca="false">FALSE()</f>
        <v>0</v>
      </c>
      <c r="F111" s="30" t="b">
        <f aca="false">FALSE()</f>
        <v>0</v>
      </c>
      <c r="G111" s="30" t="b">
        <f aca="false">FALSE()</f>
        <v>0</v>
      </c>
      <c r="H111" s="30" t="b">
        <f aca="false">FALSE()</f>
        <v>0</v>
      </c>
      <c r="I111" s="30" t="b">
        <f aca="false">FALSE()</f>
        <v>0</v>
      </c>
      <c r="J111" s="30" t="b">
        <f aca="false">FALSE()</f>
        <v>0</v>
      </c>
      <c r="K111" s="30" t="b">
        <f aca="false">FALSE()</f>
        <v>0</v>
      </c>
      <c r="L111" s="30" t="b">
        <f aca="false">FALSE()</f>
        <v>0</v>
      </c>
      <c r="M111" s="32" t="n">
        <f aca="false">COUNTIF(B111:F111,TRUE())</f>
        <v>0</v>
      </c>
      <c r="N111" s="32" t="n">
        <f aca="false">COUNTIF(G111:J111,TRUE())</f>
        <v>0</v>
      </c>
      <c r="O111" s="32" t="n">
        <f aca="false">COUNTIF(K111:L111,TRUE())</f>
        <v>0</v>
      </c>
      <c r="P111" s="33" t="n">
        <v>0</v>
      </c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customFormat="false" ht="21.75" hidden="false" customHeight="true" outlineLevel="0" collapsed="false">
      <c r="A112" s="29" t="s">
        <v>156</v>
      </c>
      <c r="B112" s="30" t="b">
        <f aca="false">FALSE()</f>
        <v>0</v>
      </c>
      <c r="C112" s="30" t="b">
        <f aca="false">FALSE()</f>
        <v>0</v>
      </c>
      <c r="D112" s="30" t="b">
        <f aca="false">FALSE()</f>
        <v>0</v>
      </c>
      <c r="E112" s="30" t="b">
        <f aca="false">FALSE()</f>
        <v>0</v>
      </c>
      <c r="F112" s="30" t="b">
        <f aca="false">FALSE()</f>
        <v>0</v>
      </c>
      <c r="G112" s="30" t="b">
        <f aca="false">FALSE()</f>
        <v>0</v>
      </c>
      <c r="H112" s="30" t="b">
        <f aca="false">FALSE()</f>
        <v>0</v>
      </c>
      <c r="I112" s="30" t="b">
        <f aca="false">FALSE()</f>
        <v>0</v>
      </c>
      <c r="J112" s="30" t="b">
        <f aca="false">FALSE()</f>
        <v>0</v>
      </c>
      <c r="K112" s="30" t="b">
        <f aca="false">FALSE()</f>
        <v>0</v>
      </c>
      <c r="L112" s="30" t="b">
        <f aca="false">FALSE()</f>
        <v>0</v>
      </c>
      <c r="M112" s="32" t="n">
        <f aca="false">COUNTIF(B112:F112,TRUE())</f>
        <v>0</v>
      </c>
      <c r="N112" s="32" t="n">
        <f aca="false">COUNTIF(G112:J112,TRUE())</f>
        <v>0</v>
      </c>
      <c r="O112" s="32" t="n">
        <f aca="false">COUNTIF(K112:L112,TRUE())</f>
        <v>0</v>
      </c>
      <c r="P112" s="33" t="n">
        <v>0</v>
      </c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customFormat="false" ht="21.75" hidden="false" customHeight="true" outlineLevel="0" collapsed="false">
      <c r="A113" s="29" t="s">
        <v>157</v>
      </c>
      <c r="B113" s="30" t="b">
        <f aca="false">FALSE()</f>
        <v>0</v>
      </c>
      <c r="C113" s="30" t="b">
        <f aca="false">FALSE()</f>
        <v>0</v>
      </c>
      <c r="D113" s="30" t="b">
        <f aca="false">FALSE()</f>
        <v>0</v>
      </c>
      <c r="E113" s="30" t="b">
        <f aca="false">FALSE()</f>
        <v>0</v>
      </c>
      <c r="F113" s="30" t="b">
        <f aca="false">FALSE()</f>
        <v>0</v>
      </c>
      <c r="G113" s="30" t="b">
        <f aca="false">FALSE()</f>
        <v>0</v>
      </c>
      <c r="H113" s="30" t="b">
        <f aca="false">FALSE()</f>
        <v>0</v>
      </c>
      <c r="I113" s="30" t="b">
        <f aca="false">FALSE()</f>
        <v>0</v>
      </c>
      <c r="J113" s="30" t="b">
        <f aca="false">FALSE()</f>
        <v>0</v>
      </c>
      <c r="K113" s="30" t="b">
        <f aca="false">FALSE()</f>
        <v>0</v>
      </c>
      <c r="L113" s="30" t="b">
        <f aca="false">FALSE()</f>
        <v>0</v>
      </c>
      <c r="M113" s="32" t="n">
        <f aca="false">COUNTIF(B113:F113,TRUE())</f>
        <v>0</v>
      </c>
      <c r="N113" s="32" t="n">
        <f aca="false">COUNTIF(G113:J113,TRUE())</f>
        <v>0</v>
      </c>
      <c r="O113" s="32" t="n">
        <f aca="false">COUNTIF(K113:L113,TRUE())</f>
        <v>0</v>
      </c>
      <c r="P113" s="33" t="n">
        <v>0</v>
      </c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customFormat="false" ht="21.75" hidden="false" customHeight="true" outlineLevel="0" collapsed="false">
      <c r="A114" s="29" t="s">
        <v>158</v>
      </c>
      <c r="B114" s="30" t="b">
        <f aca="false">FALSE()</f>
        <v>0</v>
      </c>
      <c r="C114" s="30" t="b">
        <f aca="false">FALSE()</f>
        <v>0</v>
      </c>
      <c r="D114" s="30" t="b">
        <f aca="false">FALSE()</f>
        <v>0</v>
      </c>
      <c r="E114" s="30" t="b">
        <f aca="false">FALSE()</f>
        <v>0</v>
      </c>
      <c r="F114" s="30" t="b">
        <f aca="false">FALSE()</f>
        <v>0</v>
      </c>
      <c r="G114" s="30" t="b">
        <f aca="false">FALSE()</f>
        <v>0</v>
      </c>
      <c r="H114" s="30" t="b">
        <f aca="false">FALSE()</f>
        <v>0</v>
      </c>
      <c r="I114" s="30" t="b">
        <f aca="false">FALSE()</f>
        <v>0</v>
      </c>
      <c r="J114" s="30" t="b">
        <f aca="false">FALSE()</f>
        <v>0</v>
      </c>
      <c r="K114" s="30" t="b">
        <f aca="false">FALSE()</f>
        <v>0</v>
      </c>
      <c r="L114" s="30" t="b">
        <f aca="false">FALSE()</f>
        <v>0</v>
      </c>
      <c r="M114" s="32" t="n">
        <f aca="false">COUNTIF(B114:F114,TRUE())</f>
        <v>0</v>
      </c>
      <c r="N114" s="32" t="n">
        <f aca="false">COUNTIF(G114:J114,TRUE())</f>
        <v>0</v>
      </c>
      <c r="O114" s="32" t="n">
        <f aca="false">COUNTIF(K114:L114,TRUE())</f>
        <v>0</v>
      </c>
      <c r="P114" s="33" t="n">
        <v>0</v>
      </c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customFormat="false" ht="21.75" hidden="false" customHeight="true" outlineLevel="0" collapsed="false">
      <c r="A115" s="29" t="s">
        <v>159</v>
      </c>
      <c r="B115" s="30" t="b">
        <f aca="false">FALSE()</f>
        <v>0</v>
      </c>
      <c r="C115" s="30" t="b">
        <f aca="false">FALSE()</f>
        <v>0</v>
      </c>
      <c r="D115" s="30" t="b">
        <f aca="false">FALSE()</f>
        <v>0</v>
      </c>
      <c r="E115" s="30" t="b">
        <f aca="false">FALSE()</f>
        <v>0</v>
      </c>
      <c r="F115" s="30" t="b">
        <f aca="false">FALSE()</f>
        <v>0</v>
      </c>
      <c r="G115" s="30" t="b">
        <f aca="false">FALSE()</f>
        <v>0</v>
      </c>
      <c r="H115" s="30" t="b">
        <f aca="false">FALSE()</f>
        <v>0</v>
      </c>
      <c r="I115" s="30" t="b">
        <f aca="false">FALSE()</f>
        <v>0</v>
      </c>
      <c r="J115" s="30" t="b">
        <f aca="false">FALSE()</f>
        <v>0</v>
      </c>
      <c r="K115" s="30" t="b">
        <f aca="false">FALSE()</f>
        <v>0</v>
      </c>
      <c r="L115" s="30" t="b">
        <f aca="false">FALSE()</f>
        <v>0</v>
      </c>
      <c r="M115" s="32" t="n">
        <f aca="false">COUNTIF(B115:F115,TRUE())</f>
        <v>0</v>
      </c>
      <c r="N115" s="32" t="n">
        <f aca="false">COUNTIF(G115:J115,TRUE())</f>
        <v>0</v>
      </c>
      <c r="O115" s="32" t="n">
        <f aca="false">COUNTIF(K115:L115,TRUE())</f>
        <v>0</v>
      </c>
      <c r="P115" s="33" t="n">
        <v>0</v>
      </c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customFormat="false" ht="21.75" hidden="false" customHeight="true" outlineLevel="0" collapsed="false">
      <c r="A116" s="29" t="s">
        <v>160</v>
      </c>
      <c r="B116" s="30" t="b">
        <f aca="false">FALSE()</f>
        <v>0</v>
      </c>
      <c r="C116" s="30" t="b">
        <f aca="false">FALSE()</f>
        <v>0</v>
      </c>
      <c r="D116" s="30" t="b">
        <f aca="false">FALSE()</f>
        <v>0</v>
      </c>
      <c r="E116" s="30" t="b">
        <f aca="false">FALSE()</f>
        <v>0</v>
      </c>
      <c r="F116" s="30" t="b">
        <f aca="false">FALSE()</f>
        <v>0</v>
      </c>
      <c r="G116" s="30" t="b">
        <f aca="false">FALSE()</f>
        <v>0</v>
      </c>
      <c r="H116" s="30" t="b">
        <f aca="false">FALSE()</f>
        <v>0</v>
      </c>
      <c r="I116" s="30" t="b">
        <f aca="false">FALSE()</f>
        <v>0</v>
      </c>
      <c r="J116" s="30" t="b">
        <f aca="false">FALSE()</f>
        <v>0</v>
      </c>
      <c r="K116" s="30" t="b">
        <f aca="false">FALSE()</f>
        <v>0</v>
      </c>
      <c r="L116" s="30" t="b">
        <f aca="false">FALSE()</f>
        <v>0</v>
      </c>
      <c r="M116" s="32" t="n">
        <f aca="false">COUNTIF(B116:F116,TRUE())</f>
        <v>0</v>
      </c>
      <c r="N116" s="32" t="n">
        <f aca="false">COUNTIF(G116:J116,TRUE())</f>
        <v>0</v>
      </c>
      <c r="O116" s="32" t="n">
        <f aca="false">COUNTIF(K116:L116,TRUE())</f>
        <v>0</v>
      </c>
      <c r="P116" s="33" t="n">
        <v>0</v>
      </c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customFormat="false" ht="21.75" hidden="false" customHeight="true" outlineLevel="0" collapsed="false">
      <c r="A117" s="29" t="s">
        <v>161</v>
      </c>
      <c r="B117" s="30" t="b">
        <f aca="false">FALSE()</f>
        <v>0</v>
      </c>
      <c r="C117" s="30" t="b">
        <f aca="false">FALSE()</f>
        <v>0</v>
      </c>
      <c r="D117" s="30" t="b">
        <f aca="false">FALSE()</f>
        <v>0</v>
      </c>
      <c r="E117" s="30" t="b">
        <f aca="false">FALSE()</f>
        <v>0</v>
      </c>
      <c r="F117" s="30" t="b">
        <f aca="false">FALSE()</f>
        <v>0</v>
      </c>
      <c r="G117" s="30" t="b">
        <f aca="false">FALSE()</f>
        <v>0</v>
      </c>
      <c r="H117" s="30" t="b">
        <f aca="false">FALSE()</f>
        <v>0</v>
      </c>
      <c r="I117" s="30" t="b">
        <f aca="false">FALSE()</f>
        <v>0</v>
      </c>
      <c r="J117" s="30" t="b">
        <f aca="false">FALSE()</f>
        <v>0</v>
      </c>
      <c r="K117" s="30" t="b">
        <f aca="false">FALSE()</f>
        <v>0</v>
      </c>
      <c r="L117" s="30" t="b">
        <f aca="false">FALSE()</f>
        <v>0</v>
      </c>
      <c r="M117" s="32" t="n">
        <f aca="false">COUNTIF(B117:F117,TRUE())</f>
        <v>0</v>
      </c>
      <c r="N117" s="32" t="n">
        <f aca="false">COUNTIF(G117:J117,TRUE())</f>
        <v>0</v>
      </c>
      <c r="O117" s="32" t="n">
        <f aca="false">COUNTIF(K117:L117,TRUE())</f>
        <v>0</v>
      </c>
      <c r="P117" s="33" t="n">
        <v>0</v>
      </c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customFormat="false" ht="21.75" hidden="false" customHeight="true" outlineLevel="0" collapsed="false">
      <c r="A118" s="29" t="s">
        <v>162</v>
      </c>
      <c r="B118" s="30" t="b">
        <f aca="false">FALSE()</f>
        <v>0</v>
      </c>
      <c r="C118" s="30" t="b">
        <f aca="false">FALSE()</f>
        <v>0</v>
      </c>
      <c r="D118" s="30" t="b">
        <f aca="false">FALSE()</f>
        <v>0</v>
      </c>
      <c r="E118" s="30" t="b">
        <f aca="false">FALSE()</f>
        <v>0</v>
      </c>
      <c r="F118" s="30" t="b">
        <f aca="false">FALSE()</f>
        <v>0</v>
      </c>
      <c r="G118" s="30" t="b">
        <f aca="false">FALSE()</f>
        <v>0</v>
      </c>
      <c r="H118" s="30" t="b">
        <f aca="false">FALSE()</f>
        <v>0</v>
      </c>
      <c r="I118" s="30" t="b">
        <f aca="false">FALSE()</f>
        <v>0</v>
      </c>
      <c r="J118" s="30" t="b">
        <f aca="false">FALSE()</f>
        <v>0</v>
      </c>
      <c r="K118" s="30" t="b">
        <f aca="false">FALSE()</f>
        <v>0</v>
      </c>
      <c r="L118" s="30" t="b">
        <f aca="false">FALSE()</f>
        <v>0</v>
      </c>
      <c r="M118" s="32" t="n">
        <f aca="false">COUNTIF(B118:F118,TRUE())</f>
        <v>0</v>
      </c>
      <c r="N118" s="32" t="n">
        <f aca="false">COUNTIF(G118:J118,TRUE())</f>
        <v>0</v>
      </c>
      <c r="O118" s="32" t="n">
        <f aca="false">COUNTIF(K118:L118,TRUE())</f>
        <v>0</v>
      </c>
      <c r="P118" s="33" t="n">
        <v>0</v>
      </c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customFormat="false" ht="21.75" hidden="false" customHeight="true" outlineLevel="0" collapsed="false">
      <c r="A119" s="29" t="s">
        <v>163</v>
      </c>
      <c r="B119" s="30" t="b">
        <f aca="false">FALSE()</f>
        <v>0</v>
      </c>
      <c r="C119" s="30" t="b">
        <f aca="false">FALSE()</f>
        <v>0</v>
      </c>
      <c r="D119" s="30" t="b">
        <f aca="false">FALSE()</f>
        <v>0</v>
      </c>
      <c r="E119" s="30" t="b">
        <f aca="false">FALSE()</f>
        <v>0</v>
      </c>
      <c r="F119" s="30" t="b">
        <f aca="false">FALSE()</f>
        <v>0</v>
      </c>
      <c r="G119" s="30" t="b">
        <f aca="false">FALSE()</f>
        <v>0</v>
      </c>
      <c r="H119" s="30" t="b">
        <f aca="false">FALSE()</f>
        <v>0</v>
      </c>
      <c r="I119" s="30" t="b">
        <f aca="false">FALSE()</f>
        <v>0</v>
      </c>
      <c r="J119" s="30" t="b">
        <f aca="false">FALSE()</f>
        <v>0</v>
      </c>
      <c r="K119" s="30" t="b">
        <f aca="false">FALSE()</f>
        <v>0</v>
      </c>
      <c r="L119" s="30" t="b">
        <f aca="false">FALSE()</f>
        <v>0</v>
      </c>
      <c r="M119" s="32" t="n">
        <f aca="false">COUNTIF(B119:F119,TRUE())</f>
        <v>0</v>
      </c>
      <c r="N119" s="32" t="n">
        <f aca="false">COUNTIF(G119:J119,TRUE())</f>
        <v>0</v>
      </c>
      <c r="O119" s="32" t="n">
        <f aca="false">COUNTIF(K119:L119,TRUE())</f>
        <v>0</v>
      </c>
      <c r="P119" s="33" t="n">
        <v>0</v>
      </c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customFormat="false" ht="21.75" hidden="false" customHeight="true" outlineLevel="0" collapsed="false">
      <c r="A120" s="29" t="s">
        <v>164</v>
      </c>
      <c r="B120" s="30" t="b">
        <f aca="false">FALSE()</f>
        <v>0</v>
      </c>
      <c r="C120" s="30" t="b">
        <f aca="false">FALSE()</f>
        <v>0</v>
      </c>
      <c r="D120" s="30" t="b">
        <f aca="false">FALSE()</f>
        <v>0</v>
      </c>
      <c r="E120" s="30" t="b">
        <f aca="false">FALSE()</f>
        <v>0</v>
      </c>
      <c r="F120" s="30" t="b">
        <f aca="false">FALSE()</f>
        <v>0</v>
      </c>
      <c r="G120" s="30" t="b">
        <f aca="false">FALSE()</f>
        <v>0</v>
      </c>
      <c r="H120" s="30" t="b">
        <f aca="false">FALSE()</f>
        <v>0</v>
      </c>
      <c r="I120" s="30" t="b">
        <f aca="false">FALSE()</f>
        <v>0</v>
      </c>
      <c r="J120" s="30" t="b">
        <f aca="false">FALSE()</f>
        <v>0</v>
      </c>
      <c r="K120" s="30" t="b">
        <f aca="false">FALSE()</f>
        <v>0</v>
      </c>
      <c r="L120" s="30" t="b">
        <f aca="false">FALSE()</f>
        <v>0</v>
      </c>
      <c r="M120" s="32" t="n">
        <f aca="false">COUNTIF(B120:F120,TRUE())</f>
        <v>0</v>
      </c>
      <c r="N120" s="32" t="n">
        <f aca="false">COUNTIF(G120:J120,TRUE())</f>
        <v>0</v>
      </c>
      <c r="O120" s="32" t="n">
        <f aca="false">COUNTIF(K120:L120,TRUE())</f>
        <v>0</v>
      </c>
      <c r="P120" s="33" t="n">
        <v>0</v>
      </c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customFormat="false" ht="21.75" hidden="false" customHeight="true" outlineLevel="0" collapsed="false">
      <c r="A121" s="29" t="s">
        <v>165</v>
      </c>
      <c r="B121" s="30" t="b">
        <f aca="false">FALSE()</f>
        <v>0</v>
      </c>
      <c r="C121" s="30" t="b">
        <f aca="false">FALSE()</f>
        <v>0</v>
      </c>
      <c r="D121" s="30" t="b">
        <f aca="false">FALSE()</f>
        <v>0</v>
      </c>
      <c r="E121" s="30" t="b">
        <f aca="false">FALSE()</f>
        <v>0</v>
      </c>
      <c r="F121" s="30" t="b">
        <f aca="false">FALSE()</f>
        <v>0</v>
      </c>
      <c r="G121" s="30" t="b">
        <f aca="false">FALSE()</f>
        <v>0</v>
      </c>
      <c r="H121" s="30" t="b">
        <f aca="false">FALSE()</f>
        <v>0</v>
      </c>
      <c r="I121" s="30" t="b">
        <f aca="false">FALSE()</f>
        <v>0</v>
      </c>
      <c r="J121" s="30" t="b">
        <f aca="false">FALSE()</f>
        <v>0</v>
      </c>
      <c r="K121" s="30" t="b">
        <f aca="false">FALSE()</f>
        <v>0</v>
      </c>
      <c r="L121" s="30" t="b">
        <f aca="false">FALSE()</f>
        <v>0</v>
      </c>
      <c r="M121" s="32" t="n">
        <f aca="false">COUNTIF(B121:F121,TRUE())</f>
        <v>0</v>
      </c>
      <c r="N121" s="32" t="n">
        <f aca="false">COUNTIF(G121:J121,TRUE())</f>
        <v>0</v>
      </c>
      <c r="O121" s="32" t="n">
        <f aca="false">COUNTIF(K121:L121,TRUE())</f>
        <v>0</v>
      </c>
      <c r="P121" s="33" t="n">
        <v>0</v>
      </c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customFormat="false" ht="21.75" hidden="false" customHeight="true" outlineLevel="0" collapsed="false">
      <c r="A122" s="29" t="s">
        <v>166</v>
      </c>
      <c r="B122" s="30" t="b">
        <f aca="false">FALSE()</f>
        <v>0</v>
      </c>
      <c r="C122" s="30" t="b">
        <f aca="false">FALSE()</f>
        <v>0</v>
      </c>
      <c r="D122" s="30" t="b">
        <f aca="false">FALSE()</f>
        <v>0</v>
      </c>
      <c r="E122" s="30" t="b">
        <f aca="false">FALSE()</f>
        <v>0</v>
      </c>
      <c r="F122" s="30" t="b">
        <f aca="false">FALSE()</f>
        <v>0</v>
      </c>
      <c r="G122" s="30" t="b">
        <f aca="false">FALSE()</f>
        <v>0</v>
      </c>
      <c r="H122" s="30" t="b">
        <f aca="false">FALSE()</f>
        <v>0</v>
      </c>
      <c r="I122" s="30" t="b">
        <f aca="false">FALSE()</f>
        <v>0</v>
      </c>
      <c r="J122" s="30" t="b">
        <f aca="false">FALSE()</f>
        <v>0</v>
      </c>
      <c r="K122" s="30" t="b">
        <f aca="false">FALSE()</f>
        <v>0</v>
      </c>
      <c r="L122" s="30" t="b">
        <f aca="false">FALSE()</f>
        <v>0</v>
      </c>
      <c r="M122" s="32" t="n">
        <f aca="false">COUNTIF(B122:F122,TRUE())</f>
        <v>0</v>
      </c>
      <c r="N122" s="32" t="n">
        <f aca="false">COUNTIF(G122:J122,TRUE())</f>
        <v>0</v>
      </c>
      <c r="O122" s="32" t="n">
        <f aca="false">COUNTIF(K122:L122,TRUE())</f>
        <v>0</v>
      </c>
      <c r="P122" s="33" t="n">
        <v>0</v>
      </c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customFormat="false" ht="21.75" hidden="false" customHeight="true" outlineLevel="0" collapsed="false">
      <c r="A123" s="29" t="s">
        <v>167</v>
      </c>
      <c r="B123" s="30" t="b">
        <f aca="false">FALSE()</f>
        <v>0</v>
      </c>
      <c r="C123" s="30" t="b">
        <f aca="false">FALSE()</f>
        <v>0</v>
      </c>
      <c r="D123" s="30" t="b">
        <f aca="false">FALSE()</f>
        <v>0</v>
      </c>
      <c r="E123" s="30" t="b">
        <f aca="false">FALSE()</f>
        <v>0</v>
      </c>
      <c r="F123" s="30" t="b">
        <f aca="false">FALSE()</f>
        <v>0</v>
      </c>
      <c r="G123" s="30" t="b">
        <f aca="false">FALSE()</f>
        <v>0</v>
      </c>
      <c r="H123" s="30" t="b">
        <f aca="false">FALSE()</f>
        <v>0</v>
      </c>
      <c r="I123" s="30" t="b">
        <f aca="false">FALSE()</f>
        <v>0</v>
      </c>
      <c r="J123" s="30" t="b">
        <f aca="false">FALSE()</f>
        <v>0</v>
      </c>
      <c r="K123" s="30" t="b">
        <f aca="false">FALSE()</f>
        <v>0</v>
      </c>
      <c r="L123" s="30" t="b">
        <f aca="false">FALSE()</f>
        <v>0</v>
      </c>
      <c r="M123" s="32" t="n">
        <f aca="false">COUNTIF(B123:F123,TRUE())</f>
        <v>0</v>
      </c>
      <c r="N123" s="32" t="n">
        <f aca="false">COUNTIF(G123:J123,TRUE())</f>
        <v>0</v>
      </c>
      <c r="O123" s="32" t="n">
        <f aca="false">COUNTIF(K123:L123,TRUE())</f>
        <v>0</v>
      </c>
      <c r="P123" s="33" t="n">
        <v>0</v>
      </c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customFormat="false" ht="21.75" hidden="false" customHeight="true" outlineLevel="0" collapsed="false">
      <c r="A124" s="29" t="s">
        <v>168</v>
      </c>
      <c r="B124" s="30" t="b">
        <f aca="false">FALSE()</f>
        <v>0</v>
      </c>
      <c r="C124" s="30" t="b">
        <f aca="false">FALSE()</f>
        <v>0</v>
      </c>
      <c r="D124" s="30" t="b">
        <f aca="false">FALSE()</f>
        <v>0</v>
      </c>
      <c r="E124" s="30" t="b">
        <f aca="false">FALSE()</f>
        <v>0</v>
      </c>
      <c r="F124" s="30" t="b">
        <f aca="false">FALSE()</f>
        <v>0</v>
      </c>
      <c r="G124" s="30" t="b">
        <f aca="false">FALSE()</f>
        <v>0</v>
      </c>
      <c r="H124" s="30" t="b">
        <f aca="false">FALSE()</f>
        <v>0</v>
      </c>
      <c r="I124" s="30" t="b">
        <f aca="false">FALSE()</f>
        <v>0</v>
      </c>
      <c r="J124" s="30" t="b">
        <f aca="false">FALSE()</f>
        <v>0</v>
      </c>
      <c r="K124" s="30" t="b">
        <f aca="false">FALSE()</f>
        <v>0</v>
      </c>
      <c r="L124" s="30" t="b">
        <f aca="false">FALSE()</f>
        <v>0</v>
      </c>
      <c r="M124" s="32" t="n">
        <f aca="false">COUNTIF(B124:F124,TRUE())</f>
        <v>0</v>
      </c>
      <c r="N124" s="32" t="n">
        <f aca="false">COUNTIF(G124:J124,TRUE())</f>
        <v>0</v>
      </c>
      <c r="O124" s="32" t="n">
        <f aca="false">COUNTIF(K124:L124,TRUE())</f>
        <v>0</v>
      </c>
      <c r="P124" s="33" t="n">
        <v>0</v>
      </c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customFormat="false" ht="21.75" hidden="false" customHeight="true" outlineLevel="0" collapsed="false">
      <c r="A125" s="29" t="s">
        <v>169</v>
      </c>
      <c r="B125" s="30" t="b">
        <f aca="false">FALSE()</f>
        <v>0</v>
      </c>
      <c r="C125" s="30" t="b">
        <f aca="false">FALSE()</f>
        <v>0</v>
      </c>
      <c r="D125" s="30" t="b">
        <f aca="false">FALSE()</f>
        <v>0</v>
      </c>
      <c r="E125" s="30" t="b">
        <f aca="false">FALSE()</f>
        <v>0</v>
      </c>
      <c r="F125" s="30" t="b">
        <f aca="false">FALSE()</f>
        <v>0</v>
      </c>
      <c r="G125" s="30" t="b">
        <f aca="false">FALSE()</f>
        <v>0</v>
      </c>
      <c r="H125" s="30" t="b">
        <f aca="false">FALSE()</f>
        <v>0</v>
      </c>
      <c r="I125" s="30" t="b">
        <f aca="false">FALSE()</f>
        <v>0</v>
      </c>
      <c r="J125" s="30" t="b">
        <f aca="false">FALSE()</f>
        <v>0</v>
      </c>
      <c r="K125" s="30" t="b">
        <f aca="false">FALSE()</f>
        <v>0</v>
      </c>
      <c r="L125" s="30" t="b">
        <f aca="false">FALSE()</f>
        <v>0</v>
      </c>
      <c r="M125" s="32" t="n">
        <f aca="false">COUNTIF(B125:F125,TRUE())</f>
        <v>0</v>
      </c>
      <c r="N125" s="32" t="n">
        <f aca="false">COUNTIF(G125:J125,TRUE())</f>
        <v>0</v>
      </c>
      <c r="O125" s="32" t="n">
        <f aca="false">COUNTIF(K125:L125,TRUE())</f>
        <v>0</v>
      </c>
      <c r="P125" s="33" t="n">
        <v>0</v>
      </c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customFormat="false" ht="21.75" hidden="false" customHeight="true" outlineLevel="0" collapsed="false">
      <c r="A126" s="29" t="s">
        <v>170</v>
      </c>
      <c r="B126" s="30" t="b">
        <f aca="false">FALSE()</f>
        <v>0</v>
      </c>
      <c r="C126" s="30" t="b">
        <f aca="false">FALSE()</f>
        <v>0</v>
      </c>
      <c r="D126" s="30" t="b">
        <f aca="false">FALSE()</f>
        <v>0</v>
      </c>
      <c r="E126" s="30" t="b">
        <f aca="false">FALSE()</f>
        <v>0</v>
      </c>
      <c r="F126" s="30" t="b">
        <f aca="false">FALSE()</f>
        <v>0</v>
      </c>
      <c r="G126" s="30" t="b">
        <f aca="false">FALSE()</f>
        <v>0</v>
      </c>
      <c r="H126" s="30" t="b">
        <f aca="false">FALSE()</f>
        <v>0</v>
      </c>
      <c r="I126" s="30" t="b">
        <f aca="false">FALSE()</f>
        <v>0</v>
      </c>
      <c r="J126" s="30" t="b">
        <f aca="false">FALSE()</f>
        <v>0</v>
      </c>
      <c r="K126" s="30" t="b">
        <f aca="false">FALSE()</f>
        <v>0</v>
      </c>
      <c r="L126" s="30" t="b">
        <f aca="false">FALSE()</f>
        <v>0</v>
      </c>
      <c r="M126" s="32" t="n">
        <f aca="false">COUNTIF(B126:F126,TRUE())</f>
        <v>0</v>
      </c>
      <c r="N126" s="32" t="n">
        <f aca="false">COUNTIF(G126:J126,TRUE())</f>
        <v>0</v>
      </c>
      <c r="O126" s="32" t="n">
        <f aca="false">COUNTIF(K126:L126,TRUE())</f>
        <v>0</v>
      </c>
      <c r="P126" s="33" t="n">
        <v>0</v>
      </c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customFormat="false" ht="21.75" hidden="false" customHeight="true" outlineLevel="0" collapsed="false">
      <c r="A127" s="29" t="s">
        <v>171</v>
      </c>
      <c r="B127" s="30" t="b">
        <f aca="false">FALSE()</f>
        <v>0</v>
      </c>
      <c r="C127" s="30" t="b">
        <f aca="false">FALSE()</f>
        <v>0</v>
      </c>
      <c r="D127" s="30" t="b">
        <f aca="false">FALSE()</f>
        <v>0</v>
      </c>
      <c r="E127" s="30" t="b">
        <f aca="false">FALSE()</f>
        <v>0</v>
      </c>
      <c r="F127" s="30" t="b">
        <f aca="false">FALSE()</f>
        <v>0</v>
      </c>
      <c r="G127" s="30" t="b">
        <f aca="false">FALSE()</f>
        <v>0</v>
      </c>
      <c r="H127" s="30" t="b">
        <f aca="false">FALSE()</f>
        <v>0</v>
      </c>
      <c r="I127" s="30" t="b">
        <f aca="false">FALSE()</f>
        <v>0</v>
      </c>
      <c r="J127" s="30" t="b">
        <f aca="false">FALSE()</f>
        <v>0</v>
      </c>
      <c r="K127" s="30" t="b">
        <f aca="false">FALSE()</f>
        <v>0</v>
      </c>
      <c r="L127" s="30" t="b">
        <f aca="false">FALSE()</f>
        <v>0</v>
      </c>
      <c r="M127" s="32" t="n">
        <f aca="false">COUNTIF(B127:F127,TRUE())</f>
        <v>0</v>
      </c>
      <c r="N127" s="32" t="n">
        <f aca="false">COUNTIF(G127:J127,TRUE())</f>
        <v>0</v>
      </c>
      <c r="O127" s="32" t="n">
        <f aca="false">COUNTIF(K127:L127,TRUE())</f>
        <v>0</v>
      </c>
      <c r="P127" s="33" t="n">
        <v>0</v>
      </c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customFormat="false" ht="21.75" hidden="false" customHeight="true" outlineLevel="0" collapsed="false">
      <c r="A128" s="29" t="s">
        <v>172</v>
      </c>
      <c r="B128" s="30" t="b">
        <f aca="false">FALSE()</f>
        <v>0</v>
      </c>
      <c r="C128" s="30" t="b">
        <f aca="false">FALSE()</f>
        <v>0</v>
      </c>
      <c r="D128" s="30" t="b">
        <f aca="false">FALSE()</f>
        <v>0</v>
      </c>
      <c r="E128" s="30" t="b">
        <f aca="false">FALSE()</f>
        <v>0</v>
      </c>
      <c r="F128" s="30" t="b">
        <f aca="false">FALSE()</f>
        <v>0</v>
      </c>
      <c r="G128" s="30" t="b">
        <f aca="false">FALSE()</f>
        <v>0</v>
      </c>
      <c r="H128" s="30" t="b">
        <f aca="false">FALSE()</f>
        <v>0</v>
      </c>
      <c r="I128" s="30" t="b">
        <f aca="false">FALSE()</f>
        <v>0</v>
      </c>
      <c r="J128" s="30" t="b">
        <f aca="false">FALSE()</f>
        <v>0</v>
      </c>
      <c r="K128" s="30" t="b">
        <f aca="false">FALSE()</f>
        <v>0</v>
      </c>
      <c r="L128" s="30" t="b">
        <f aca="false">FALSE()</f>
        <v>0</v>
      </c>
      <c r="M128" s="32" t="n">
        <f aca="false">COUNTIF(B128:F128,TRUE())</f>
        <v>0</v>
      </c>
      <c r="N128" s="32" t="n">
        <f aca="false">COUNTIF(G128:J128,TRUE())</f>
        <v>0</v>
      </c>
      <c r="O128" s="32" t="n">
        <f aca="false">COUNTIF(K128:L128,TRUE())</f>
        <v>0</v>
      </c>
      <c r="P128" s="33" t="n">
        <v>0</v>
      </c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customFormat="false" ht="21.75" hidden="false" customHeight="true" outlineLevel="0" collapsed="false">
      <c r="A129" s="29" t="s">
        <v>173</v>
      </c>
      <c r="B129" s="30" t="b">
        <f aca="false">FALSE()</f>
        <v>0</v>
      </c>
      <c r="C129" s="30" t="b">
        <f aca="false">FALSE()</f>
        <v>0</v>
      </c>
      <c r="D129" s="30" t="b">
        <f aca="false">FALSE()</f>
        <v>0</v>
      </c>
      <c r="E129" s="30" t="b">
        <f aca="false">FALSE()</f>
        <v>0</v>
      </c>
      <c r="F129" s="30" t="b">
        <f aca="false">FALSE()</f>
        <v>0</v>
      </c>
      <c r="G129" s="30" t="b">
        <f aca="false">FALSE()</f>
        <v>0</v>
      </c>
      <c r="H129" s="30" t="b">
        <f aca="false">FALSE()</f>
        <v>0</v>
      </c>
      <c r="I129" s="30" t="b">
        <f aca="false">FALSE()</f>
        <v>0</v>
      </c>
      <c r="J129" s="30" t="b">
        <f aca="false">FALSE()</f>
        <v>0</v>
      </c>
      <c r="K129" s="30" t="b">
        <f aca="false">FALSE()</f>
        <v>0</v>
      </c>
      <c r="L129" s="30" t="b">
        <f aca="false">FALSE()</f>
        <v>0</v>
      </c>
      <c r="M129" s="32" t="n">
        <f aca="false">COUNTIF(B129:F129,TRUE())</f>
        <v>0</v>
      </c>
      <c r="N129" s="32" t="n">
        <f aca="false">COUNTIF(G129:J129,TRUE())</f>
        <v>0</v>
      </c>
      <c r="O129" s="32" t="n">
        <f aca="false">COUNTIF(K129:L129,TRUE())</f>
        <v>0</v>
      </c>
      <c r="P129" s="33" t="n">
        <v>0</v>
      </c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customFormat="false" ht="21.75" hidden="false" customHeight="true" outlineLevel="0" collapsed="false">
      <c r="A130" s="29" t="s">
        <v>174</v>
      </c>
      <c r="B130" s="30" t="b">
        <f aca="false">FALSE()</f>
        <v>0</v>
      </c>
      <c r="C130" s="30" t="b">
        <f aca="false">FALSE()</f>
        <v>0</v>
      </c>
      <c r="D130" s="30" t="b">
        <f aca="false">FALSE()</f>
        <v>0</v>
      </c>
      <c r="E130" s="30" t="b">
        <f aca="false">FALSE()</f>
        <v>0</v>
      </c>
      <c r="F130" s="30" t="b">
        <f aca="false">FALSE()</f>
        <v>0</v>
      </c>
      <c r="G130" s="30" t="b">
        <f aca="false">FALSE()</f>
        <v>0</v>
      </c>
      <c r="H130" s="30" t="b">
        <f aca="false">FALSE()</f>
        <v>0</v>
      </c>
      <c r="I130" s="30" t="b">
        <f aca="false">FALSE()</f>
        <v>0</v>
      </c>
      <c r="J130" s="30" t="b">
        <f aca="false">FALSE()</f>
        <v>0</v>
      </c>
      <c r="K130" s="30" t="b">
        <f aca="false">FALSE()</f>
        <v>0</v>
      </c>
      <c r="L130" s="30" t="b">
        <f aca="false">FALSE()</f>
        <v>0</v>
      </c>
      <c r="M130" s="32" t="n">
        <f aca="false">COUNTIF(B130:F130,TRUE())</f>
        <v>0</v>
      </c>
      <c r="N130" s="32" t="n">
        <f aca="false">COUNTIF(G130:J130,TRUE())</f>
        <v>0</v>
      </c>
      <c r="O130" s="32" t="n">
        <f aca="false">COUNTIF(K130:L130,TRUE())</f>
        <v>0</v>
      </c>
      <c r="P130" s="33" t="n">
        <v>0</v>
      </c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customFormat="false" ht="21.75" hidden="false" customHeight="true" outlineLevel="0" collapsed="false">
      <c r="A131" s="29" t="s">
        <v>175</v>
      </c>
      <c r="B131" s="30" t="b">
        <f aca="false">FALSE()</f>
        <v>0</v>
      </c>
      <c r="C131" s="30" t="b">
        <f aca="false">FALSE()</f>
        <v>0</v>
      </c>
      <c r="D131" s="30" t="b">
        <f aca="false">FALSE()</f>
        <v>0</v>
      </c>
      <c r="E131" s="30" t="b">
        <f aca="false">FALSE()</f>
        <v>0</v>
      </c>
      <c r="F131" s="30" t="b">
        <f aca="false">FALSE()</f>
        <v>0</v>
      </c>
      <c r="G131" s="30" t="b">
        <f aca="false">FALSE()</f>
        <v>0</v>
      </c>
      <c r="H131" s="30" t="b">
        <f aca="false">FALSE()</f>
        <v>0</v>
      </c>
      <c r="I131" s="30" t="b">
        <f aca="false">FALSE()</f>
        <v>0</v>
      </c>
      <c r="J131" s="30" t="b">
        <f aca="false">FALSE()</f>
        <v>0</v>
      </c>
      <c r="K131" s="30" t="b">
        <f aca="false">FALSE()</f>
        <v>0</v>
      </c>
      <c r="L131" s="30" t="b">
        <f aca="false">FALSE()</f>
        <v>0</v>
      </c>
      <c r="M131" s="32" t="n">
        <f aca="false">COUNTIF(B131:F131,TRUE())</f>
        <v>0</v>
      </c>
      <c r="N131" s="32" t="n">
        <f aca="false">COUNTIF(G131:J131,TRUE())</f>
        <v>0</v>
      </c>
      <c r="O131" s="32" t="n">
        <f aca="false">COUNTIF(K131:L131,TRUE())</f>
        <v>0</v>
      </c>
      <c r="P131" s="33" t="n">
        <v>0</v>
      </c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customFormat="false" ht="21.75" hidden="false" customHeight="true" outlineLevel="0" collapsed="false">
      <c r="A132" s="29" t="s">
        <v>176</v>
      </c>
      <c r="B132" s="30" t="b">
        <f aca="false">FALSE()</f>
        <v>0</v>
      </c>
      <c r="C132" s="30" t="b">
        <f aca="false">FALSE()</f>
        <v>0</v>
      </c>
      <c r="D132" s="30" t="b">
        <f aca="false">FALSE()</f>
        <v>0</v>
      </c>
      <c r="E132" s="30" t="b">
        <f aca="false">FALSE()</f>
        <v>0</v>
      </c>
      <c r="F132" s="30" t="b">
        <f aca="false">FALSE()</f>
        <v>0</v>
      </c>
      <c r="G132" s="30" t="b">
        <f aca="false">FALSE()</f>
        <v>0</v>
      </c>
      <c r="H132" s="30" t="b">
        <f aca="false">FALSE()</f>
        <v>0</v>
      </c>
      <c r="I132" s="30" t="b">
        <f aca="false">FALSE()</f>
        <v>0</v>
      </c>
      <c r="J132" s="30" t="b">
        <f aca="false">FALSE()</f>
        <v>0</v>
      </c>
      <c r="K132" s="30" t="b">
        <f aca="false">FALSE()</f>
        <v>0</v>
      </c>
      <c r="L132" s="30" t="b">
        <f aca="false">FALSE()</f>
        <v>0</v>
      </c>
      <c r="M132" s="32" t="n">
        <f aca="false">COUNTIF(B132:F132,TRUE())</f>
        <v>0</v>
      </c>
      <c r="N132" s="32" t="n">
        <f aca="false">COUNTIF(G132:J132,TRUE())</f>
        <v>0</v>
      </c>
      <c r="O132" s="32" t="n">
        <f aca="false">COUNTIF(K132:L132,TRUE())</f>
        <v>0</v>
      </c>
      <c r="P132" s="33" t="n">
        <v>0</v>
      </c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customFormat="false" ht="21.75" hidden="false" customHeight="true" outlineLevel="0" collapsed="false">
      <c r="A133" s="29" t="s">
        <v>177</v>
      </c>
      <c r="B133" s="30" t="b">
        <f aca="false">FALSE()</f>
        <v>0</v>
      </c>
      <c r="C133" s="30" t="b">
        <f aca="false">FALSE()</f>
        <v>0</v>
      </c>
      <c r="D133" s="30" t="b">
        <f aca="false">FALSE()</f>
        <v>0</v>
      </c>
      <c r="E133" s="30" t="b">
        <f aca="false">FALSE()</f>
        <v>0</v>
      </c>
      <c r="F133" s="30" t="b">
        <f aca="false">FALSE()</f>
        <v>0</v>
      </c>
      <c r="G133" s="30" t="b">
        <f aca="false">FALSE()</f>
        <v>0</v>
      </c>
      <c r="H133" s="30" t="b">
        <f aca="false">FALSE()</f>
        <v>0</v>
      </c>
      <c r="I133" s="30" t="b">
        <f aca="false">FALSE()</f>
        <v>0</v>
      </c>
      <c r="J133" s="30" t="b">
        <f aca="false">FALSE()</f>
        <v>0</v>
      </c>
      <c r="K133" s="30" t="b">
        <f aca="false">FALSE()</f>
        <v>0</v>
      </c>
      <c r="L133" s="30" t="b">
        <f aca="false">FALSE()</f>
        <v>0</v>
      </c>
      <c r="M133" s="32" t="n">
        <f aca="false">COUNTIF(B133:F133,TRUE())</f>
        <v>0</v>
      </c>
      <c r="N133" s="32" t="n">
        <f aca="false">COUNTIF(G133:J133,TRUE())</f>
        <v>0</v>
      </c>
      <c r="O133" s="32" t="n">
        <f aca="false">COUNTIF(K133:L133,TRUE())</f>
        <v>0</v>
      </c>
      <c r="P133" s="33" t="n">
        <v>0</v>
      </c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customFormat="false" ht="21.75" hidden="false" customHeight="true" outlineLevel="0" collapsed="false">
      <c r="A134" s="29" t="s">
        <v>178</v>
      </c>
      <c r="B134" s="30" t="b">
        <f aca="false">FALSE()</f>
        <v>0</v>
      </c>
      <c r="C134" s="30" t="b">
        <f aca="false">FALSE()</f>
        <v>0</v>
      </c>
      <c r="D134" s="30" t="b">
        <f aca="false">FALSE()</f>
        <v>0</v>
      </c>
      <c r="E134" s="30" t="b">
        <f aca="false">FALSE()</f>
        <v>0</v>
      </c>
      <c r="F134" s="30" t="b">
        <f aca="false">FALSE()</f>
        <v>0</v>
      </c>
      <c r="G134" s="30" t="b">
        <f aca="false">FALSE()</f>
        <v>0</v>
      </c>
      <c r="H134" s="30" t="b">
        <f aca="false">FALSE()</f>
        <v>0</v>
      </c>
      <c r="I134" s="30" t="b">
        <f aca="false">FALSE()</f>
        <v>0</v>
      </c>
      <c r="J134" s="30" t="b">
        <f aca="false">FALSE()</f>
        <v>0</v>
      </c>
      <c r="K134" s="30" t="b">
        <f aca="false">FALSE()</f>
        <v>0</v>
      </c>
      <c r="L134" s="30" t="b">
        <f aca="false">FALSE()</f>
        <v>0</v>
      </c>
      <c r="M134" s="32" t="n">
        <f aca="false">COUNTIF(B134:F134,TRUE())</f>
        <v>0</v>
      </c>
      <c r="N134" s="32" t="n">
        <f aca="false">COUNTIF(G134:J134,TRUE())</f>
        <v>0</v>
      </c>
      <c r="O134" s="32" t="n">
        <f aca="false">COUNTIF(K134:L134,TRUE())</f>
        <v>0</v>
      </c>
      <c r="P134" s="33" t="n">
        <v>0</v>
      </c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customFormat="false" ht="21.75" hidden="false" customHeight="true" outlineLevel="0" collapsed="false">
      <c r="A135" s="29" t="s">
        <v>179</v>
      </c>
      <c r="B135" s="30" t="b">
        <f aca="false">FALSE()</f>
        <v>0</v>
      </c>
      <c r="C135" s="30" t="b">
        <f aca="false">FALSE()</f>
        <v>0</v>
      </c>
      <c r="D135" s="30" t="b">
        <f aca="false">FALSE()</f>
        <v>0</v>
      </c>
      <c r="E135" s="30" t="b">
        <f aca="false">FALSE()</f>
        <v>0</v>
      </c>
      <c r="F135" s="30" t="b">
        <f aca="false">FALSE()</f>
        <v>0</v>
      </c>
      <c r="G135" s="30" t="b">
        <f aca="false">FALSE()</f>
        <v>0</v>
      </c>
      <c r="H135" s="30" t="b">
        <f aca="false">FALSE()</f>
        <v>0</v>
      </c>
      <c r="I135" s="30" t="b">
        <f aca="false">FALSE()</f>
        <v>0</v>
      </c>
      <c r="J135" s="30" t="b">
        <f aca="false">FALSE()</f>
        <v>0</v>
      </c>
      <c r="K135" s="30" t="b">
        <f aca="false">FALSE()</f>
        <v>0</v>
      </c>
      <c r="L135" s="30" t="b">
        <f aca="false">FALSE()</f>
        <v>0</v>
      </c>
      <c r="M135" s="32" t="n">
        <f aca="false">COUNTIF(B135:F135,TRUE())</f>
        <v>0</v>
      </c>
      <c r="N135" s="32" t="n">
        <f aca="false">COUNTIF(G135:J135,TRUE())</f>
        <v>0</v>
      </c>
      <c r="O135" s="32" t="n">
        <f aca="false">COUNTIF(K135:L135,TRUE())</f>
        <v>0</v>
      </c>
      <c r="P135" s="33" t="n">
        <v>0</v>
      </c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customFormat="false" ht="21.75" hidden="false" customHeight="true" outlineLevel="0" collapsed="false">
      <c r="A136" s="29" t="s">
        <v>180</v>
      </c>
      <c r="B136" s="30" t="b">
        <f aca="false">FALSE()</f>
        <v>0</v>
      </c>
      <c r="C136" s="30" t="b">
        <f aca="false">FALSE()</f>
        <v>0</v>
      </c>
      <c r="D136" s="30" t="b">
        <f aca="false">FALSE()</f>
        <v>0</v>
      </c>
      <c r="E136" s="30" t="b">
        <f aca="false">FALSE()</f>
        <v>0</v>
      </c>
      <c r="F136" s="30" t="b">
        <f aca="false">FALSE()</f>
        <v>0</v>
      </c>
      <c r="G136" s="30" t="b">
        <f aca="false">FALSE()</f>
        <v>0</v>
      </c>
      <c r="H136" s="30" t="b">
        <f aca="false">FALSE()</f>
        <v>0</v>
      </c>
      <c r="I136" s="30" t="b">
        <f aca="false">FALSE()</f>
        <v>0</v>
      </c>
      <c r="J136" s="30" t="b">
        <f aca="false">FALSE()</f>
        <v>0</v>
      </c>
      <c r="K136" s="30" t="b">
        <f aca="false">FALSE()</f>
        <v>0</v>
      </c>
      <c r="L136" s="30" t="b">
        <f aca="false">FALSE()</f>
        <v>0</v>
      </c>
      <c r="M136" s="32" t="n">
        <f aca="false">COUNTIF(B136:F136,TRUE())</f>
        <v>0</v>
      </c>
      <c r="N136" s="32" t="n">
        <f aca="false">COUNTIF(G136:J136,TRUE())</f>
        <v>0</v>
      </c>
      <c r="O136" s="32" t="n">
        <f aca="false">COUNTIF(K136:L136,TRUE())</f>
        <v>0</v>
      </c>
      <c r="P136" s="33" t="n">
        <v>0</v>
      </c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customFormat="false" ht="21.75" hidden="false" customHeight="true" outlineLevel="0" collapsed="false">
      <c r="A137" s="29" t="s">
        <v>181</v>
      </c>
      <c r="B137" s="30" t="b">
        <f aca="false">FALSE()</f>
        <v>0</v>
      </c>
      <c r="C137" s="30" t="b">
        <f aca="false">FALSE()</f>
        <v>0</v>
      </c>
      <c r="D137" s="30" t="b">
        <f aca="false">FALSE()</f>
        <v>0</v>
      </c>
      <c r="E137" s="30" t="b">
        <f aca="false">FALSE()</f>
        <v>0</v>
      </c>
      <c r="F137" s="30" t="b">
        <f aca="false">FALSE()</f>
        <v>0</v>
      </c>
      <c r="G137" s="30" t="b">
        <f aca="false">FALSE()</f>
        <v>0</v>
      </c>
      <c r="H137" s="30" t="b">
        <f aca="false">FALSE()</f>
        <v>0</v>
      </c>
      <c r="I137" s="30" t="b">
        <f aca="false">FALSE()</f>
        <v>0</v>
      </c>
      <c r="J137" s="30" t="b">
        <f aca="false">FALSE()</f>
        <v>0</v>
      </c>
      <c r="K137" s="30" t="b">
        <f aca="false">FALSE()</f>
        <v>0</v>
      </c>
      <c r="L137" s="30" t="b">
        <f aca="false">FALSE()</f>
        <v>0</v>
      </c>
      <c r="M137" s="32" t="n">
        <f aca="false">COUNTIF(B137:F137,TRUE())</f>
        <v>0</v>
      </c>
      <c r="N137" s="32" t="n">
        <f aca="false">COUNTIF(G137:J137,TRUE())</f>
        <v>0</v>
      </c>
      <c r="O137" s="32" t="n">
        <f aca="false">COUNTIF(K137:L137,TRUE())</f>
        <v>0</v>
      </c>
      <c r="P137" s="33" t="n">
        <v>0</v>
      </c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customFormat="false" ht="21.75" hidden="false" customHeight="true" outlineLevel="0" collapsed="false">
      <c r="A138" s="29" t="s">
        <v>182</v>
      </c>
      <c r="B138" s="30" t="b">
        <f aca="false">FALSE()</f>
        <v>0</v>
      </c>
      <c r="C138" s="30" t="b">
        <f aca="false">FALSE()</f>
        <v>0</v>
      </c>
      <c r="D138" s="30" t="b">
        <f aca="false">FALSE()</f>
        <v>0</v>
      </c>
      <c r="E138" s="30" t="b">
        <f aca="false">FALSE()</f>
        <v>0</v>
      </c>
      <c r="F138" s="30" t="b">
        <f aca="false">FALSE()</f>
        <v>0</v>
      </c>
      <c r="G138" s="30" t="b">
        <f aca="false">FALSE()</f>
        <v>0</v>
      </c>
      <c r="H138" s="30" t="b">
        <f aca="false">FALSE()</f>
        <v>0</v>
      </c>
      <c r="I138" s="30" t="b">
        <f aca="false">FALSE()</f>
        <v>0</v>
      </c>
      <c r="J138" s="30" t="b">
        <f aca="false">FALSE()</f>
        <v>0</v>
      </c>
      <c r="K138" s="30" t="b">
        <f aca="false">FALSE()</f>
        <v>0</v>
      </c>
      <c r="L138" s="30" t="b">
        <f aca="false">FALSE()</f>
        <v>0</v>
      </c>
      <c r="M138" s="32" t="n">
        <f aca="false">COUNTIF(B138:F138,TRUE())</f>
        <v>0</v>
      </c>
      <c r="N138" s="32" t="n">
        <f aca="false">COUNTIF(G138:J138,TRUE())</f>
        <v>0</v>
      </c>
      <c r="O138" s="32" t="n">
        <f aca="false">COUNTIF(K138:L138,TRUE())</f>
        <v>0</v>
      </c>
      <c r="P138" s="33" t="n">
        <v>0</v>
      </c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customFormat="false" ht="21.75" hidden="false" customHeight="true" outlineLevel="0" collapsed="false">
      <c r="A139" s="29" t="s">
        <v>183</v>
      </c>
      <c r="B139" s="30" t="b">
        <f aca="false">FALSE()</f>
        <v>0</v>
      </c>
      <c r="C139" s="30" t="b">
        <f aca="false">FALSE()</f>
        <v>0</v>
      </c>
      <c r="D139" s="30" t="b">
        <f aca="false">FALSE()</f>
        <v>0</v>
      </c>
      <c r="E139" s="30" t="b">
        <f aca="false">FALSE()</f>
        <v>0</v>
      </c>
      <c r="F139" s="30" t="b">
        <f aca="false">FALSE()</f>
        <v>0</v>
      </c>
      <c r="G139" s="30" t="b">
        <f aca="false">FALSE()</f>
        <v>0</v>
      </c>
      <c r="H139" s="30" t="b">
        <f aca="false">FALSE()</f>
        <v>0</v>
      </c>
      <c r="I139" s="30" t="b">
        <f aca="false">FALSE()</f>
        <v>0</v>
      </c>
      <c r="J139" s="30" t="b">
        <f aca="false">FALSE()</f>
        <v>0</v>
      </c>
      <c r="K139" s="30" t="b">
        <f aca="false">FALSE()</f>
        <v>0</v>
      </c>
      <c r="L139" s="30" t="b">
        <f aca="false">FALSE()</f>
        <v>0</v>
      </c>
      <c r="M139" s="32" t="n">
        <f aca="false">COUNTIF(B139:F139,TRUE())</f>
        <v>0</v>
      </c>
      <c r="N139" s="32" t="n">
        <f aca="false">COUNTIF(G139:J139,TRUE())</f>
        <v>0</v>
      </c>
      <c r="O139" s="32" t="n">
        <f aca="false">COUNTIF(K139:L139,TRUE())</f>
        <v>0</v>
      </c>
      <c r="P139" s="33" t="n">
        <v>0</v>
      </c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customFormat="false" ht="21.75" hidden="false" customHeight="true" outlineLevel="0" collapsed="false">
      <c r="A140" s="29" t="s">
        <v>184</v>
      </c>
      <c r="B140" s="30" t="b">
        <f aca="false">FALSE()</f>
        <v>0</v>
      </c>
      <c r="C140" s="30" t="b">
        <f aca="false">FALSE()</f>
        <v>0</v>
      </c>
      <c r="D140" s="30" t="b">
        <f aca="false">FALSE()</f>
        <v>0</v>
      </c>
      <c r="E140" s="30" t="b">
        <f aca="false">FALSE()</f>
        <v>0</v>
      </c>
      <c r="F140" s="30" t="b">
        <f aca="false">FALSE()</f>
        <v>0</v>
      </c>
      <c r="G140" s="30" t="b">
        <f aca="false">FALSE()</f>
        <v>0</v>
      </c>
      <c r="H140" s="30" t="b">
        <f aca="false">FALSE()</f>
        <v>0</v>
      </c>
      <c r="I140" s="30" t="b">
        <f aca="false">FALSE()</f>
        <v>0</v>
      </c>
      <c r="J140" s="30" t="b">
        <f aca="false">FALSE()</f>
        <v>0</v>
      </c>
      <c r="K140" s="30" t="b">
        <f aca="false">FALSE()</f>
        <v>0</v>
      </c>
      <c r="L140" s="30" t="b">
        <f aca="false">FALSE()</f>
        <v>0</v>
      </c>
      <c r="M140" s="32" t="n">
        <f aca="false">COUNTIF(B140:F140,TRUE())</f>
        <v>0</v>
      </c>
      <c r="N140" s="32" t="n">
        <f aca="false">COUNTIF(G140:J140,TRUE())</f>
        <v>0</v>
      </c>
      <c r="O140" s="32" t="n">
        <f aca="false">COUNTIF(K140:L140,TRUE())</f>
        <v>0</v>
      </c>
      <c r="P140" s="33" t="n">
        <v>0</v>
      </c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customFormat="false" ht="21.75" hidden="false" customHeight="true" outlineLevel="0" collapsed="false">
      <c r="A141" s="29" t="s">
        <v>185</v>
      </c>
      <c r="B141" s="30" t="b">
        <f aca="false">FALSE()</f>
        <v>0</v>
      </c>
      <c r="C141" s="30" t="b">
        <f aca="false">FALSE()</f>
        <v>0</v>
      </c>
      <c r="D141" s="30" t="b">
        <f aca="false">FALSE()</f>
        <v>0</v>
      </c>
      <c r="E141" s="30" t="b">
        <f aca="false">FALSE()</f>
        <v>0</v>
      </c>
      <c r="F141" s="30" t="b">
        <f aca="false">FALSE()</f>
        <v>0</v>
      </c>
      <c r="G141" s="30" t="b">
        <f aca="false">FALSE()</f>
        <v>0</v>
      </c>
      <c r="H141" s="30" t="b">
        <f aca="false">FALSE()</f>
        <v>0</v>
      </c>
      <c r="I141" s="30" t="b">
        <f aca="false">FALSE()</f>
        <v>0</v>
      </c>
      <c r="J141" s="30" t="b">
        <f aca="false">FALSE()</f>
        <v>0</v>
      </c>
      <c r="K141" s="30" t="b">
        <f aca="false">FALSE()</f>
        <v>0</v>
      </c>
      <c r="L141" s="30" t="b">
        <f aca="false">FALSE()</f>
        <v>0</v>
      </c>
      <c r="M141" s="32" t="n">
        <f aca="false">COUNTIF(B141:F141,TRUE())</f>
        <v>0</v>
      </c>
      <c r="N141" s="32" t="n">
        <f aca="false">COUNTIF(G141:J141,TRUE())</f>
        <v>0</v>
      </c>
      <c r="O141" s="32" t="n">
        <f aca="false">COUNTIF(K141:L141,TRUE())</f>
        <v>0</v>
      </c>
      <c r="P141" s="33" t="n">
        <v>0</v>
      </c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customFormat="false" ht="21.75" hidden="false" customHeight="true" outlineLevel="0" collapsed="false">
      <c r="A142" s="29" t="s">
        <v>186</v>
      </c>
      <c r="B142" s="30" t="b">
        <f aca="false">FALSE()</f>
        <v>0</v>
      </c>
      <c r="C142" s="30" t="b">
        <f aca="false">FALSE()</f>
        <v>0</v>
      </c>
      <c r="D142" s="30" t="b">
        <f aca="false">FALSE()</f>
        <v>0</v>
      </c>
      <c r="E142" s="30" t="b">
        <f aca="false">FALSE()</f>
        <v>0</v>
      </c>
      <c r="F142" s="30" t="b">
        <f aca="false">FALSE()</f>
        <v>0</v>
      </c>
      <c r="G142" s="30" t="b">
        <f aca="false">FALSE()</f>
        <v>0</v>
      </c>
      <c r="H142" s="30" t="b">
        <f aca="false">FALSE()</f>
        <v>0</v>
      </c>
      <c r="I142" s="30" t="b">
        <f aca="false">FALSE()</f>
        <v>0</v>
      </c>
      <c r="J142" s="30" t="b">
        <f aca="false">FALSE()</f>
        <v>0</v>
      </c>
      <c r="K142" s="30" t="b">
        <f aca="false">FALSE()</f>
        <v>0</v>
      </c>
      <c r="L142" s="30" t="b">
        <f aca="false">FALSE()</f>
        <v>0</v>
      </c>
      <c r="M142" s="32" t="n">
        <f aca="false">COUNTIF(B142:F142,TRUE())</f>
        <v>0</v>
      </c>
      <c r="N142" s="32" t="n">
        <f aca="false">COUNTIF(G142:J142,TRUE())</f>
        <v>0</v>
      </c>
      <c r="O142" s="32" t="n">
        <f aca="false">COUNTIF(K142:L142,TRUE())</f>
        <v>0</v>
      </c>
      <c r="P142" s="33" t="n">
        <v>0</v>
      </c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customFormat="false" ht="21.75" hidden="false" customHeight="true" outlineLevel="0" collapsed="false">
      <c r="A143" s="29" t="s">
        <v>187</v>
      </c>
      <c r="B143" s="30" t="b">
        <f aca="false">FALSE()</f>
        <v>0</v>
      </c>
      <c r="C143" s="30" t="b">
        <f aca="false">FALSE()</f>
        <v>0</v>
      </c>
      <c r="D143" s="30" t="b">
        <f aca="false">FALSE()</f>
        <v>0</v>
      </c>
      <c r="E143" s="30" t="b">
        <f aca="false">FALSE()</f>
        <v>0</v>
      </c>
      <c r="F143" s="30" t="b">
        <f aca="false">FALSE()</f>
        <v>0</v>
      </c>
      <c r="G143" s="30" t="b">
        <f aca="false">FALSE()</f>
        <v>0</v>
      </c>
      <c r="H143" s="30" t="b">
        <f aca="false">FALSE()</f>
        <v>0</v>
      </c>
      <c r="I143" s="30" t="b">
        <f aca="false">FALSE()</f>
        <v>0</v>
      </c>
      <c r="J143" s="30" t="b">
        <f aca="false">FALSE()</f>
        <v>0</v>
      </c>
      <c r="K143" s="30" t="b">
        <f aca="false">FALSE()</f>
        <v>0</v>
      </c>
      <c r="L143" s="30" t="b">
        <f aca="false">FALSE()</f>
        <v>0</v>
      </c>
      <c r="M143" s="32" t="n">
        <f aca="false">COUNTIF(B143:F143,TRUE())</f>
        <v>0</v>
      </c>
      <c r="N143" s="32" t="n">
        <f aca="false">COUNTIF(G143:J143,TRUE())</f>
        <v>0</v>
      </c>
      <c r="O143" s="32" t="n">
        <f aca="false">COUNTIF(K143:L143,TRUE())</f>
        <v>0</v>
      </c>
      <c r="P143" s="33" t="n">
        <v>0</v>
      </c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customFormat="false" ht="21.75" hidden="false" customHeight="true" outlineLevel="0" collapsed="false">
      <c r="A144" s="29" t="s">
        <v>188</v>
      </c>
      <c r="B144" s="30" t="b">
        <f aca="false">FALSE()</f>
        <v>0</v>
      </c>
      <c r="C144" s="30" t="b">
        <f aca="false">FALSE()</f>
        <v>0</v>
      </c>
      <c r="D144" s="30" t="b">
        <f aca="false">FALSE()</f>
        <v>0</v>
      </c>
      <c r="E144" s="30" t="b">
        <f aca="false">FALSE()</f>
        <v>0</v>
      </c>
      <c r="F144" s="30" t="b">
        <f aca="false">FALSE()</f>
        <v>0</v>
      </c>
      <c r="G144" s="30" t="b">
        <f aca="false">FALSE()</f>
        <v>0</v>
      </c>
      <c r="H144" s="30" t="b">
        <f aca="false">FALSE()</f>
        <v>0</v>
      </c>
      <c r="I144" s="30" t="b">
        <f aca="false">FALSE()</f>
        <v>0</v>
      </c>
      <c r="J144" s="30" t="b">
        <f aca="false">FALSE()</f>
        <v>0</v>
      </c>
      <c r="K144" s="30" t="b">
        <f aca="false">FALSE()</f>
        <v>0</v>
      </c>
      <c r="L144" s="30" t="b">
        <f aca="false">FALSE()</f>
        <v>0</v>
      </c>
      <c r="M144" s="32" t="n">
        <f aca="false">COUNTIF(B144:F144,TRUE())</f>
        <v>0</v>
      </c>
      <c r="N144" s="32" t="n">
        <f aca="false">COUNTIF(G144:J144,TRUE())</f>
        <v>0</v>
      </c>
      <c r="O144" s="32" t="n">
        <f aca="false">COUNTIF(K144:L144,TRUE())</f>
        <v>0</v>
      </c>
      <c r="P144" s="33" t="n">
        <v>0</v>
      </c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customFormat="false" ht="21.75" hidden="false" customHeight="true" outlineLevel="0" collapsed="false">
      <c r="A145" s="29" t="s">
        <v>189</v>
      </c>
      <c r="B145" s="30" t="b">
        <f aca="false">FALSE()</f>
        <v>0</v>
      </c>
      <c r="C145" s="30" t="b">
        <f aca="false">FALSE()</f>
        <v>0</v>
      </c>
      <c r="D145" s="30" t="b">
        <f aca="false">FALSE()</f>
        <v>0</v>
      </c>
      <c r="E145" s="30" t="b">
        <f aca="false">FALSE()</f>
        <v>0</v>
      </c>
      <c r="F145" s="30" t="b">
        <f aca="false">FALSE()</f>
        <v>0</v>
      </c>
      <c r="G145" s="30" t="b">
        <f aca="false">FALSE()</f>
        <v>0</v>
      </c>
      <c r="H145" s="30" t="b">
        <f aca="false">FALSE()</f>
        <v>0</v>
      </c>
      <c r="I145" s="30" t="b">
        <f aca="false">FALSE()</f>
        <v>0</v>
      </c>
      <c r="J145" s="30" t="b">
        <f aca="false">FALSE()</f>
        <v>0</v>
      </c>
      <c r="K145" s="30" t="b">
        <f aca="false">FALSE()</f>
        <v>0</v>
      </c>
      <c r="L145" s="30" t="b">
        <f aca="false">FALSE()</f>
        <v>0</v>
      </c>
      <c r="M145" s="32" t="n">
        <f aca="false">COUNTIF(B145:F145,TRUE())</f>
        <v>0</v>
      </c>
      <c r="N145" s="32" t="n">
        <f aca="false">COUNTIF(G145:J145,TRUE())</f>
        <v>0</v>
      </c>
      <c r="O145" s="32" t="n">
        <f aca="false">COUNTIF(K145:L145,TRUE())</f>
        <v>0</v>
      </c>
      <c r="P145" s="33" t="n">
        <v>0</v>
      </c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customFormat="false" ht="21.75" hidden="false" customHeight="true" outlineLevel="0" collapsed="false">
      <c r="A146" s="29" t="s">
        <v>190</v>
      </c>
      <c r="B146" s="30" t="b">
        <f aca="false">FALSE()</f>
        <v>0</v>
      </c>
      <c r="C146" s="30" t="b">
        <f aca="false">FALSE()</f>
        <v>0</v>
      </c>
      <c r="D146" s="30" t="b">
        <f aca="false">FALSE()</f>
        <v>0</v>
      </c>
      <c r="E146" s="30" t="b">
        <f aca="false">FALSE()</f>
        <v>0</v>
      </c>
      <c r="F146" s="30" t="b">
        <f aca="false">FALSE()</f>
        <v>0</v>
      </c>
      <c r="G146" s="30" t="b">
        <f aca="false">FALSE()</f>
        <v>0</v>
      </c>
      <c r="H146" s="30" t="b">
        <f aca="false">FALSE()</f>
        <v>0</v>
      </c>
      <c r="I146" s="30" t="b">
        <f aca="false">FALSE()</f>
        <v>0</v>
      </c>
      <c r="J146" s="30" t="b">
        <f aca="false">FALSE()</f>
        <v>0</v>
      </c>
      <c r="K146" s="30" t="b">
        <f aca="false">FALSE()</f>
        <v>0</v>
      </c>
      <c r="L146" s="30" t="b">
        <f aca="false">FALSE()</f>
        <v>0</v>
      </c>
      <c r="M146" s="32" t="n">
        <f aca="false">COUNTIF(B146:F146,TRUE())</f>
        <v>0</v>
      </c>
      <c r="N146" s="32" t="n">
        <f aca="false">COUNTIF(G146:J146,TRUE())</f>
        <v>0</v>
      </c>
      <c r="O146" s="32" t="n">
        <f aca="false">COUNTIF(K146:L146,TRUE())</f>
        <v>0</v>
      </c>
      <c r="P146" s="33" t="n">
        <v>0</v>
      </c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customFormat="false" ht="21.75" hidden="false" customHeight="true" outlineLevel="0" collapsed="false">
      <c r="A147" s="29" t="s">
        <v>191</v>
      </c>
      <c r="B147" s="30" t="b">
        <f aca="false">FALSE()</f>
        <v>0</v>
      </c>
      <c r="C147" s="30" t="b">
        <f aca="false">FALSE()</f>
        <v>0</v>
      </c>
      <c r="D147" s="30" t="b">
        <f aca="false">FALSE()</f>
        <v>0</v>
      </c>
      <c r="E147" s="30" t="b">
        <f aca="false">FALSE()</f>
        <v>0</v>
      </c>
      <c r="F147" s="30" t="b">
        <f aca="false">FALSE()</f>
        <v>0</v>
      </c>
      <c r="G147" s="30" t="b">
        <f aca="false">FALSE()</f>
        <v>0</v>
      </c>
      <c r="H147" s="30" t="b">
        <f aca="false">FALSE()</f>
        <v>0</v>
      </c>
      <c r="I147" s="30" t="b">
        <f aca="false">FALSE()</f>
        <v>0</v>
      </c>
      <c r="J147" s="30" t="b">
        <f aca="false">FALSE()</f>
        <v>0</v>
      </c>
      <c r="K147" s="30" t="b">
        <f aca="false">FALSE()</f>
        <v>0</v>
      </c>
      <c r="L147" s="30" t="b">
        <f aca="false">FALSE()</f>
        <v>0</v>
      </c>
      <c r="M147" s="32" t="n">
        <f aca="false">COUNTIF(B147:F147,TRUE())</f>
        <v>0</v>
      </c>
      <c r="N147" s="32" t="n">
        <f aca="false">COUNTIF(G147:J147,TRUE())</f>
        <v>0</v>
      </c>
      <c r="O147" s="32" t="n">
        <f aca="false">COUNTIF(K147:L147,TRUE())</f>
        <v>0</v>
      </c>
      <c r="P147" s="33" t="n">
        <v>0</v>
      </c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customFormat="false" ht="21.75" hidden="false" customHeight="true" outlineLevel="0" collapsed="false">
      <c r="A148" s="29" t="s">
        <v>192</v>
      </c>
      <c r="B148" s="30" t="b">
        <f aca="false">FALSE()</f>
        <v>0</v>
      </c>
      <c r="C148" s="30" t="b">
        <f aca="false">FALSE()</f>
        <v>0</v>
      </c>
      <c r="D148" s="30" t="b">
        <f aca="false">FALSE()</f>
        <v>0</v>
      </c>
      <c r="E148" s="30" t="b">
        <f aca="false">FALSE()</f>
        <v>0</v>
      </c>
      <c r="F148" s="30" t="b">
        <f aca="false">FALSE()</f>
        <v>0</v>
      </c>
      <c r="G148" s="30" t="b">
        <f aca="false">FALSE()</f>
        <v>0</v>
      </c>
      <c r="H148" s="30" t="b">
        <f aca="false">FALSE()</f>
        <v>0</v>
      </c>
      <c r="I148" s="30" t="b">
        <f aca="false">FALSE()</f>
        <v>0</v>
      </c>
      <c r="J148" s="30" t="b">
        <f aca="false">FALSE()</f>
        <v>0</v>
      </c>
      <c r="K148" s="30" t="b">
        <f aca="false">FALSE()</f>
        <v>0</v>
      </c>
      <c r="L148" s="30" t="b">
        <f aca="false">FALSE()</f>
        <v>0</v>
      </c>
      <c r="M148" s="32" t="n">
        <f aca="false">COUNTIF(B148:F148,TRUE())</f>
        <v>0</v>
      </c>
      <c r="N148" s="32" t="n">
        <f aca="false">COUNTIF(G148:J148,TRUE())</f>
        <v>0</v>
      </c>
      <c r="O148" s="32" t="n">
        <f aca="false">COUNTIF(K148:L148,TRUE())</f>
        <v>0</v>
      </c>
      <c r="P148" s="33" t="n">
        <v>0</v>
      </c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customFormat="false" ht="21.75" hidden="false" customHeight="true" outlineLevel="0" collapsed="false">
      <c r="A149" s="29" t="s">
        <v>193</v>
      </c>
      <c r="B149" s="30" t="b">
        <f aca="false">FALSE()</f>
        <v>0</v>
      </c>
      <c r="C149" s="30" t="b">
        <f aca="false">FALSE()</f>
        <v>0</v>
      </c>
      <c r="D149" s="30" t="b">
        <f aca="false">FALSE()</f>
        <v>0</v>
      </c>
      <c r="E149" s="30" t="b">
        <f aca="false">FALSE()</f>
        <v>0</v>
      </c>
      <c r="F149" s="30" t="b">
        <f aca="false">FALSE()</f>
        <v>0</v>
      </c>
      <c r="G149" s="30" t="b">
        <f aca="false">FALSE()</f>
        <v>0</v>
      </c>
      <c r="H149" s="30" t="b">
        <f aca="false">FALSE()</f>
        <v>0</v>
      </c>
      <c r="I149" s="30" t="b">
        <f aca="false">FALSE()</f>
        <v>0</v>
      </c>
      <c r="J149" s="30" t="b">
        <f aca="false">FALSE()</f>
        <v>0</v>
      </c>
      <c r="K149" s="30" t="b">
        <f aca="false">FALSE()</f>
        <v>0</v>
      </c>
      <c r="L149" s="30" t="b">
        <f aca="false">FALSE()</f>
        <v>0</v>
      </c>
      <c r="M149" s="32" t="n">
        <f aca="false">COUNTIF(B149:F149,TRUE())</f>
        <v>0</v>
      </c>
      <c r="N149" s="32" t="n">
        <f aca="false">COUNTIF(G149:J149,TRUE())</f>
        <v>0</v>
      </c>
      <c r="O149" s="32" t="n">
        <f aca="false">COUNTIF(K149:L149,TRUE())</f>
        <v>0</v>
      </c>
      <c r="P149" s="33" t="n">
        <v>0</v>
      </c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customFormat="false" ht="21.75" hidden="false" customHeight="true" outlineLevel="0" collapsed="false">
      <c r="A150" s="29" t="s">
        <v>194</v>
      </c>
      <c r="B150" s="30" t="b">
        <f aca="false">FALSE()</f>
        <v>0</v>
      </c>
      <c r="C150" s="30" t="b">
        <f aca="false">FALSE()</f>
        <v>0</v>
      </c>
      <c r="D150" s="30" t="b">
        <f aca="false">FALSE()</f>
        <v>0</v>
      </c>
      <c r="E150" s="30" t="b">
        <f aca="false">FALSE()</f>
        <v>0</v>
      </c>
      <c r="F150" s="30" t="b">
        <f aca="false">FALSE()</f>
        <v>0</v>
      </c>
      <c r="G150" s="30" t="b">
        <f aca="false">FALSE()</f>
        <v>0</v>
      </c>
      <c r="H150" s="30" t="b">
        <f aca="false">FALSE()</f>
        <v>0</v>
      </c>
      <c r="I150" s="30" t="b">
        <f aca="false">FALSE()</f>
        <v>0</v>
      </c>
      <c r="J150" s="30" t="b">
        <f aca="false">FALSE()</f>
        <v>0</v>
      </c>
      <c r="K150" s="30" t="b">
        <f aca="false">FALSE()</f>
        <v>0</v>
      </c>
      <c r="L150" s="30" t="b">
        <f aca="false">FALSE()</f>
        <v>0</v>
      </c>
      <c r="M150" s="32" t="n">
        <f aca="false">COUNTIF(B150:F150,TRUE())</f>
        <v>0</v>
      </c>
      <c r="N150" s="32" t="n">
        <f aca="false">COUNTIF(G150:J150,TRUE())</f>
        <v>0</v>
      </c>
      <c r="O150" s="32" t="n">
        <f aca="false">COUNTIF(K150:L150,TRUE())</f>
        <v>0</v>
      </c>
      <c r="P150" s="33" t="n">
        <v>0</v>
      </c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customFormat="false" ht="21.75" hidden="false" customHeight="true" outlineLevel="0" collapsed="false">
      <c r="A151" s="29" t="s">
        <v>195</v>
      </c>
      <c r="B151" s="30" t="b">
        <f aca="false">FALSE()</f>
        <v>0</v>
      </c>
      <c r="C151" s="30" t="b">
        <f aca="false">FALSE()</f>
        <v>0</v>
      </c>
      <c r="D151" s="30" t="b">
        <f aca="false">FALSE()</f>
        <v>0</v>
      </c>
      <c r="E151" s="30" t="b">
        <f aca="false">FALSE()</f>
        <v>0</v>
      </c>
      <c r="F151" s="30" t="b">
        <f aca="false">FALSE()</f>
        <v>0</v>
      </c>
      <c r="G151" s="30" t="b">
        <f aca="false">FALSE()</f>
        <v>0</v>
      </c>
      <c r="H151" s="30" t="b">
        <f aca="false">FALSE()</f>
        <v>0</v>
      </c>
      <c r="I151" s="30" t="b">
        <f aca="false">FALSE()</f>
        <v>0</v>
      </c>
      <c r="J151" s="30" t="b">
        <f aca="false">FALSE()</f>
        <v>0</v>
      </c>
      <c r="K151" s="30" t="b">
        <f aca="false">FALSE()</f>
        <v>0</v>
      </c>
      <c r="L151" s="30" t="b">
        <f aca="false">FALSE()</f>
        <v>0</v>
      </c>
      <c r="M151" s="32" t="n">
        <f aca="false">COUNTIF(B151:F151,TRUE())</f>
        <v>0</v>
      </c>
      <c r="N151" s="32" t="n">
        <f aca="false">COUNTIF(G151:J151,TRUE())</f>
        <v>0</v>
      </c>
      <c r="O151" s="32" t="n">
        <f aca="false">COUNTIF(K151:L151,TRUE())</f>
        <v>0</v>
      </c>
      <c r="P151" s="33" t="n">
        <v>0</v>
      </c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customFormat="false" ht="21.75" hidden="false" customHeight="true" outlineLevel="0" collapsed="false">
      <c r="A152" s="29" t="s">
        <v>196</v>
      </c>
      <c r="B152" s="30" t="b">
        <f aca="false">FALSE()</f>
        <v>0</v>
      </c>
      <c r="C152" s="30" t="b">
        <f aca="false">FALSE()</f>
        <v>0</v>
      </c>
      <c r="D152" s="30" t="b">
        <f aca="false">FALSE()</f>
        <v>0</v>
      </c>
      <c r="E152" s="30" t="b">
        <f aca="false">FALSE()</f>
        <v>0</v>
      </c>
      <c r="F152" s="30" t="b">
        <f aca="false">FALSE()</f>
        <v>0</v>
      </c>
      <c r="G152" s="30" t="b">
        <f aca="false">FALSE()</f>
        <v>0</v>
      </c>
      <c r="H152" s="30" t="b">
        <f aca="false">FALSE()</f>
        <v>0</v>
      </c>
      <c r="I152" s="30" t="b">
        <f aca="false">FALSE()</f>
        <v>0</v>
      </c>
      <c r="J152" s="30" t="b">
        <f aca="false">FALSE()</f>
        <v>0</v>
      </c>
      <c r="K152" s="30" t="b">
        <f aca="false">FALSE()</f>
        <v>0</v>
      </c>
      <c r="L152" s="30" t="b">
        <f aca="false">FALSE()</f>
        <v>0</v>
      </c>
      <c r="M152" s="32" t="n">
        <f aca="false">COUNTIF(B152:F152,TRUE())</f>
        <v>0</v>
      </c>
      <c r="N152" s="32" t="n">
        <f aca="false">COUNTIF(G152:J152,TRUE())</f>
        <v>0</v>
      </c>
      <c r="O152" s="32" t="n">
        <f aca="false">COUNTIF(K152:L152,TRUE())</f>
        <v>0</v>
      </c>
      <c r="P152" s="33" t="n">
        <v>0</v>
      </c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customFormat="false" ht="21.75" hidden="false" customHeight="true" outlineLevel="0" collapsed="false">
      <c r="A153" s="29" t="s">
        <v>197</v>
      </c>
      <c r="B153" s="30" t="b">
        <f aca="false">FALSE()</f>
        <v>0</v>
      </c>
      <c r="C153" s="30" t="b">
        <f aca="false">FALSE()</f>
        <v>0</v>
      </c>
      <c r="D153" s="30" t="b">
        <f aca="false">FALSE()</f>
        <v>0</v>
      </c>
      <c r="E153" s="30" t="b">
        <f aca="false">FALSE()</f>
        <v>0</v>
      </c>
      <c r="F153" s="30" t="b">
        <f aca="false">FALSE()</f>
        <v>0</v>
      </c>
      <c r="G153" s="30" t="b">
        <f aca="false">FALSE()</f>
        <v>0</v>
      </c>
      <c r="H153" s="30" t="b">
        <f aca="false">FALSE()</f>
        <v>0</v>
      </c>
      <c r="I153" s="30" t="b">
        <f aca="false">FALSE()</f>
        <v>0</v>
      </c>
      <c r="J153" s="30" t="b">
        <f aca="false">FALSE()</f>
        <v>0</v>
      </c>
      <c r="K153" s="30" t="b">
        <f aca="false">FALSE()</f>
        <v>0</v>
      </c>
      <c r="L153" s="30" t="b">
        <f aca="false">FALSE()</f>
        <v>0</v>
      </c>
      <c r="M153" s="32" t="n">
        <f aca="false">COUNTIF(B153:F153,TRUE())</f>
        <v>0</v>
      </c>
      <c r="N153" s="32" t="n">
        <f aca="false">COUNTIF(G153:J153,TRUE())</f>
        <v>0</v>
      </c>
      <c r="O153" s="32" t="n">
        <f aca="false">COUNTIF(K153:L153,TRUE())</f>
        <v>0</v>
      </c>
      <c r="P153" s="33" t="n">
        <v>0</v>
      </c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customFormat="false" ht="21.75" hidden="false" customHeight="true" outlineLevel="0" collapsed="false">
      <c r="A154" s="29" t="s">
        <v>198</v>
      </c>
      <c r="B154" s="30" t="b">
        <f aca="false">FALSE()</f>
        <v>0</v>
      </c>
      <c r="C154" s="30" t="b">
        <f aca="false">FALSE()</f>
        <v>0</v>
      </c>
      <c r="D154" s="30" t="b">
        <f aca="false">FALSE()</f>
        <v>0</v>
      </c>
      <c r="E154" s="30" t="b">
        <f aca="false">FALSE()</f>
        <v>0</v>
      </c>
      <c r="F154" s="30" t="b">
        <f aca="false">FALSE()</f>
        <v>0</v>
      </c>
      <c r="G154" s="30" t="b">
        <f aca="false">FALSE()</f>
        <v>0</v>
      </c>
      <c r="H154" s="30" t="b">
        <f aca="false">FALSE()</f>
        <v>0</v>
      </c>
      <c r="I154" s="30" t="b">
        <f aca="false">FALSE()</f>
        <v>0</v>
      </c>
      <c r="J154" s="30" t="b">
        <f aca="false">FALSE()</f>
        <v>0</v>
      </c>
      <c r="K154" s="30" t="b">
        <f aca="false">FALSE()</f>
        <v>0</v>
      </c>
      <c r="L154" s="30" t="b">
        <f aca="false">FALSE()</f>
        <v>0</v>
      </c>
      <c r="M154" s="32" t="n">
        <f aca="false">COUNTIF(B154:F154,TRUE())</f>
        <v>0</v>
      </c>
      <c r="N154" s="32" t="n">
        <f aca="false">COUNTIF(G154:J154,TRUE())</f>
        <v>0</v>
      </c>
      <c r="O154" s="32" t="n">
        <f aca="false">COUNTIF(K154:L154,TRUE())</f>
        <v>0</v>
      </c>
      <c r="P154" s="33" t="n">
        <v>0</v>
      </c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customFormat="false" ht="21.75" hidden="false" customHeight="true" outlineLevel="0" collapsed="false">
      <c r="A155" s="29" t="s">
        <v>199</v>
      </c>
      <c r="B155" s="30" t="b">
        <f aca="false">FALSE()</f>
        <v>0</v>
      </c>
      <c r="C155" s="30" t="b">
        <f aca="false">FALSE()</f>
        <v>0</v>
      </c>
      <c r="D155" s="30" t="b">
        <f aca="false">FALSE()</f>
        <v>0</v>
      </c>
      <c r="E155" s="30" t="b">
        <f aca="false">FALSE()</f>
        <v>0</v>
      </c>
      <c r="F155" s="30" t="b">
        <f aca="false">FALSE()</f>
        <v>0</v>
      </c>
      <c r="G155" s="30" t="b">
        <f aca="false">FALSE()</f>
        <v>0</v>
      </c>
      <c r="H155" s="30" t="b">
        <f aca="false">FALSE()</f>
        <v>0</v>
      </c>
      <c r="I155" s="30" t="b">
        <f aca="false">FALSE()</f>
        <v>0</v>
      </c>
      <c r="J155" s="30" t="b">
        <f aca="false">FALSE()</f>
        <v>0</v>
      </c>
      <c r="K155" s="30" t="b">
        <f aca="false">FALSE()</f>
        <v>0</v>
      </c>
      <c r="L155" s="30" t="b">
        <f aca="false">FALSE()</f>
        <v>0</v>
      </c>
      <c r="M155" s="32" t="n">
        <f aca="false">COUNTIF(B155:F155,TRUE())</f>
        <v>0</v>
      </c>
      <c r="N155" s="32" t="n">
        <f aca="false">COUNTIF(G155:J155,TRUE())</f>
        <v>0</v>
      </c>
      <c r="O155" s="32" t="n">
        <f aca="false">COUNTIF(K155:L155,TRUE())</f>
        <v>0</v>
      </c>
      <c r="P155" s="33" t="n">
        <v>0</v>
      </c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customFormat="false" ht="21.75" hidden="false" customHeight="true" outlineLevel="0" collapsed="false">
      <c r="A156" s="29" t="s">
        <v>200</v>
      </c>
      <c r="B156" s="30" t="b">
        <f aca="false">FALSE()</f>
        <v>0</v>
      </c>
      <c r="C156" s="30" t="b">
        <f aca="false">FALSE()</f>
        <v>0</v>
      </c>
      <c r="D156" s="30" t="b">
        <f aca="false">FALSE()</f>
        <v>0</v>
      </c>
      <c r="E156" s="30" t="b">
        <f aca="false">FALSE()</f>
        <v>0</v>
      </c>
      <c r="F156" s="30" t="b">
        <f aca="false">FALSE()</f>
        <v>0</v>
      </c>
      <c r="G156" s="30" t="b">
        <f aca="false">FALSE()</f>
        <v>0</v>
      </c>
      <c r="H156" s="30" t="b">
        <f aca="false">FALSE()</f>
        <v>0</v>
      </c>
      <c r="I156" s="30" t="b">
        <f aca="false">FALSE()</f>
        <v>0</v>
      </c>
      <c r="J156" s="30" t="b">
        <f aca="false">FALSE()</f>
        <v>0</v>
      </c>
      <c r="K156" s="30" t="b">
        <f aca="false">FALSE()</f>
        <v>0</v>
      </c>
      <c r="L156" s="30" t="b">
        <f aca="false">FALSE()</f>
        <v>0</v>
      </c>
      <c r="M156" s="32" t="n">
        <f aca="false">COUNTIF(B156:F156,TRUE())</f>
        <v>0</v>
      </c>
      <c r="N156" s="32" t="n">
        <f aca="false">COUNTIF(G156:J156,TRUE())</f>
        <v>0</v>
      </c>
      <c r="O156" s="32" t="n">
        <f aca="false">COUNTIF(K156:L156,TRUE())</f>
        <v>0</v>
      </c>
      <c r="P156" s="33" t="n">
        <v>0</v>
      </c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customFormat="false" ht="21.75" hidden="false" customHeight="true" outlineLevel="0" collapsed="false">
      <c r="A157" s="29" t="s">
        <v>201</v>
      </c>
      <c r="B157" s="30" t="b">
        <f aca="false">FALSE()</f>
        <v>0</v>
      </c>
      <c r="C157" s="30" t="b">
        <f aca="false">FALSE()</f>
        <v>0</v>
      </c>
      <c r="D157" s="30" t="b">
        <f aca="false">FALSE()</f>
        <v>0</v>
      </c>
      <c r="E157" s="30" t="b">
        <f aca="false">FALSE()</f>
        <v>0</v>
      </c>
      <c r="F157" s="30" t="b">
        <f aca="false">FALSE()</f>
        <v>0</v>
      </c>
      <c r="G157" s="30" t="b">
        <f aca="false">FALSE()</f>
        <v>0</v>
      </c>
      <c r="H157" s="30" t="b">
        <f aca="false">FALSE()</f>
        <v>0</v>
      </c>
      <c r="I157" s="30" t="b">
        <f aca="false">FALSE()</f>
        <v>0</v>
      </c>
      <c r="J157" s="30" t="b">
        <f aca="false">FALSE()</f>
        <v>0</v>
      </c>
      <c r="K157" s="30" t="b">
        <f aca="false">FALSE()</f>
        <v>0</v>
      </c>
      <c r="L157" s="30" t="b">
        <f aca="false">FALSE()</f>
        <v>0</v>
      </c>
      <c r="M157" s="32" t="n">
        <f aca="false">COUNTIF(B157:F157,TRUE())</f>
        <v>0</v>
      </c>
      <c r="N157" s="32" t="n">
        <f aca="false">COUNTIF(G157:J157,TRUE())</f>
        <v>0</v>
      </c>
      <c r="O157" s="32" t="n">
        <f aca="false">COUNTIF(K157:L157,TRUE())</f>
        <v>0</v>
      </c>
      <c r="P157" s="33" t="n">
        <v>0</v>
      </c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customFormat="false" ht="21.75" hidden="false" customHeight="true" outlineLevel="0" collapsed="false">
      <c r="A158" s="29" t="s">
        <v>202</v>
      </c>
      <c r="B158" s="30" t="b">
        <f aca="false">FALSE()</f>
        <v>0</v>
      </c>
      <c r="C158" s="30" t="b">
        <f aca="false">FALSE()</f>
        <v>0</v>
      </c>
      <c r="D158" s="30" t="b">
        <f aca="false">FALSE()</f>
        <v>0</v>
      </c>
      <c r="E158" s="30" t="b">
        <f aca="false">FALSE()</f>
        <v>0</v>
      </c>
      <c r="F158" s="30" t="b">
        <f aca="false">FALSE()</f>
        <v>0</v>
      </c>
      <c r="G158" s="30" t="b">
        <f aca="false">FALSE()</f>
        <v>0</v>
      </c>
      <c r="H158" s="30" t="b">
        <f aca="false">FALSE()</f>
        <v>0</v>
      </c>
      <c r="I158" s="30" t="b">
        <f aca="false">FALSE()</f>
        <v>0</v>
      </c>
      <c r="J158" s="30" t="b">
        <f aca="false">FALSE()</f>
        <v>0</v>
      </c>
      <c r="K158" s="30" t="b">
        <f aca="false">FALSE()</f>
        <v>0</v>
      </c>
      <c r="L158" s="30" t="b">
        <f aca="false">FALSE()</f>
        <v>0</v>
      </c>
      <c r="M158" s="32" t="n">
        <f aca="false">COUNTIF(B158:F158,TRUE())</f>
        <v>0</v>
      </c>
      <c r="N158" s="32" t="n">
        <f aca="false">COUNTIF(G158:J158,TRUE())</f>
        <v>0</v>
      </c>
      <c r="O158" s="32" t="n">
        <f aca="false">COUNTIF(K158:L158,TRUE())</f>
        <v>0</v>
      </c>
      <c r="P158" s="33" t="n">
        <v>0</v>
      </c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customFormat="false" ht="21.75" hidden="false" customHeight="true" outlineLevel="0" collapsed="false">
      <c r="A159" s="29" t="s">
        <v>203</v>
      </c>
      <c r="B159" s="30" t="b">
        <f aca="false">FALSE()</f>
        <v>0</v>
      </c>
      <c r="C159" s="30" t="b">
        <f aca="false">FALSE()</f>
        <v>0</v>
      </c>
      <c r="D159" s="30" t="b">
        <f aca="false">FALSE()</f>
        <v>0</v>
      </c>
      <c r="E159" s="30" t="b">
        <f aca="false">FALSE()</f>
        <v>0</v>
      </c>
      <c r="F159" s="30" t="b">
        <f aca="false">FALSE()</f>
        <v>0</v>
      </c>
      <c r="G159" s="30" t="b">
        <f aca="false">FALSE()</f>
        <v>0</v>
      </c>
      <c r="H159" s="30" t="b">
        <f aca="false">FALSE()</f>
        <v>0</v>
      </c>
      <c r="I159" s="30" t="b">
        <f aca="false">FALSE()</f>
        <v>0</v>
      </c>
      <c r="J159" s="30" t="b">
        <f aca="false">FALSE()</f>
        <v>0</v>
      </c>
      <c r="K159" s="30" t="b">
        <f aca="false">FALSE()</f>
        <v>0</v>
      </c>
      <c r="L159" s="30" t="b">
        <f aca="false">FALSE()</f>
        <v>0</v>
      </c>
      <c r="M159" s="32" t="n">
        <f aca="false">COUNTIF(B159:F159,TRUE())</f>
        <v>0</v>
      </c>
      <c r="N159" s="32" t="n">
        <f aca="false">COUNTIF(G159:J159,TRUE())</f>
        <v>0</v>
      </c>
      <c r="O159" s="32" t="n">
        <f aca="false">COUNTIF(K159:L159,TRUE())</f>
        <v>0</v>
      </c>
      <c r="P159" s="33" t="n">
        <v>0</v>
      </c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customFormat="false" ht="21.75" hidden="false" customHeight="true" outlineLevel="0" collapsed="false">
      <c r="A160" s="29" t="s">
        <v>204</v>
      </c>
      <c r="B160" s="30" t="b">
        <f aca="false">FALSE()</f>
        <v>0</v>
      </c>
      <c r="C160" s="30" t="b">
        <f aca="false">FALSE()</f>
        <v>0</v>
      </c>
      <c r="D160" s="30" t="b">
        <f aca="false">FALSE()</f>
        <v>0</v>
      </c>
      <c r="E160" s="30" t="b">
        <f aca="false">FALSE()</f>
        <v>0</v>
      </c>
      <c r="F160" s="30" t="b">
        <f aca="false">FALSE()</f>
        <v>0</v>
      </c>
      <c r="G160" s="30" t="b">
        <f aca="false">FALSE()</f>
        <v>0</v>
      </c>
      <c r="H160" s="30" t="b">
        <f aca="false">FALSE()</f>
        <v>0</v>
      </c>
      <c r="I160" s="30" t="b">
        <f aca="false">FALSE()</f>
        <v>0</v>
      </c>
      <c r="J160" s="30" t="b">
        <f aca="false">FALSE()</f>
        <v>0</v>
      </c>
      <c r="K160" s="30" t="b">
        <f aca="false">FALSE()</f>
        <v>0</v>
      </c>
      <c r="L160" s="30" t="b">
        <f aca="false">FALSE()</f>
        <v>0</v>
      </c>
      <c r="M160" s="32" t="n">
        <f aca="false">COUNTIF(B160:F160,TRUE())</f>
        <v>0</v>
      </c>
      <c r="N160" s="32" t="n">
        <f aca="false">COUNTIF(G160:J160,TRUE())</f>
        <v>0</v>
      </c>
      <c r="O160" s="32" t="n">
        <f aca="false">COUNTIF(K160:L160,TRUE())</f>
        <v>0</v>
      </c>
      <c r="P160" s="33" t="n">
        <v>0</v>
      </c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customFormat="false" ht="21.75" hidden="false" customHeight="true" outlineLevel="0" collapsed="false">
      <c r="A161" s="29" t="s">
        <v>205</v>
      </c>
      <c r="B161" s="30" t="b">
        <f aca="false">FALSE()</f>
        <v>0</v>
      </c>
      <c r="C161" s="30" t="b">
        <f aca="false">FALSE()</f>
        <v>0</v>
      </c>
      <c r="D161" s="30" t="b">
        <f aca="false">FALSE()</f>
        <v>0</v>
      </c>
      <c r="E161" s="30" t="b">
        <f aca="false">FALSE()</f>
        <v>0</v>
      </c>
      <c r="F161" s="30" t="b">
        <f aca="false">FALSE()</f>
        <v>0</v>
      </c>
      <c r="G161" s="30" t="b">
        <f aca="false">FALSE()</f>
        <v>0</v>
      </c>
      <c r="H161" s="30" t="b">
        <f aca="false">FALSE()</f>
        <v>0</v>
      </c>
      <c r="I161" s="30" t="b">
        <f aca="false">FALSE()</f>
        <v>0</v>
      </c>
      <c r="J161" s="30" t="b">
        <f aca="false">FALSE()</f>
        <v>0</v>
      </c>
      <c r="K161" s="30" t="b">
        <f aca="false">FALSE()</f>
        <v>0</v>
      </c>
      <c r="L161" s="30" t="b">
        <f aca="false">FALSE()</f>
        <v>0</v>
      </c>
      <c r="M161" s="32" t="n">
        <f aca="false">COUNTIF(B161:F161,TRUE())</f>
        <v>0</v>
      </c>
      <c r="N161" s="32" t="n">
        <f aca="false">COUNTIF(G161:J161,TRUE())</f>
        <v>0</v>
      </c>
      <c r="O161" s="32" t="n">
        <f aca="false">COUNTIF(K161:L161,TRUE())</f>
        <v>0</v>
      </c>
      <c r="P161" s="33" t="n">
        <v>0</v>
      </c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customFormat="false" ht="21.75" hidden="false" customHeight="true" outlineLevel="0" collapsed="false">
      <c r="A162" s="29" t="s">
        <v>206</v>
      </c>
      <c r="B162" s="30" t="b">
        <f aca="false">FALSE()</f>
        <v>0</v>
      </c>
      <c r="C162" s="30" t="b">
        <f aca="false">FALSE()</f>
        <v>0</v>
      </c>
      <c r="D162" s="30" t="b">
        <f aca="false">FALSE()</f>
        <v>0</v>
      </c>
      <c r="E162" s="30" t="b">
        <f aca="false">FALSE()</f>
        <v>0</v>
      </c>
      <c r="F162" s="30" t="b">
        <f aca="false">FALSE()</f>
        <v>0</v>
      </c>
      <c r="G162" s="30" t="b">
        <f aca="false">FALSE()</f>
        <v>0</v>
      </c>
      <c r="H162" s="30" t="b">
        <f aca="false">FALSE()</f>
        <v>0</v>
      </c>
      <c r="I162" s="30" t="b">
        <f aca="false">FALSE()</f>
        <v>0</v>
      </c>
      <c r="J162" s="30" t="b">
        <f aca="false">FALSE()</f>
        <v>0</v>
      </c>
      <c r="K162" s="30" t="b">
        <f aca="false">FALSE()</f>
        <v>0</v>
      </c>
      <c r="L162" s="30" t="b">
        <f aca="false">FALSE()</f>
        <v>0</v>
      </c>
      <c r="M162" s="32" t="n">
        <f aca="false">COUNTIF(B162:F162,TRUE())</f>
        <v>0</v>
      </c>
      <c r="N162" s="32" t="n">
        <f aca="false">COUNTIF(G162:J162,TRUE())</f>
        <v>0</v>
      </c>
      <c r="O162" s="32" t="n">
        <f aca="false">COUNTIF(K162:L162,TRUE())</f>
        <v>0</v>
      </c>
      <c r="P162" s="33" t="n">
        <v>0</v>
      </c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customFormat="false" ht="21.75" hidden="false" customHeight="true" outlineLevel="0" collapsed="false">
      <c r="A163" s="29" t="s">
        <v>207</v>
      </c>
      <c r="B163" s="30" t="b">
        <f aca="false">FALSE()</f>
        <v>0</v>
      </c>
      <c r="C163" s="30" t="b">
        <f aca="false">FALSE()</f>
        <v>0</v>
      </c>
      <c r="D163" s="30" t="b">
        <f aca="false">FALSE()</f>
        <v>0</v>
      </c>
      <c r="E163" s="30" t="b">
        <f aca="false">FALSE()</f>
        <v>0</v>
      </c>
      <c r="F163" s="30" t="b">
        <f aca="false">FALSE()</f>
        <v>0</v>
      </c>
      <c r="G163" s="30" t="b">
        <f aca="false">FALSE()</f>
        <v>0</v>
      </c>
      <c r="H163" s="30" t="b">
        <f aca="false">FALSE()</f>
        <v>0</v>
      </c>
      <c r="I163" s="30" t="b">
        <f aca="false">FALSE()</f>
        <v>0</v>
      </c>
      <c r="J163" s="30" t="b">
        <f aca="false">FALSE()</f>
        <v>0</v>
      </c>
      <c r="K163" s="30" t="b">
        <f aca="false">FALSE()</f>
        <v>0</v>
      </c>
      <c r="L163" s="30" t="b">
        <f aca="false">FALSE()</f>
        <v>0</v>
      </c>
      <c r="M163" s="32" t="n">
        <f aca="false">COUNTIF(B163:F163,TRUE())</f>
        <v>0</v>
      </c>
      <c r="N163" s="32" t="n">
        <f aca="false">COUNTIF(G163:J163,TRUE())</f>
        <v>0</v>
      </c>
      <c r="O163" s="32" t="n">
        <f aca="false">COUNTIF(K163:L163,TRUE())</f>
        <v>0</v>
      </c>
      <c r="P163" s="33" t="n">
        <v>0</v>
      </c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customFormat="false" ht="21.75" hidden="false" customHeight="true" outlineLevel="0" collapsed="false">
      <c r="A164" s="29" t="s">
        <v>208</v>
      </c>
      <c r="B164" s="30" t="b">
        <f aca="false">FALSE()</f>
        <v>0</v>
      </c>
      <c r="C164" s="30" t="b">
        <f aca="false">FALSE()</f>
        <v>0</v>
      </c>
      <c r="D164" s="30" t="b">
        <f aca="false">FALSE()</f>
        <v>0</v>
      </c>
      <c r="E164" s="30" t="b">
        <f aca="false">FALSE()</f>
        <v>0</v>
      </c>
      <c r="F164" s="30" t="b">
        <f aca="false">FALSE()</f>
        <v>0</v>
      </c>
      <c r="G164" s="30" t="b">
        <f aca="false">FALSE()</f>
        <v>0</v>
      </c>
      <c r="H164" s="30" t="b">
        <f aca="false">FALSE()</f>
        <v>0</v>
      </c>
      <c r="I164" s="30" t="b">
        <f aca="false">FALSE()</f>
        <v>0</v>
      </c>
      <c r="J164" s="30" t="b">
        <f aca="false">FALSE()</f>
        <v>0</v>
      </c>
      <c r="K164" s="30" t="b">
        <f aca="false">FALSE()</f>
        <v>0</v>
      </c>
      <c r="L164" s="30" t="b">
        <f aca="false">FALSE()</f>
        <v>0</v>
      </c>
      <c r="M164" s="32" t="n">
        <f aca="false">COUNTIF(B164:F164,TRUE())</f>
        <v>0</v>
      </c>
      <c r="N164" s="32" t="n">
        <f aca="false">COUNTIF(G164:J164,TRUE())</f>
        <v>0</v>
      </c>
      <c r="O164" s="32" t="n">
        <f aca="false">COUNTIF(K164:L164,TRUE())</f>
        <v>0</v>
      </c>
      <c r="P164" s="33" t="n">
        <v>0</v>
      </c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customFormat="false" ht="21.75" hidden="false" customHeight="true" outlineLevel="0" collapsed="false">
      <c r="A165" s="29" t="s">
        <v>209</v>
      </c>
      <c r="B165" s="30" t="b">
        <f aca="false">FALSE()</f>
        <v>0</v>
      </c>
      <c r="C165" s="30" t="b">
        <f aca="false">FALSE()</f>
        <v>0</v>
      </c>
      <c r="D165" s="30" t="b">
        <f aca="false">FALSE()</f>
        <v>0</v>
      </c>
      <c r="E165" s="30" t="b">
        <f aca="false">FALSE()</f>
        <v>0</v>
      </c>
      <c r="F165" s="30" t="b">
        <f aca="false">FALSE()</f>
        <v>0</v>
      </c>
      <c r="G165" s="30" t="b">
        <f aca="false">FALSE()</f>
        <v>0</v>
      </c>
      <c r="H165" s="30" t="b">
        <f aca="false">FALSE()</f>
        <v>0</v>
      </c>
      <c r="I165" s="30" t="b">
        <f aca="false">FALSE()</f>
        <v>0</v>
      </c>
      <c r="J165" s="30" t="b">
        <f aca="false">FALSE()</f>
        <v>0</v>
      </c>
      <c r="K165" s="30" t="b">
        <f aca="false">FALSE()</f>
        <v>0</v>
      </c>
      <c r="L165" s="30" t="b">
        <f aca="false">FALSE()</f>
        <v>0</v>
      </c>
      <c r="M165" s="32" t="n">
        <f aca="false">COUNTIF(B165:F165,TRUE())</f>
        <v>0</v>
      </c>
      <c r="N165" s="32" t="n">
        <f aca="false">COUNTIF(G165:J165,TRUE())</f>
        <v>0</v>
      </c>
      <c r="O165" s="32" t="n">
        <f aca="false">COUNTIF(K165:L165,TRUE())</f>
        <v>0</v>
      </c>
      <c r="P165" s="33" t="n">
        <v>0</v>
      </c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customFormat="false" ht="21.75" hidden="false" customHeight="true" outlineLevel="0" collapsed="false">
      <c r="A166" s="29" t="s">
        <v>210</v>
      </c>
      <c r="B166" s="30" t="b">
        <f aca="false">FALSE()</f>
        <v>0</v>
      </c>
      <c r="C166" s="30" t="b">
        <f aca="false">FALSE()</f>
        <v>0</v>
      </c>
      <c r="D166" s="30" t="b">
        <f aca="false">FALSE()</f>
        <v>0</v>
      </c>
      <c r="E166" s="30" t="b">
        <f aca="false">FALSE()</f>
        <v>0</v>
      </c>
      <c r="F166" s="30" t="b">
        <f aca="false">FALSE()</f>
        <v>0</v>
      </c>
      <c r="G166" s="30" t="b">
        <f aca="false">FALSE()</f>
        <v>0</v>
      </c>
      <c r="H166" s="30" t="b">
        <f aca="false">FALSE()</f>
        <v>0</v>
      </c>
      <c r="I166" s="30" t="b">
        <f aca="false">FALSE()</f>
        <v>0</v>
      </c>
      <c r="J166" s="30" t="b">
        <f aca="false">FALSE()</f>
        <v>0</v>
      </c>
      <c r="K166" s="30" t="b">
        <f aca="false">FALSE()</f>
        <v>0</v>
      </c>
      <c r="L166" s="30" t="b">
        <f aca="false">FALSE()</f>
        <v>0</v>
      </c>
      <c r="M166" s="32" t="n">
        <f aca="false">COUNTIF(B166:F166,TRUE())</f>
        <v>0</v>
      </c>
      <c r="N166" s="32" t="n">
        <f aca="false">COUNTIF(G166:J166,TRUE())</f>
        <v>0</v>
      </c>
      <c r="O166" s="32" t="n">
        <f aca="false">COUNTIF(K166:L166,TRUE())</f>
        <v>0</v>
      </c>
      <c r="P166" s="33" t="n">
        <v>0</v>
      </c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customFormat="false" ht="21.75" hidden="false" customHeight="true" outlineLevel="0" collapsed="false">
      <c r="A167" s="29" t="s">
        <v>211</v>
      </c>
      <c r="B167" s="30" t="b">
        <f aca="false">FALSE()</f>
        <v>0</v>
      </c>
      <c r="C167" s="30" t="b">
        <f aca="false">FALSE()</f>
        <v>0</v>
      </c>
      <c r="D167" s="30" t="b">
        <f aca="false">FALSE()</f>
        <v>0</v>
      </c>
      <c r="E167" s="30" t="b">
        <f aca="false">FALSE()</f>
        <v>0</v>
      </c>
      <c r="F167" s="30" t="b">
        <f aca="false">FALSE()</f>
        <v>0</v>
      </c>
      <c r="G167" s="30" t="b">
        <f aca="false">FALSE()</f>
        <v>0</v>
      </c>
      <c r="H167" s="30" t="b">
        <f aca="false">FALSE()</f>
        <v>0</v>
      </c>
      <c r="I167" s="30" t="b">
        <f aca="false">FALSE()</f>
        <v>0</v>
      </c>
      <c r="J167" s="30" t="b">
        <f aca="false">FALSE()</f>
        <v>0</v>
      </c>
      <c r="K167" s="30" t="b">
        <f aca="false">FALSE()</f>
        <v>0</v>
      </c>
      <c r="L167" s="30" t="b">
        <f aca="false">FALSE()</f>
        <v>0</v>
      </c>
      <c r="M167" s="32" t="n">
        <f aca="false">COUNTIF(B167:F167,TRUE())</f>
        <v>0</v>
      </c>
      <c r="N167" s="32" t="n">
        <f aca="false">COUNTIF(G167:J167,TRUE())</f>
        <v>0</v>
      </c>
      <c r="O167" s="32" t="n">
        <f aca="false">COUNTIF(K167:L167,TRUE())</f>
        <v>0</v>
      </c>
      <c r="P167" s="33" t="n">
        <v>0</v>
      </c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customFormat="false" ht="21.75" hidden="false" customHeight="true" outlineLevel="0" collapsed="false">
      <c r="A168" s="29" t="s">
        <v>212</v>
      </c>
      <c r="B168" s="30" t="b">
        <f aca="false">FALSE()</f>
        <v>0</v>
      </c>
      <c r="C168" s="30" t="b">
        <f aca="false">FALSE()</f>
        <v>0</v>
      </c>
      <c r="D168" s="30" t="b">
        <f aca="false">FALSE()</f>
        <v>0</v>
      </c>
      <c r="E168" s="30" t="b">
        <f aca="false">FALSE()</f>
        <v>0</v>
      </c>
      <c r="F168" s="30" t="b">
        <f aca="false">FALSE()</f>
        <v>0</v>
      </c>
      <c r="G168" s="30" t="b">
        <f aca="false">FALSE()</f>
        <v>0</v>
      </c>
      <c r="H168" s="30" t="b">
        <f aca="false">FALSE()</f>
        <v>0</v>
      </c>
      <c r="I168" s="30" t="b">
        <f aca="false">FALSE()</f>
        <v>0</v>
      </c>
      <c r="J168" s="30" t="b">
        <f aca="false">FALSE()</f>
        <v>0</v>
      </c>
      <c r="K168" s="30" t="b">
        <f aca="false">FALSE()</f>
        <v>0</v>
      </c>
      <c r="L168" s="30" t="b">
        <f aca="false">FALSE()</f>
        <v>0</v>
      </c>
      <c r="M168" s="32" t="n">
        <f aca="false">COUNTIF(B168:F168,TRUE())</f>
        <v>0</v>
      </c>
      <c r="N168" s="32" t="n">
        <f aca="false">COUNTIF(G168:J168,TRUE())</f>
        <v>0</v>
      </c>
      <c r="O168" s="32" t="n">
        <f aca="false">COUNTIF(K168:L168,TRUE())</f>
        <v>0</v>
      </c>
      <c r="P168" s="33" t="n">
        <v>0</v>
      </c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customFormat="false" ht="21.75" hidden="false" customHeight="true" outlineLevel="0" collapsed="false">
      <c r="A169" s="29" t="s">
        <v>213</v>
      </c>
      <c r="B169" s="30" t="b">
        <f aca="false">FALSE()</f>
        <v>0</v>
      </c>
      <c r="C169" s="30" t="b">
        <f aca="false">FALSE()</f>
        <v>0</v>
      </c>
      <c r="D169" s="30" t="b">
        <f aca="false">FALSE()</f>
        <v>0</v>
      </c>
      <c r="E169" s="30" t="b">
        <f aca="false">FALSE()</f>
        <v>0</v>
      </c>
      <c r="F169" s="30" t="b">
        <f aca="false">FALSE()</f>
        <v>0</v>
      </c>
      <c r="G169" s="30" t="b">
        <f aca="false">FALSE()</f>
        <v>0</v>
      </c>
      <c r="H169" s="30" t="b">
        <f aca="false">FALSE()</f>
        <v>0</v>
      </c>
      <c r="I169" s="30" t="b">
        <f aca="false">FALSE()</f>
        <v>0</v>
      </c>
      <c r="J169" s="30" t="b">
        <f aca="false">FALSE()</f>
        <v>0</v>
      </c>
      <c r="K169" s="30" t="b">
        <f aca="false">FALSE()</f>
        <v>0</v>
      </c>
      <c r="L169" s="30" t="b">
        <f aca="false">FALSE()</f>
        <v>0</v>
      </c>
      <c r="M169" s="32" t="n">
        <f aca="false">COUNTIF(B169:F169,TRUE())</f>
        <v>0</v>
      </c>
      <c r="N169" s="32" t="n">
        <f aca="false">COUNTIF(G169:J169,TRUE())</f>
        <v>0</v>
      </c>
      <c r="O169" s="32" t="n">
        <f aca="false">COUNTIF(K169:L169,TRUE())</f>
        <v>0</v>
      </c>
      <c r="P169" s="33" t="n">
        <v>0</v>
      </c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customFormat="false" ht="21.75" hidden="false" customHeight="true" outlineLevel="0" collapsed="false">
      <c r="A170" s="29" t="s">
        <v>214</v>
      </c>
      <c r="B170" s="30" t="b">
        <f aca="false">FALSE()</f>
        <v>0</v>
      </c>
      <c r="C170" s="30" t="b">
        <f aca="false">FALSE()</f>
        <v>0</v>
      </c>
      <c r="D170" s="30" t="b">
        <f aca="false">FALSE()</f>
        <v>0</v>
      </c>
      <c r="E170" s="30" t="b">
        <f aca="false">FALSE()</f>
        <v>0</v>
      </c>
      <c r="F170" s="30" t="b">
        <f aca="false">FALSE()</f>
        <v>0</v>
      </c>
      <c r="G170" s="30" t="b">
        <f aca="false">FALSE()</f>
        <v>0</v>
      </c>
      <c r="H170" s="30" t="b">
        <f aca="false">FALSE()</f>
        <v>0</v>
      </c>
      <c r="I170" s="30" t="b">
        <f aca="false">FALSE()</f>
        <v>0</v>
      </c>
      <c r="J170" s="30" t="b">
        <f aca="false">FALSE()</f>
        <v>0</v>
      </c>
      <c r="K170" s="30" t="b">
        <f aca="false">FALSE()</f>
        <v>0</v>
      </c>
      <c r="L170" s="30" t="b">
        <f aca="false">FALSE()</f>
        <v>0</v>
      </c>
      <c r="M170" s="32" t="n">
        <f aca="false">COUNTIF(B170:F170,TRUE())</f>
        <v>0</v>
      </c>
      <c r="N170" s="32" t="n">
        <f aca="false">COUNTIF(G170:J170,TRUE())</f>
        <v>0</v>
      </c>
      <c r="O170" s="32" t="n">
        <f aca="false">COUNTIF(K170:L170,TRUE())</f>
        <v>0</v>
      </c>
      <c r="P170" s="33" t="n">
        <v>0</v>
      </c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customFormat="false" ht="21.75" hidden="false" customHeight="true" outlineLevel="0" collapsed="false">
      <c r="A171" s="29" t="s">
        <v>215</v>
      </c>
      <c r="B171" s="30" t="b">
        <f aca="false">FALSE()</f>
        <v>0</v>
      </c>
      <c r="C171" s="30" t="b">
        <f aca="false">FALSE()</f>
        <v>0</v>
      </c>
      <c r="D171" s="30" t="b">
        <f aca="false">FALSE()</f>
        <v>0</v>
      </c>
      <c r="E171" s="30" t="b">
        <f aca="false">FALSE()</f>
        <v>0</v>
      </c>
      <c r="F171" s="30" t="b">
        <f aca="false">FALSE()</f>
        <v>0</v>
      </c>
      <c r="G171" s="30" t="b">
        <f aca="false">FALSE()</f>
        <v>0</v>
      </c>
      <c r="H171" s="30" t="b">
        <f aca="false">FALSE()</f>
        <v>0</v>
      </c>
      <c r="I171" s="30" t="b">
        <f aca="false">FALSE()</f>
        <v>0</v>
      </c>
      <c r="J171" s="30" t="b">
        <f aca="false">FALSE()</f>
        <v>0</v>
      </c>
      <c r="K171" s="30" t="b">
        <f aca="false">FALSE()</f>
        <v>0</v>
      </c>
      <c r="L171" s="30" t="b">
        <f aca="false">FALSE()</f>
        <v>0</v>
      </c>
      <c r="M171" s="32" t="n">
        <f aca="false">COUNTIF(B171:F171,TRUE())</f>
        <v>0</v>
      </c>
      <c r="N171" s="32" t="n">
        <f aca="false">COUNTIF(G171:J171,TRUE())</f>
        <v>0</v>
      </c>
      <c r="O171" s="32" t="n">
        <f aca="false">COUNTIF(K171:L171,TRUE())</f>
        <v>0</v>
      </c>
      <c r="P171" s="33" t="n">
        <v>0</v>
      </c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customFormat="false" ht="21.75" hidden="false" customHeight="true" outlineLevel="0" collapsed="false">
      <c r="A172" s="29" t="s">
        <v>216</v>
      </c>
      <c r="B172" s="30" t="b">
        <f aca="false">FALSE()</f>
        <v>0</v>
      </c>
      <c r="C172" s="30" t="b">
        <f aca="false">FALSE()</f>
        <v>0</v>
      </c>
      <c r="D172" s="30" t="b">
        <f aca="false">FALSE()</f>
        <v>0</v>
      </c>
      <c r="E172" s="30" t="b">
        <f aca="false">FALSE()</f>
        <v>0</v>
      </c>
      <c r="F172" s="30" t="b">
        <f aca="false">FALSE()</f>
        <v>0</v>
      </c>
      <c r="G172" s="30" t="b">
        <f aca="false">FALSE()</f>
        <v>0</v>
      </c>
      <c r="H172" s="30" t="b">
        <f aca="false">FALSE()</f>
        <v>0</v>
      </c>
      <c r="I172" s="30" t="b">
        <f aca="false">FALSE()</f>
        <v>0</v>
      </c>
      <c r="J172" s="30" t="b">
        <f aca="false">FALSE()</f>
        <v>0</v>
      </c>
      <c r="K172" s="30" t="b">
        <f aca="false">FALSE()</f>
        <v>0</v>
      </c>
      <c r="L172" s="30" t="b">
        <f aca="false">FALSE()</f>
        <v>0</v>
      </c>
      <c r="M172" s="32" t="n">
        <f aca="false">COUNTIF(B172:F172,TRUE())</f>
        <v>0</v>
      </c>
      <c r="N172" s="32" t="n">
        <f aca="false">COUNTIF(G172:J172,TRUE())</f>
        <v>0</v>
      </c>
      <c r="O172" s="32" t="n">
        <f aca="false">COUNTIF(K172:L172,TRUE())</f>
        <v>0</v>
      </c>
      <c r="P172" s="33" t="n">
        <v>0</v>
      </c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customFormat="false" ht="21.75" hidden="false" customHeight="true" outlineLevel="0" collapsed="false">
      <c r="A173" s="29" t="s">
        <v>217</v>
      </c>
      <c r="B173" s="30" t="b">
        <f aca="false">FALSE()</f>
        <v>0</v>
      </c>
      <c r="C173" s="30" t="b">
        <f aca="false">FALSE()</f>
        <v>0</v>
      </c>
      <c r="D173" s="30" t="b">
        <f aca="false">FALSE()</f>
        <v>0</v>
      </c>
      <c r="E173" s="30" t="b">
        <f aca="false">FALSE()</f>
        <v>0</v>
      </c>
      <c r="F173" s="30" t="b">
        <f aca="false">FALSE()</f>
        <v>0</v>
      </c>
      <c r="G173" s="30" t="b">
        <f aca="false">FALSE()</f>
        <v>0</v>
      </c>
      <c r="H173" s="30" t="b">
        <f aca="false">FALSE()</f>
        <v>0</v>
      </c>
      <c r="I173" s="30" t="b">
        <f aca="false">FALSE()</f>
        <v>0</v>
      </c>
      <c r="J173" s="30" t="b">
        <f aca="false">FALSE()</f>
        <v>0</v>
      </c>
      <c r="K173" s="30" t="b">
        <f aca="false">FALSE()</f>
        <v>0</v>
      </c>
      <c r="L173" s="30" t="b">
        <f aca="false">FALSE()</f>
        <v>0</v>
      </c>
      <c r="M173" s="32" t="n">
        <f aca="false">COUNTIF(B173:F173,TRUE())</f>
        <v>0</v>
      </c>
      <c r="N173" s="32" t="n">
        <f aca="false">COUNTIF(G173:J173,TRUE())</f>
        <v>0</v>
      </c>
      <c r="O173" s="32" t="n">
        <f aca="false">COUNTIF(K173:L173,TRUE())</f>
        <v>0</v>
      </c>
      <c r="P173" s="33" t="n">
        <v>0</v>
      </c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customFormat="false" ht="21.75" hidden="false" customHeight="true" outlineLevel="0" collapsed="false">
      <c r="A174" s="29" t="s">
        <v>218</v>
      </c>
      <c r="B174" s="30" t="b">
        <f aca="false">FALSE()</f>
        <v>0</v>
      </c>
      <c r="C174" s="30" t="b">
        <f aca="false">FALSE()</f>
        <v>0</v>
      </c>
      <c r="D174" s="30" t="b">
        <f aca="false">FALSE()</f>
        <v>0</v>
      </c>
      <c r="E174" s="30" t="b">
        <f aca="false">FALSE()</f>
        <v>0</v>
      </c>
      <c r="F174" s="30" t="b">
        <f aca="false">FALSE()</f>
        <v>0</v>
      </c>
      <c r="G174" s="30" t="b">
        <f aca="false">FALSE()</f>
        <v>0</v>
      </c>
      <c r="H174" s="30" t="b">
        <f aca="false">FALSE()</f>
        <v>0</v>
      </c>
      <c r="I174" s="30" t="b">
        <f aca="false">FALSE()</f>
        <v>0</v>
      </c>
      <c r="J174" s="30" t="b">
        <f aca="false">FALSE()</f>
        <v>0</v>
      </c>
      <c r="K174" s="30" t="b">
        <f aca="false">FALSE()</f>
        <v>0</v>
      </c>
      <c r="L174" s="30" t="b">
        <f aca="false">FALSE()</f>
        <v>0</v>
      </c>
      <c r="M174" s="32" t="n">
        <f aca="false">COUNTIF(B174:F174,TRUE())</f>
        <v>0</v>
      </c>
      <c r="N174" s="32" t="n">
        <f aca="false">COUNTIF(G174:J174,TRUE())</f>
        <v>0</v>
      </c>
      <c r="O174" s="32" t="n">
        <f aca="false">COUNTIF(K174:L174,TRUE())</f>
        <v>0</v>
      </c>
      <c r="P174" s="33" t="n">
        <v>0</v>
      </c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customFormat="false" ht="21.75" hidden="false" customHeight="true" outlineLevel="0" collapsed="false">
      <c r="A175" s="29" t="s">
        <v>219</v>
      </c>
      <c r="B175" s="30" t="b">
        <f aca="false">FALSE()</f>
        <v>0</v>
      </c>
      <c r="C175" s="30" t="b">
        <f aca="false">FALSE()</f>
        <v>0</v>
      </c>
      <c r="D175" s="30" t="b">
        <f aca="false">FALSE()</f>
        <v>0</v>
      </c>
      <c r="E175" s="30" t="b">
        <f aca="false">FALSE()</f>
        <v>0</v>
      </c>
      <c r="F175" s="30" t="b">
        <f aca="false">FALSE()</f>
        <v>0</v>
      </c>
      <c r="G175" s="30" t="b">
        <f aca="false">FALSE()</f>
        <v>0</v>
      </c>
      <c r="H175" s="30" t="b">
        <f aca="false">FALSE()</f>
        <v>0</v>
      </c>
      <c r="I175" s="30" t="b">
        <f aca="false">FALSE()</f>
        <v>0</v>
      </c>
      <c r="J175" s="30" t="b">
        <f aca="false">FALSE()</f>
        <v>0</v>
      </c>
      <c r="K175" s="30" t="b">
        <f aca="false">FALSE()</f>
        <v>0</v>
      </c>
      <c r="L175" s="30" t="b">
        <f aca="false">FALSE()</f>
        <v>0</v>
      </c>
      <c r="M175" s="32" t="n">
        <f aca="false">COUNTIF(B175:F175,TRUE())</f>
        <v>0</v>
      </c>
      <c r="N175" s="32" t="n">
        <f aca="false">COUNTIF(G175:J175,TRUE())</f>
        <v>0</v>
      </c>
      <c r="O175" s="32" t="n">
        <f aca="false">COUNTIF(K175:L175,TRUE())</f>
        <v>0</v>
      </c>
      <c r="P175" s="33" t="n">
        <v>0</v>
      </c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customFormat="false" ht="21.75" hidden="false" customHeight="true" outlineLevel="0" collapsed="false">
      <c r="A176" s="29" t="s">
        <v>220</v>
      </c>
      <c r="B176" s="30" t="b">
        <f aca="false">FALSE()</f>
        <v>0</v>
      </c>
      <c r="C176" s="30" t="b">
        <f aca="false">FALSE()</f>
        <v>0</v>
      </c>
      <c r="D176" s="30" t="b">
        <f aca="false">FALSE()</f>
        <v>0</v>
      </c>
      <c r="E176" s="30" t="b">
        <f aca="false">FALSE()</f>
        <v>0</v>
      </c>
      <c r="F176" s="30" t="b">
        <f aca="false">FALSE()</f>
        <v>0</v>
      </c>
      <c r="G176" s="30" t="b">
        <f aca="false">FALSE()</f>
        <v>0</v>
      </c>
      <c r="H176" s="30" t="b">
        <f aca="false">FALSE()</f>
        <v>0</v>
      </c>
      <c r="I176" s="30" t="b">
        <f aca="false">FALSE()</f>
        <v>0</v>
      </c>
      <c r="J176" s="30" t="b">
        <f aca="false">FALSE()</f>
        <v>0</v>
      </c>
      <c r="K176" s="30" t="b">
        <f aca="false">FALSE()</f>
        <v>0</v>
      </c>
      <c r="L176" s="30" t="b">
        <f aca="false">FALSE()</f>
        <v>0</v>
      </c>
      <c r="M176" s="32" t="n">
        <f aca="false">COUNTIF(B176:F176,TRUE())</f>
        <v>0</v>
      </c>
      <c r="N176" s="32" t="n">
        <f aca="false">COUNTIF(G176:J176,TRUE())</f>
        <v>0</v>
      </c>
      <c r="O176" s="32" t="n">
        <f aca="false">COUNTIF(K176:L176,TRUE())</f>
        <v>0</v>
      </c>
      <c r="P176" s="33" t="n">
        <v>0</v>
      </c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customFormat="false" ht="21.75" hidden="false" customHeight="true" outlineLevel="0" collapsed="false">
      <c r="A177" s="29" t="s">
        <v>221</v>
      </c>
      <c r="B177" s="30" t="b">
        <f aca="false">FALSE()</f>
        <v>0</v>
      </c>
      <c r="C177" s="30" t="b">
        <f aca="false">FALSE()</f>
        <v>0</v>
      </c>
      <c r="D177" s="30" t="b">
        <f aca="false">FALSE()</f>
        <v>0</v>
      </c>
      <c r="E177" s="30" t="b">
        <f aca="false">FALSE()</f>
        <v>0</v>
      </c>
      <c r="F177" s="30" t="b">
        <f aca="false">FALSE()</f>
        <v>0</v>
      </c>
      <c r="G177" s="30" t="b">
        <f aca="false">FALSE()</f>
        <v>0</v>
      </c>
      <c r="H177" s="30" t="b">
        <f aca="false">FALSE()</f>
        <v>0</v>
      </c>
      <c r="I177" s="30" t="b">
        <f aca="false">FALSE()</f>
        <v>0</v>
      </c>
      <c r="J177" s="30" t="b">
        <f aca="false">FALSE()</f>
        <v>0</v>
      </c>
      <c r="K177" s="30" t="b">
        <f aca="false">FALSE()</f>
        <v>0</v>
      </c>
      <c r="L177" s="30" t="b">
        <f aca="false">FALSE()</f>
        <v>0</v>
      </c>
      <c r="M177" s="32" t="n">
        <f aca="false">COUNTIF(B177:F177,TRUE())</f>
        <v>0</v>
      </c>
      <c r="N177" s="32" t="n">
        <f aca="false">COUNTIF(G177:J177,TRUE())</f>
        <v>0</v>
      </c>
      <c r="O177" s="32" t="n">
        <f aca="false">COUNTIF(K177:L177,TRUE())</f>
        <v>0</v>
      </c>
      <c r="P177" s="33" t="n">
        <v>0</v>
      </c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customFormat="false" ht="21.75" hidden="false" customHeight="true" outlineLevel="0" collapsed="false">
      <c r="A178" s="29" t="s">
        <v>222</v>
      </c>
      <c r="B178" s="30" t="b">
        <f aca="false">FALSE()</f>
        <v>0</v>
      </c>
      <c r="C178" s="30" t="b">
        <f aca="false">FALSE()</f>
        <v>0</v>
      </c>
      <c r="D178" s="30" t="b">
        <f aca="false">FALSE()</f>
        <v>0</v>
      </c>
      <c r="E178" s="30" t="b">
        <f aca="false">FALSE()</f>
        <v>0</v>
      </c>
      <c r="F178" s="30" t="b">
        <f aca="false">FALSE()</f>
        <v>0</v>
      </c>
      <c r="G178" s="30" t="b">
        <f aca="false">FALSE()</f>
        <v>0</v>
      </c>
      <c r="H178" s="30" t="b">
        <f aca="false">FALSE()</f>
        <v>0</v>
      </c>
      <c r="I178" s="30" t="b">
        <f aca="false">FALSE()</f>
        <v>0</v>
      </c>
      <c r="J178" s="30" t="b">
        <f aca="false">FALSE()</f>
        <v>0</v>
      </c>
      <c r="K178" s="30" t="b">
        <f aca="false">FALSE()</f>
        <v>0</v>
      </c>
      <c r="L178" s="30" t="b">
        <f aca="false">FALSE()</f>
        <v>0</v>
      </c>
      <c r="M178" s="32" t="n">
        <f aca="false">COUNTIF(B178:F178,TRUE())</f>
        <v>0</v>
      </c>
      <c r="N178" s="32" t="n">
        <f aca="false">COUNTIF(G178:J178,TRUE())</f>
        <v>0</v>
      </c>
      <c r="O178" s="32" t="n">
        <f aca="false">COUNTIF(K178:L178,TRUE())</f>
        <v>0</v>
      </c>
      <c r="P178" s="33" t="n">
        <v>0</v>
      </c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customFormat="false" ht="21.75" hidden="false" customHeight="true" outlineLevel="0" collapsed="false">
      <c r="A179" s="29" t="s">
        <v>223</v>
      </c>
      <c r="B179" s="30" t="b">
        <f aca="false">FALSE()</f>
        <v>0</v>
      </c>
      <c r="C179" s="30" t="b">
        <f aca="false">FALSE()</f>
        <v>0</v>
      </c>
      <c r="D179" s="30" t="b">
        <f aca="false">FALSE()</f>
        <v>0</v>
      </c>
      <c r="E179" s="30" t="b">
        <f aca="false">FALSE()</f>
        <v>0</v>
      </c>
      <c r="F179" s="30" t="b">
        <f aca="false">FALSE()</f>
        <v>0</v>
      </c>
      <c r="G179" s="30" t="b">
        <f aca="false">FALSE()</f>
        <v>0</v>
      </c>
      <c r="H179" s="30" t="b">
        <f aca="false">FALSE()</f>
        <v>0</v>
      </c>
      <c r="I179" s="30" t="b">
        <f aca="false">FALSE()</f>
        <v>0</v>
      </c>
      <c r="J179" s="30" t="b">
        <f aca="false">FALSE()</f>
        <v>0</v>
      </c>
      <c r="K179" s="30" t="b">
        <f aca="false">FALSE()</f>
        <v>0</v>
      </c>
      <c r="L179" s="30" t="b">
        <f aca="false">FALSE()</f>
        <v>0</v>
      </c>
      <c r="M179" s="32" t="n">
        <f aca="false">COUNTIF(B179:F179,TRUE())</f>
        <v>0</v>
      </c>
      <c r="N179" s="32" t="n">
        <f aca="false">COUNTIF(G179:J179,TRUE())</f>
        <v>0</v>
      </c>
      <c r="O179" s="32" t="n">
        <f aca="false">COUNTIF(K179:L179,TRUE())</f>
        <v>0</v>
      </c>
      <c r="P179" s="33" t="n">
        <v>0</v>
      </c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customFormat="false" ht="21.75" hidden="false" customHeight="true" outlineLevel="0" collapsed="false">
      <c r="A180" s="29" t="s">
        <v>224</v>
      </c>
      <c r="B180" s="30" t="b">
        <f aca="false">FALSE()</f>
        <v>0</v>
      </c>
      <c r="C180" s="30" t="b">
        <f aca="false">FALSE()</f>
        <v>0</v>
      </c>
      <c r="D180" s="30" t="b">
        <f aca="false">FALSE()</f>
        <v>0</v>
      </c>
      <c r="E180" s="30" t="b">
        <f aca="false">FALSE()</f>
        <v>0</v>
      </c>
      <c r="F180" s="30" t="b">
        <f aca="false">FALSE()</f>
        <v>0</v>
      </c>
      <c r="G180" s="30" t="b">
        <f aca="false">FALSE()</f>
        <v>0</v>
      </c>
      <c r="H180" s="30" t="b">
        <f aca="false">FALSE()</f>
        <v>0</v>
      </c>
      <c r="I180" s="30" t="b">
        <f aca="false">FALSE()</f>
        <v>0</v>
      </c>
      <c r="J180" s="30" t="b">
        <f aca="false">FALSE()</f>
        <v>0</v>
      </c>
      <c r="K180" s="30" t="b">
        <f aca="false">FALSE()</f>
        <v>0</v>
      </c>
      <c r="L180" s="30" t="b">
        <f aca="false">FALSE()</f>
        <v>0</v>
      </c>
      <c r="M180" s="32" t="n">
        <f aca="false">COUNTIF(B180:F180,TRUE())</f>
        <v>0</v>
      </c>
      <c r="N180" s="32" t="n">
        <f aca="false">COUNTIF(G180:J180,TRUE())</f>
        <v>0</v>
      </c>
      <c r="O180" s="32" t="n">
        <f aca="false">COUNTIF(K180:L180,TRUE())</f>
        <v>0</v>
      </c>
      <c r="P180" s="33" t="n">
        <v>0</v>
      </c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customFormat="false" ht="21.75" hidden="false" customHeight="true" outlineLevel="0" collapsed="false">
      <c r="A181" s="29" t="s">
        <v>225</v>
      </c>
      <c r="B181" s="30" t="b">
        <f aca="false">FALSE()</f>
        <v>0</v>
      </c>
      <c r="C181" s="30" t="b">
        <f aca="false">FALSE()</f>
        <v>0</v>
      </c>
      <c r="D181" s="30" t="b">
        <f aca="false">FALSE()</f>
        <v>0</v>
      </c>
      <c r="E181" s="30" t="b">
        <f aca="false">FALSE()</f>
        <v>0</v>
      </c>
      <c r="F181" s="30" t="b">
        <f aca="false">FALSE()</f>
        <v>0</v>
      </c>
      <c r="G181" s="30" t="b">
        <f aca="false">FALSE()</f>
        <v>0</v>
      </c>
      <c r="H181" s="30" t="b">
        <f aca="false">FALSE()</f>
        <v>0</v>
      </c>
      <c r="I181" s="30" t="b">
        <f aca="false">FALSE()</f>
        <v>0</v>
      </c>
      <c r="J181" s="30" t="b">
        <f aca="false">FALSE()</f>
        <v>0</v>
      </c>
      <c r="K181" s="30" t="b">
        <f aca="false">FALSE()</f>
        <v>0</v>
      </c>
      <c r="L181" s="30" t="b">
        <f aca="false">FALSE()</f>
        <v>0</v>
      </c>
      <c r="M181" s="32" t="n">
        <f aca="false">COUNTIF(B181:F181,TRUE())</f>
        <v>0</v>
      </c>
      <c r="N181" s="32" t="n">
        <f aca="false">COUNTIF(G181:J181,TRUE())</f>
        <v>0</v>
      </c>
      <c r="O181" s="32" t="n">
        <f aca="false">COUNTIF(K181:L181,TRUE())</f>
        <v>0</v>
      </c>
      <c r="P181" s="33" t="n">
        <v>0</v>
      </c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customFormat="false" ht="21.75" hidden="false" customHeight="true" outlineLevel="0" collapsed="false">
      <c r="A182" s="29" t="s">
        <v>226</v>
      </c>
      <c r="B182" s="30" t="b">
        <f aca="false">FALSE()</f>
        <v>0</v>
      </c>
      <c r="C182" s="30" t="b">
        <f aca="false">FALSE()</f>
        <v>0</v>
      </c>
      <c r="D182" s="30" t="b">
        <f aca="false">FALSE()</f>
        <v>0</v>
      </c>
      <c r="E182" s="30" t="b">
        <f aca="false">FALSE()</f>
        <v>0</v>
      </c>
      <c r="F182" s="30" t="b">
        <f aca="false">FALSE()</f>
        <v>0</v>
      </c>
      <c r="G182" s="30" t="b">
        <f aca="false">FALSE()</f>
        <v>0</v>
      </c>
      <c r="H182" s="30" t="b">
        <f aca="false">FALSE()</f>
        <v>0</v>
      </c>
      <c r="I182" s="30" t="b">
        <f aca="false">FALSE()</f>
        <v>0</v>
      </c>
      <c r="J182" s="30" t="b">
        <f aca="false">FALSE()</f>
        <v>0</v>
      </c>
      <c r="K182" s="30" t="b">
        <f aca="false">FALSE()</f>
        <v>0</v>
      </c>
      <c r="L182" s="30" t="b">
        <f aca="false">FALSE()</f>
        <v>0</v>
      </c>
      <c r="M182" s="32" t="n">
        <f aca="false">COUNTIF(B182:F182,TRUE())</f>
        <v>0</v>
      </c>
      <c r="N182" s="32" t="n">
        <f aca="false">COUNTIF(G182:J182,TRUE())</f>
        <v>0</v>
      </c>
      <c r="O182" s="32" t="n">
        <f aca="false">COUNTIF(K182:L182,TRUE())</f>
        <v>0</v>
      </c>
      <c r="P182" s="33" t="n">
        <v>0</v>
      </c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customFormat="false" ht="21.75" hidden="false" customHeight="true" outlineLevel="0" collapsed="false">
      <c r="A183" s="29" t="s">
        <v>227</v>
      </c>
      <c r="B183" s="30" t="b">
        <f aca="false">FALSE()</f>
        <v>0</v>
      </c>
      <c r="C183" s="30" t="b">
        <f aca="false">FALSE()</f>
        <v>0</v>
      </c>
      <c r="D183" s="30" t="b">
        <f aca="false">FALSE()</f>
        <v>0</v>
      </c>
      <c r="E183" s="30" t="b">
        <f aca="false">FALSE()</f>
        <v>0</v>
      </c>
      <c r="F183" s="30" t="b">
        <f aca="false">FALSE()</f>
        <v>0</v>
      </c>
      <c r="G183" s="30" t="b">
        <f aca="false">FALSE()</f>
        <v>0</v>
      </c>
      <c r="H183" s="30" t="b">
        <f aca="false">FALSE()</f>
        <v>0</v>
      </c>
      <c r="I183" s="30" t="b">
        <f aca="false">FALSE()</f>
        <v>0</v>
      </c>
      <c r="J183" s="30" t="b">
        <f aca="false">FALSE()</f>
        <v>0</v>
      </c>
      <c r="K183" s="30" t="b">
        <f aca="false">FALSE()</f>
        <v>0</v>
      </c>
      <c r="L183" s="30" t="b">
        <f aca="false">FALSE()</f>
        <v>0</v>
      </c>
      <c r="M183" s="32" t="n">
        <f aca="false">COUNTIF(B183:F183,TRUE())</f>
        <v>0</v>
      </c>
      <c r="N183" s="32" t="n">
        <f aca="false">COUNTIF(G183:J183,TRUE())</f>
        <v>0</v>
      </c>
      <c r="O183" s="32" t="n">
        <f aca="false">COUNTIF(K183:L183,TRUE())</f>
        <v>0</v>
      </c>
      <c r="P183" s="33" t="n">
        <v>0</v>
      </c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customFormat="false" ht="21.75" hidden="false" customHeight="true" outlineLevel="0" collapsed="false">
      <c r="A184" s="29" t="s">
        <v>228</v>
      </c>
      <c r="B184" s="30" t="b">
        <f aca="false">FALSE()</f>
        <v>0</v>
      </c>
      <c r="C184" s="30" t="b">
        <f aca="false">FALSE()</f>
        <v>0</v>
      </c>
      <c r="D184" s="30" t="b">
        <f aca="false">FALSE()</f>
        <v>0</v>
      </c>
      <c r="E184" s="30" t="b">
        <f aca="false">FALSE()</f>
        <v>0</v>
      </c>
      <c r="F184" s="30" t="b">
        <f aca="false">FALSE()</f>
        <v>0</v>
      </c>
      <c r="G184" s="30" t="b">
        <f aca="false">FALSE()</f>
        <v>0</v>
      </c>
      <c r="H184" s="30" t="b">
        <f aca="false">FALSE()</f>
        <v>0</v>
      </c>
      <c r="I184" s="30" t="b">
        <f aca="false">FALSE()</f>
        <v>0</v>
      </c>
      <c r="J184" s="30" t="b">
        <f aca="false">FALSE()</f>
        <v>0</v>
      </c>
      <c r="K184" s="30" t="b">
        <f aca="false">FALSE()</f>
        <v>0</v>
      </c>
      <c r="L184" s="30" t="b">
        <f aca="false">FALSE()</f>
        <v>0</v>
      </c>
      <c r="M184" s="32" t="n">
        <f aca="false">COUNTIF(B184:F184,TRUE())</f>
        <v>0</v>
      </c>
      <c r="N184" s="32" t="n">
        <f aca="false">COUNTIF(G184:J184,TRUE())</f>
        <v>0</v>
      </c>
      <c r="O184" s="32" t="n">
        <f aca="false">COUNTIF(K184:L184,TRUE())</f>
        <v>0</v>
      </c>
      <c r="P184" s="33" t="n">
        <v>0</v>
      </c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customFormat="false" ht="21.75" hidden="false" customHeight="true" outlineLevel="0" collapsed="false">
      <c r="A185" s="29" t="s">
        <v>229</v>
      </c>
      <c r="B185" s="30" t="b">
        <f aca="false">FALSE()</f>
        <v>0</v>
      </c>
      <c r="C185" s="30" t="b">
        <f aca="false">FALSE()</f>
        <v>0</v>
      </c>
      <c r="D185" s="30" t="b">
        <f aca="false">FALSE()</f>
        <v>0</v>
      </c>
      <c r="E185" s="30" t="b">
        <f aca="false">FALSE()</f>
        <v>0</v>
      </c>
      <c r="F185" s="30" t="b">
        <f aca="false">FALSE()</f>
        <v>0</v>
      </c>
      <c r="G185" s="30" t="b">
        <f aca="false">FALSE()</f>
        <v>0</v>
      </c>
      <c r="H185" s="30" t="b">
        <f aca="false">FALSE()</f>
        <v>0</v>
      </c>
      <c r="I185" s="30" t="b">
        <f aca="false">FALSE()</f>
        <v>0</v>
      </c>
      <c r="J185" s="30" t="b">
        <f aca="false">FALSE()</f>
        <v>0</v>
      </c>
      <c r="K185" s="30" t="b">
        <f aca="false">FALSE()</f>
        <v>0</v>
      </c>
      <c r="L185" s="30" t="b">
        <f aca="false">FALSE()</f>
        <v>0</v>
      </c>
      <c r="M185" s="32" t="n">
        <f aca="false">COUNTIF(B185:F185,TRUE())</f>
        <v>0</v>
      </c>
      <c r="N185" s="32" t="n">
        <f aca="false">COUNTIF(G185:J185,TRUE())</f>
        <v>0</v>
      </c>
      <c r="O185" s="32" t="n">
        <f aca="false">COUNTIF(K185:L185,TRUE())</f>
        <v>0</v>
      </c>
      <c r="P185" s="33" t="n">
        <v>0</v>
      </c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customFormat="false" ht="21.75" hidden="false" customHeight="true" outlineLevel="0" collapsed="false">
      <c r="A186" s="29" t="s">
        <v>230</v>
      </c>
      <c r="B186" s="30" t="b">
        <f aca="false">FALSE()</f>
        <v>0</v>
      </c>
      <c r="C186" s="30" t="b">
        <f aca="false">FALSE()</f>
        <v>0</v>
      </c>
      <c r="D186" s="30" t="b">
        <f aca="false">FALSE()</f>
        <v>0</v>
      </c>
      <c r="E186" s="30" t="b">
        <f aca="false">FALSE()</f>
        <v>0</v>
      </c>
      <c r="F186" s="30" t="b">
        <f aca="false">FALSE()</f>
        <v>0</v>
      </c>
      <c r="G186" s="30" t="b">
        <f aca="false">FALSE()</f>
        <v>0</v>
      </c>
      <c r="H186" s="30" t="b">
        <f aca="false">FALSE()</f>
        <v>0</v>
      </c>
      <c r="I186" s="30" t="b">
        <f aca="false">FALSE()</f>
        <v>0</v>
      </c>
      <c r="J186" s="30" t="b">
        <f aca="false">FALSE()</f>
        <v>0</v>
      </c>
      <c r="K186" s="30" t="b">
        <f aca="false">FALSE()</f>
        <v>0</v>
      </c>
      <c r="L186" s="30" t="b">
        <f aca="false">FALSE()</f>
        <v>0</v>
      </c>
      <c r="M186" s="32" t="n">
        <f aca="false">COUNTIF(B186:F186,TRUE())</f>
        <v>0</v>
      </c>
      <c r="N186" s="32" t="n">
        <f aca="false">COUNTIF(G186:J186,TRUE())</f>
        <v>0</v>
      </c>
      <c r="O186" s="32" t="n">
        <f aca="false">COUNTIF(K186:L186,TRUE())</f>
        <v>0</v>
      </c>
      <c r="P186" s="33" t="n">
        <v>0</v>
      </c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customFormat="false" ht="21.75" hidden="false" customHeight="true" outlineLevel="0" collapsed="false">
      <c r="A187" s="29" t="s">
        <v>231</v>
      </c>
      <c r="B187" s="30" t="b">
        <f aca="false">FALSE()</f>
        <v>0</v>
      </c>
      <c r="C187" s="30" t="b">
        <f aca="false">FALSE()</f>
        <v>0</v>
      </c>
      <c r="D187" s="30" t="b">
        <f aca="false">FALSE()</f>
        <v>0</v>
      </c>
      <c r="E187" s="30" t="b">
        <f aca="false">FALSE()</f>
        <v>0</v>
      </c>
      <c r="F187" s="30" t="b">
        <f aca="false">FALSE()</f>
        <v>0</v>
      </c>
      <c r="G187" s="30" t="b">
        <f aca="false">FALSE()</f>
        <v>0</v>
      </c>
      <c r="H187" s="30" t="b">
        <f aca="false">FALSE()</f>
        <v>0</v>
      </c>
      <c r="I187" s="30" t="b">
        <f aca="false">FALSE()</f>
        <v>0</v>
      </c>
      <c r="J187" s="30" t="b">
        <f aca="false">FALSE()</f>
        <v>0</v>
      </c>
      <c r="K187" s="30" t="b">
        <f aca="false">FALSE()</f>
        <v>0</v>
      </c>
      <c r="L187" s="30" t="b">
        <f aca="false">FALSE()</f>
        <v>0</v>
      </c>
      <c r="M187" s="32" t="n">
        <f aca="false">COUNTIF(B187:F187,TRUE())</f>
        <v>0</v>
      </c>
      <c r="N187" s="32" t="n">
        <f aca="false">COUNTIF(G187:J187,TRUE())</f>
        <v>0</v>
      </c>
      <c r="O187" s="32" t="n">
        <f aca="false">COUNTIF(K187:L187,TRUE())</f>
        <v>0</v>
      </c>
      <c r="P187" s="33" t="n">
        <v>0</v>
      </c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customFormat="false" ht="21.75" hidden="false" customHeight="true" outlineLevel="0" collapsed="false">
      <c r="A188" s="29" t="s">
        <v>232</v>
      </c>
      <c r="B188" s="30" t="b">
        <f aca="false">FALSE()</f>
        <v>0</v>
      </c>
      <c r="C188" s="30" t="b">
        <f aca="false">FALSE()</f>
        <v>0</v>
      </c>
      <c r="D188" s="30" t="b">
        <f aca="false">FALSE()</f>
        <v>0</v>
      </c>
      <c r="E188" s="30" t="b">
        <f aca="false">FALSE()</f>
        <v>0</v>
      </c>
      <c r="F188" s="30" t="b">
        <f aca="false">FALSE()</f>
        <v>0</v>
      </c>
      <c r="G188" s="30" t="b">
        <f aca="false">FALSE()</f>
        <v>0</v>
      </c>
      <c r="H188" s="30" t="b">
        <f aca="false">FALSE()</f>
        <v>0</v>
      </c>
      <c r="I188" s="30" t="b">
        <f aca="false">FALSE()</f>
        <v>0</v>
      </c>
      <c r="J188" s="30" t="b">
        <f aca="false">FALSE()</f>
        <v>0</v>
      </c>
      <c r="K188" s="30" t="b">
        <f aca="false">FALSE()</f>
        <v>0</v>
      </c>
      <c r="L188" s="30" t="b">
        <f aca="false">FALSE()</f>
        <v>0</v>
      </c>
      <c r="M188" s="32" t="n">
        <f aca="false">COUNTIF(B188:F188,TRUE())</f>
        <v>0</v>
      </c>
      <c r="N188" s="32" t="n">
        <f aca="false">COUNTIF(G188:J188,TRUE())</f>
        <v>0</v>
      </c>
      <c r="O188" s="32" t="n">
        <f aca="false">COUNTIF(K188:L188,TRUE())</f>
        <v>0</v>
      </c>
      <c r="P188" s="33" t="n">
        <v>0</v>
      </c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customFormat="false" ht="21.75" hidden="false" customHeight="true" outlineLevel="0" collapsed="false">
      <c r="A189" s="29" t="s">
        <v>233</v>
      </c>
      <c r="B189" s="30" t="b">
        <f aca="false">FALSE()</f>
        <v>0</v>
      </c>
      <c r="C189" s="30" t="b">
        <f aca="false">FALSE()</f>
        <v>0</v>
      </c>
      <c r="D189" s="30" t="b">
        <f aca="false">FALSE()</f>
        <v>0</v>
      </c>
      <c r="E189" s="30" t="b">
        <f aca="false">FALSE()</f>
        <v>0</v>
      </c>
      <c r="F189" s="30" t="b">
        <f aca="false">FALSE()</f>
        <v>0</v>
      </c>
      <c r="G189" s="30" t="b">
        <f aca="false">FALSE()</f>
        <v>0</v>
      </c>
      <c r="H189" s="30" t="b">
        <f aca="false">FALSE()</f>
        <v>0</v>
      </c>
      <c r="I189" s="30" t="b">
        <f aca="false">FALSE()</f>
        <v>0</v>
      </c>
      <c r="J189" s="30" t="b">
        <f aca="false">FALSE()</f>
        <v>0</v>
      </c>
      <c r="K189" s="30" t="b">
        <f aca="false">FALSE()</f>
        <v>0</v>
      </c>
      <c r="L189" s="30" t="b">
        <f aca="false">FALSE()</f>
        <v>0</v>
      </c>
      <c r="M189" s="32" t="n">
        <f aca="false">COUNTIF(B189:F189,TRUE())</f>
        <v>0</v>
      </c>
      <c r="N189" s="32" t="n">
        <f aca="false">COUNTIF(G189:J189,TRUE())</f>
        <v>0</v>
      </c>
      <c r="O189" s="32" t="n">
        <f aca="false">COUNTIF(K189:L189,TRUE())</f>
        <v>0</v>
      </c>
      <c r="P189" s="33" t="n">
        <v>0</v>
      </c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customFormat="false" ht="21.75" hidden="false" customHeight="true" outlineLevel="0" collapsed="false">
      <c r="A190" s="29" t="s">
        <v>234</v>
      </c>
      <c r="B190" s="30" t="b">
        <f aca="false">FALSE()</f>
        <v>0</v>
      </c>
      <c r="C190" s="30" t="b">
        <f aca="false">FALSE()</f>
        <v>0</v>
      </c>
      <c r="D190" s="30" t="b">
        <f aca="false">FALSE()</f>
        <v>0</v>
      </c>
      <c r="E190" s="30" t="b">
        <f aca="false">FALSE()</f>
        <v>0</v>
      </c>
      <c r="F190" s="30" t="b">
        <f aca="false">FALSE()</f>
        <v>0</v>
      </c>
      <c r="G190" s="30" t="b">
        <f aca="false">FALSE()</f>
        <v>0</v>
      </c>
      <c r="H190" s="30" t="b">
        <f aca="false">FALSE()</f>
        <v>0</v>
      </c>
      <c r="I190" s="30" t="b">
        <f aca="false">FALSE()</f>
        <v>0</v>
      </c>
      <c r="J190" s="30" t="b">
        <f aca="false">FALSE()</f>
        <v>0</v>
      </c>
      <c r="K190" s="30" t="b">
        <f aca="false">FALSE()</f>
        <v>0</v>
      </c>
      <c r="L190" s="30" t="b">
        <f aca="false">FALSE()</f>
        <v>0</v>
      </c>
      <c r="M190" s="32" t="n">
        <f aca="false">COUNTIF(B190:F190,TRUE())</f>
        <v>0</v>
      </c>
      <c r="N190" s="32" t="n">
        <f aca="false">COUNTIF(G190:J190,TRUE())</f>
        <v>0</v>
      </c>
      <c r="O190" s="32" t="n">
        <f aca="false">COUNTIF(K190:L190,TRUE())</f>
        <v>0</v>
      </c>
      <c r="P190" s="33" t="n">
        <v>0</v>
      </c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customFormat="false" ht="21.75" hidden="false" customHeight="true" outlineLevel="0" collapsed="false">
      <c r="A191" s="29" t="s">
        <v>235</v>
      </c>
      <c r="B191" s="30" t="b">
        <f aca="false">FALSE()</f>
        <v>0</v>
      </c>
      <c r="C191" s="30" t="b">
        <f aca="false">FALSE()</f>
        <v>0</v>
      </c>
      <c r="D191" s="30" t="b">
        <f aca="false">FALSE()</f>
        <v>0</v>
      </c>
      <c r="E191" s="30" t="b">
        <f aca="false">FALSE()</f>
        <v>0</v>
      </c>
      <c r="F191" s="30" t="b">
        <f aca="false">FALSE()</f>
        <v>0</v>
      </c>
      <c r="G191" s="30" t="b">
        <f aca="false">FALSE()</f>
        <v>0</v>
      </c>
      <c r="H191" s="30" t="b">
        <f aca="false">FALSE()</f>
        <v>0</v>
      </c>
      <c r="I191" s="30" t="b">
        <f aca="false">FALSE()</f>
        <v>0</v>
      </c>
      <c r="J191" s="30" t="b">
        <f aca="false">FALSE()</f>
        <v>0</v>
      </c>
      <c r="K191" s="30" t="b">
        <f aca="false">FALSE()</f>
        <v>0</v>
      </c>
      <c r="L191" s="30" t="b">
        <f aca="false">FALSE()</f>
        <v>0</v>
      </c>
      <c r="M191" s="32" t="n">
        <f aca="false">COUNTIF(B191:F191,TRUE())</f>
        <v>0</v>
      </c>
      <c r="N191" s="32" t="n">
        <f aca="false">COUNTIF(G191:J191,TRUE())</f>
        <v>0</v>
      </c>
      <c r="O191" s="32" t="n">
        <f aca="false">COUNTIF(K191:L191,TRUE())</f>
        <v>0</v>
      </c>
      <c r="P191" s="33" t="n">
        <v>0</v>
      </c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customFormat="false" ht="21.75" hidden="false" customHeight="true" outlineLevel="0" collapsed="false">
      <c r="A192" s="29" t="s">
        <v>236</v>
      </c>
      <c r="B192" s="30" t="b">
        <f aca="false">FALSE()</f>
        <v>0</v>
      </c>
      <c r="C192" s="30" t="b">
        <f aca="false">FALSE()</f>
        <v>0</v>
      </c>
      <c r="D192" s="30" t="b">
        <f aca="false">FALSE()</f>
        <v>0</v>
      </c>
      <c r="E192" s="30" t="b">
        <f aca="false">FALSE()</f>
        <v>0</v>
      </c>
      <c r="F192" s="30" t="b">
        <f aca="false">FALSE()</f>
        <v>0</v>
      </c>
      <c r="G192" s="30" t="b">
        <f aca="false">FALSE()</f>
        <v>0</v>
      </c>
      <c r="H192" s="30" t="b">
        <f aca="false">FALSE()</f>
        <v>0</v>
      </c>
      <c r="I192" s="30" t="b">
        <f aca="false">FALSE()</f>
        <v>0</v>
      </c>
      <c r="J192" s="30" t="b">
        <f aca="false">FALSE()</f>
        <v>0</v>
      </c>
      <c r="K192" s="30" t="b">
        <f aca="false">FALSE()</f>
        <v>0</v>
      </c>
      <c r="L192" s="30" t="b">
        <f aca="false">FALSE()</f>
        <v>0</v>
      </c>
      <c r="M192" s="32" t="n">
        <f aca="false">COUNTIF(B192:F192,TRUE())</f>
        <v>0</v>
      </c>
      <c r="N192" s="32" t="n">
        <f aca="false">COUNTIF(G192:J192,TRUE())</f>
        <v>0</v>
      </c>
      <c r="O192" s="32" t="n">
        <f aca="false">COUNTIF(K192:L192,TRUE())</f>
        <v>0</v>
      </c>
      <c r="P192" s="33" t="n">
        <v>0</v>
      </c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customFormat="false" ht="21.75" hidden="false" customHeight="true" outlineLevel="0" collapsed="false">
      <c r="A193" s="29" t="s">
        <v>237</v>
      </c>
      <c r="B193" s="30" t="b">
        <f aca="false">FALSE()</f>
        <v>0</v>
      </c>
      <c r="C193" s="30" t="b">
        <f aca="false">FALSE()</f>
        <v>0</v>
      </c>
      <c r="D193" s="30" t="b">
        <f aca="false">FALSE()</f>
        <v>0</v>
      </c>
      <c r="E193" s="30" t="b">
        <f aca="false">FALSE()</f>
        <v>0</v>
      </c>
      <c r="F193" s="30" t="b">
        <f aca="false">FALSE()</f>
        <v>0</v>
      </c>
      <c r="G193" s="30" t="b">
        <f aca="false">FALSE()</f>
        <v>0</v>
      </c>
      <c r="H193" s="30" t="b">
        <f aca="false">FALSE()</f>
        <v>0</v>
      </c>
      <c r="I193" s="30" t="b">
        <f aca="false">FALSE()</f>
        <v>0</v>
      </c>
      <c r="J193" s="30" t="b">
        <f aca="false">FALSE()</f>
        <v>0</v>
      </c>
      <c r="K193" s="30" t="b">
        <f aca="false">FALSE()</f>
        <v>0</v>
      </c>
      <c r="L193" s="30" t="b">
        <f aca="false">FALSE()</f>
        <v>0</v>
      </c>
      <c r="M193" s="32" t="n">
        <f aca="false">COUNTIF(B193:F193,TRUE())</f>
        <v>0</v>
      </c>
      <c r="N193" s="32" t="n">
        <f aca="false">COUNTIF(G193:J193,TRUE())</f>
        <v>0</v>
      </c>
      <c r="O193" s="32" t="n">
        <f aca="false">COUNTIF(K193:L193,TRUE())</f>
        <v>0</v>
      </c>
      <c r="P193" s="33" t="n">
        <v>0</v>
      </c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customFormat="false" ht="21.75" hidden="false" customHeight="true" outlineLevel="0" collapsed="false">
      <c r="A194" s="29" t="s">
        <v>238</v>
      </c>
      <c r="B194" s="30" t="b">
        <f aca="false">FALSE()</f>
        <v>0</v>
      </c>
      <c r="C194" s="30" t="b">
        <f aca="false">FALSE()</f>
        <v>0</v>
      </c>
      <c r="D194" s="30" t="b">
        <f aca="false">FALSE()</f>
        <v>0</v>
      </c>
      <c r="E194" s="30" t="b">
        <f aca="false">FALSE()</f>
        <v>0</v>
      </c>
      <c r="F194" s="30" t="b">
        <f aca="false">FALSE()</f>
        <v>0</v>
      </c>
      <c r="G194" s="30" t="b">
        <f aca="false">FALSE()</f>
        <v>0</v>
      </c>
      <c r="H194" s="30" t="b">
        <f aca="false">FALSE()</f>
        <v>0</v>
      </c>
      <c r="I194" s="30" t="b">
        <f aca="false">FALSE()</f>
        <v>0</v>
      </c>
      <c r="J194" s="30" t="b">
        <f aca="false">FALSE()</f>
        <v>0</v>
      </c>
      <c r="K194" s="30" t="b">
        <f aca="false">FALSE()</f>
        <v>0</v>
      </c>
      <c r="L194" s="30" t="b">
        <f aca="false">FALSE()</f>
        <v>0</v>
      </c>
      <c r="M194" s="32" t="n">
        <f aca="false">COUNTIF(B194:F194,TRUE())</f>
        <v>0</v>
      </c>
      <c r="N194" s="32" t="n">
        <f aca="false">COUNTIF(G194:J194,TRUE())</f>
        <v>0</v>
      </c>
      <c r="O194" s="32" t="n">
        <f aca="false">COUNTIF(K194:L194,TRUE())</f>
        <v>0</v>
      </c>
      <c r="P194" s="33" t="n">
        <v>0</v>
      </c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customFormat="false" ht="21.75" hidden="false" customHeight="true" outlineLevel="0" collapsed="false">
      <c r="A195" s="29" t="s">
        <v>239</v>
      </c>
      <c r="B195" s="30" t="b">
        <f aca="false">FALSE()</f>
        <v>0</v>
      </c>
      <c r="C195" s="30" t="b">
        <f aca="false">FALSE()</f>
        <v>0</v>
      </c>
      <c r="D195" s="30" t="b">
        <f aca="false">FALSE()</f>
        <v>0</v>
      </c>
      <c r="E195" s="30" t="b">
        <f aca="false">FALSE()</f>
        <v>0</v>
      </c>
      <c r="F195" s="30" t="b">
        <f aca="false">FALSE()</f>
        <v>0</v>
      </c>
      <c r="G195" s="30" t="b">
        <f aca="false">FALSE()</f>
        <v>0</v>
      </c>
      <c r="H195" s="30" t="b">
        <f aca="false">FALSE()</f>
        <v>0</v>
      </c>
      <c r="I195" s="30" t="b">
        <f aca="false">FALSE()</f>
        <v>0</v>
      </c>
      <c r="J195" s="30" t="b">
        <f aca="false">FALSE()</f>
        <v>0</v>
      </c>
      <c r="K195" s="30" t="b">
        <f aca="false">FALSE()</f>
        <v>0</v>
      </c>
      <c r="L195" s="30" t="b">
        <f aca="false">FALSE()</f>
        <v>0</v>
      </c>
      <c r="M195" s="32" t="n">
        <f aca="false">COUNTIF(B195:F195,TRUE())</f>
        <v>0</v>
      </c>
      <c r="N195" s="32" t="n">
        <f aca="false">COUNTIF(G195:J195,TRUE())</f>
        <v>0</v>
      </c>
      <c r="O195" s="32" t="n">
        <f aca="false">COUNTIF(K195:L195,TRUE())</f>
        <v>0</v>
      </c>
      <c r="P195" s="33" t="n">
        <v>0</v>
      </c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customFormat="false" ht="21.75" hidden="false" customHeight="true" outlineLevel="0" collapsed="false">
      <c r="A196" s="29" t="s">
        <v>240</v>
      </c>
      <c r="B196" s="30" t="b">
        <f aca="false">FALSE()</f>
        <v>0</v>
      </c>
      <c r="C196" s="30" t="b">
        <f aca="false">FALSE()</f>
        <v>0</v>
      </c>
      <c r="D196" s="30" t="b">
        <f aca="false">FALSE()</f>
        <v>0</v>
      </c>
      <c r="E196" s="30" t="b">
        <f aca="false">FALSE()</f>
        <v>0</v>
      </c>
      <c r="F196" s="30" t="b">
        <f aca="false">FALSE()</f>
        <v>0</v>
      </c>
      <c r="G196" s="30" t="b">
        <f aca="false">FALSE()</f>
        <v>0</v>
      </c>
      <c r="H196" s="30" t="b">
        <f aca="false">FALSE()</f>
        <v>0</v>
      </c>
      <c r="I196" s="30" t="b">
        <f aca="false">FALSE()</f>
        <v>0</v>
      </c>
      <c r="J196" s="30" t="b">
        <f aca="false">FALSE()</f>
        <v>0</v>
      </c>
      <c r="K196" s="30" t="b">
        <f aca="false">FALSE()</f>
        <v>0</v>
      </c>
      <c r="L196" s="30" t="b">
        <f aca="false">FALSE()</f>
        <v>0</v>
      </c>
      <c r="M196" s="32" t="n">
        <f aca="false">COUNTIF(B196:F196,TRUE())</f>
        <v>0</v>
      </c>
      <c r="N196" s="32" t="n">
        <f aca="false">COUNTIF(G196:J196,TRUE())</f>
        <v>0</v>
      </c>
      <c r="O196" s="32" t="n">
        <f aca="false">COUNTIF(K196:L196,TRUE())</f>
        <v>0</v>
      </c>
      <c r="P196" s="33" t="n">
        <v>0</v>
      </c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customFormat="false" ht="21.75" hidden="false" customHeight="true" outlineLevel="0" collapsed="false">
      <c r="A197" s="29" t="s">
        <v>241</v>
      </c>
      <c r="B197" s="30" t="b">
        <f aca="false">FALSE()</f>
        <v>0</v>
      </c>
      <c r="C197" s="30" t="b">
        <f aca="false">FALSE()</f>
        <v>0</v>
      </c>
      <c r="D197" s="30" t="b">
        <f aca="false">FALSE()</f>
        <v>0</v>
      </c>
      <c r="E197" s="30" t="b">
        <f aca="false">FALSE()</f>
        <v>0</v>
      </c>
      <c r="F197" s="30" t="b">
        <f aca="false">FALSE()</f>
        <v>0</v>
      </c>
      <c r="G197" s="30" t="b">
        <f aca="false">FALSE()</f>
        <v>0</v>
      </c>
      <c r="H197" s="30" t="b">
        <f aca="false">FALSE()</f>
        <v>0</v>
      </c>
      <c r="I197" s="30" t="b">
        <f aca="false">FALSE()</f>
        <v>0</v>
      </c>
      <c r="J197" s="30" t="b">
        <f aca="false">FALSE()</f>
        <v>0</v>
      </c>
      <c r="K197" s="30" t="b">
        <f aca="false">FALSE()</f>
        <v>0</v>
      </c>
      <c r="L197" s="30" t="b">
        <f aca="false">FALSE()</f>
        <v>0</v>
      </c>
      <c r="M197" s="32" t="n">
        <f aca="false">COUNTIF(B197:F197,TRUE())</f>
        <v>0</v>
      </c>
      <c r="N197" s="32" t="n">
        <f aca="false">COUNTIF(G197:J197,TRUE())</f>
        <v>0</v>
      </c>
      <c r="O197" s="32" t="n">
        <f aca="false">COUNTIF(K197:L197,TRUE())</f>
        <v>0</v>
      </c>
      <c r="P197" s="33" t="n">
        <v>0</v>
      </c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customFormat="false" ht="21.75" hidden="false" customHeight="true" outlineLevel="0" collapsed="false">
      <c r="A198" s="29" t="s">
        <v>242</v>
      </c>
      <c r="B198" s="30" t="b">
        <f aca="false">FALSE()</f>
        <v>0</v>
      </c>
      <c r="C198" s="30" t="b">
        <f aca="false">FALSE()</f>
        <v>0</v>
      </c>
      <c r="D198" s="30" t="b">
        <f aca="false">FALSE()</f>
        <v>0</v>
      </c>
      <c r="E198" s="30" t="b">
        <f aca="false">FALSE()</f>
        <v>0</v>
      </c>
      <c r="F198" s="30" t="b">
        <f aca="false">FALSE()</f>
        <v>0</v>
      </c>
      <c r="G198" s="30" t="b">
        <f aca="false">FALSE()</f>
        <v>0</v>
      </c>
      <c r="H198" s="30" t="b">
        <f aca="false">FALSE()</f>
        <v>0</v>
      </c>
      <c r="I198" s="30" t="b">
        <f aca="false">FALSE()</f>
        <v>0</v>
      </c>
      <c r="J198" s="30" t="b">
        <f aca="false">FALSE()</f>
        <v>0</v>
      </c>
      <c r="K198" s="30" t="b">
        <f aca="false">FALSE()</f>
        <v>0</v>
      </c>
      <c r="L198" s="30" t="b">
        <f aca="false">FALSE()</f>
        <v>0</v>
      </c>
      <c r="M198" s="32" t="n">
        <f aca="false">COUNTIF(B198:F198,TRUE())</f>
        <v>0</v>
      </c>
      <c r="N198" s="32" t="n">
        <f aca="false">COUNTIF(G198:J198,TRUE())</f>
        <v>0</v>
      </c>
      <c r="O198" s="32" t="n">
        <f aca="false">COUNTIF(K198:L198,TRUE())</f>
        <v>0</v>
      </c>
      <c r="P198" s="33" t="n">
        <v>0</v>
      </c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customFormat="false" ht="21.75" hidden="false" customHeight="true" outlineLevel="0" collapsed="false">
      <c r="A199" s="29" t="s">
        <v>243</v>
      </c>
      <c r="B199" s="30" t="b">
        <f aca="false">FALSE()</f>
        <v>0</v>
      </c>
      <c r="C199" s="30" t="b">
        <f aca="false">FALSE()</f>
        <v>0</v>
      </c>
      <c r="D199" s="30" t="b">
        <f aca="false">FALSE()</f>
        <v>0</v>
      </c>
      <c r="E199" s="30" t="b">
        <f aca="false">FALSE()</f>
        <v>0</v>
      </c>
      <c r="F199" s="30" t="b">
        <f aca="false">FALSE()</f>
        <v>0</v>
      </c>
      <c r="G199" s="30" t="b">
        <f aca="false">FALSE()</f>
        <v>0</v>
      </c>
      <c r="H199" s="30" t="b">
        <f aca="false">FALSE()</f>
        <v>0</v>
      </c>
      <c r="I199" s="30" t="b">
        <f aca="false">FALSE()</f>
        <v>0</v>
      </c>
      <c r="J199" s="30" t="b">
        <f aca="false">FALSE()</f>
        <v>0</v>
      </c>
      <c r="K199" s="30" t="b">
        <f aca="false">FALSE()</f>
        <v>0</v>
      </c>
      <c r="L199" s="30" t="b">
        <f aca="false">FALSE()</f>
        <v>0</v>
      </c>
      <c r="M199" s="32" t="n">
        <f aca="false">COUNTIF(B199:F199,TRUE())</f>
        <v>0</v>
      </c>
      <c r="N199" s="32" t="n">
        <f aca="false">COUNTIF(G199:J199,TRUE())</f>
        <v>0</v>
      </c>
      <c r="O199" s="32" t="n">
        <f aca="false">COUNTIF(K199:L199,TRUE())</f>
        <v>0</v>
      </c>
      <c r="P199" s="33" t="n">
        <v>0</v>
      </c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customFormat="false" ht="21.75" hidden="false" customHeight="true" outlineLevel="0" collapsed="false">
      <c r="A200" s="29" t="s">
        <v>244</v>
      </c>
      <c r="B200" s="30" t="b">
        <f aca="false">FALSE()</f>
        <v>0</v>
      </c>
      <c r="C200" s="30" t="b">
        <f aca="false">FALSE()</f>
        <v>0</v>
      </c>
      <c r="D200" s="30" t="b">
        <f aca="false">FALSE()</f>
        <v>0</v>
      </c>
      <c r="E200" s="30" t="b">
        <f aca="false">FALSE()</f>
        <v>0</v>
      </c>
      <c r="F200" s="30" t="b">
        <f aca="false">FALSE()</f>
        <v>0</v>
      </c>
      <c r="G200" s="30" t="b">
        <f aca="false">FALSE()</f>
        <v>0</v>
      </c>
      <c r="H200" s="30" t="b">
        <f aca="false">FALSE()</f>
        <v>0</v>
      </c>
      <c r="I200" s="30" t="b">
        <f aca="false">FALSE()</f>
        <v>0</v>
      </c>
      <c r="J200" s="30" t="b">
        <f aca="false">FALSE()</f>
        <v>0</v>
      </c>
      <c r="K200" s="30" t="b">
        <f aca="false">FALSE()</f>
        <v>0</v>
      </c>
      <c r="L200" s="30" t="b">
        <f aca="false">FALSE()</f>
        <v>0</v>
      </c>
      <c r="M200" s="32" t="n">
        <f aca="false">COUNTIF(B200:F200,TRUE())</f>
        <v>0</v>
      </c>
      <c r="N200" s="32" t="n">
        <f aca="false">COUNTIF(G200:J200,TRUE())</f>
        <v>0</v>
      </c>
      <c r="O200" s="32" t="n">
        <f aca="false">COUNTIF(K200:L200,TRUE())</f>
        <v>0</v>
      </c>
      <c r="P200" s="33" t="n">
        <v>0</v>
      </c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customFormat="false" ht="21.75" hidden="false" customHeight="true" outlineLevel="0" collapsed="false">
      <c r="A201" s="29" t="s">
        <v>245</v>
      </c>
      <c r="B201" s="30" t="b">
        <f aca="false">FALSE()</f>
        <v>0</v>
      </c>
      <c r="C201" s="30" t="b">
        <f aca="false">FALSE()</f>
        <v>0</v>
      </c>
      <c r="D201" s="30" t="b">
        <f aca="false">FALSE()</f>
        <v>0</v>
      </c>
      <c r="E201" s="30" t="b">
        <f aca="false">FALSE()</f>
        <v>0</v>
      </c>
      <c r="F201" s="30" t="b">
        <f aca="false">FALSE()</f>
        <v>0</v>
      </c>
      <c r="G201" s="30" t="b">
        <f aca="false">FALSE()</f>
        <v>0</v>
      </c>
      <c r="H201" s="30" t="b">
        <f aca="false">FALSE()</f>
        <v>0</v>
      </c>
      <c r="I201" s="30" t="b">
        <f aca="false">FALSE()</f>
        <v>0</v>
      </c>
      <c r="J201" s="30" t="b">
        <f aca="false">FALSE()</f>
        <v>0</v>
      </c>
      <c r="K201" s="30" t="b">
        <f aca="false">FALSE()</f>
        <v>0</v>
      </c>
      <c r="L201" s="30" t="b">
        <f aca="false">FALSE()</f>
        <v>0</v>
      </c>
      <c r="M201" s="32" t="n">
        <f aca="false">COUNTIF(B201:F201,TRUE())</f>
        <v>0</v>
      </c>
      <c r="N201" s="32" t="n">
        <f aca="false">COUNTIF(G201:J201,TRUE())</f>
        <v>0</v>
      </c>
      <c r="O201" s="32" t="n">
        <f aca="false">COUNTIF(K201:L201,TRUE())</f>
        <v>0</v>
      </c>
      <c r="P201" s="33" t="n">
        <v>0</v>
      </c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customFormat="false" ht="21.75" hidden="false" customHeight="true" outlineLevel="0" collapsed="false">
      <c r="A202" s="29" t="s">
        <v>246</v>
      </c>
      <c r="B202" s="30" t="b">
        <f aca="false">FALSE()</f>
        <v>0</v>
      </c>
      <c r="C202" s="30" t="b">
        <f aca="false">FALSE()</f>
        <v>0</v>
      </c>
      <c r="D202" s="30" t="b">
        <f aca="false">FALSE()</f>
        <v>0</v>
      </c>
      <c r="E202" s="30" t="b">
        <f aca="false">FALSE()</f>
        <v>0</v>
      </c>
      <c r="F202" s="30" t="b">
        <f aca="false">FALSE()</f>
        <v>0</v>
      </c>
      <c r="G202" s="30" t="b">
        <f aca="false">FALSE()</f>
        <v>0</v>
      </c>
      <c r="H202" s="30" t="b">
        <f aca="false">FALSE()</f>
        <v>0</v>
      </c>
      <c r="I202" s="30" t="b">
        <f aca="false">FALSE()</f>
        <v>0</v>
      </c>
      <c r="J202" s="30" t="b">
        <f aca="false">FALSE()</f>
        <v>0</v>
      </c>
      <c r="K202" s="30" t="b">
        <f aca="false">FALSE()</f>
        <v>0</v>
      </c>
      <c r="L202" s="30" t="b">
        <f aca="false">FALSE()</f>
        <v>0</v>
      </c>
      <c r="M202" s="32" t="n">
        <f aca="false">COUNTIF(B202:F202,TRUE())</f>
        <v>0</v>
      </c>
      <c r="N202" s="32" t="n">
        <f aca="false">COUNTIF(G202:J202,TRUE())</f>
        <v>0</v>
      </c>
      <c r="O202" s="32" t="n">
        <f aca="false">COUNTIF(K202:L202,TRUE())</f>
        <v>0</v>
      </c>
      <c r="P202" s="33" t="n">
        <v>0</v>
      </c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customFormat="false" ht="21.75" hidden="false" customHeight="true" outlineLevel="0" collapsed="false">
      <c r="A203" s="29" t="s">
        <v>247</v>
      </c>
      <c r="B203" s="30" t="b">
        <f aca="false">FALSE()</f>
        <v>0</v>
      </c>
      <c r="C203" s="30" t="b">
        <f aca="false">FALSE()</f>
        <v>0</v>
      </c>
      <c r="D203" s="30" t="b">
        <f aca="false">FALSE()</f>
        <v>0</v>
      </c>
      <c r="E203" s="30" t="b">
        <f aca="false">FALSE()</f>
        <v>0</v>
      </c>
      <c r="F203" s="30" t="b">
        <f aca="false">FALSE()</f>
        <v>0</v>
      </c>
      <c r="G203" s="30" t="b">
        <f aca="false">FALSE()</f>
        <v>0</v>
      </c>
      <c r="H203" s="30" t="b">
        <f aca="false">FALSE()</f>
        <v>0</v>
      </c>
      <c r="I203" s="30" t="b">
        <f aca="false">FALSE()</f>
        <v>0</v>
      </c>
      <c r="J203" s="30" t="b">
        <f aca="false">FALSE()</f>
        <v>0</v>
      </c>
      <c r="K203" s="30" t="b">
        <f aca="false">FALSE()</f>
        <v>0</v>
      </c>
      <c r="L203" s="30" t="b">
        <f aca="false">FALSE()</f>
        <v>0</v>
      </c>
      <c r="M203" s="32" t="n">
        <f aca="false">COUNTIF(B203:F203,TRUE())</f>
        <v>0</v>
      </c>
      <c r="N203" s="32" t="n">
        <f aca="false">COUNTIF(G203:J203,TRUE())</f>
        <v>0</v>
      </c>
      <c r="O203" s="32" t="n">
        <f aca="false">COUNTIF(K203:L203,TRUE())</f>
        <v>0</v>
      </c>
      <c r="P203" s="33" t="n">
        <v>0</v>
      </c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customFormat="false" ht="21.75" hidden="false" customHeight="true" outlineLevel="0" collapsed="false">
      <c r="A204" s="29" t="s">
        <v>248</v>
      </c>
      <c r="B204" s="30" t="b">
        <f aca="false">FALSE()</f>
        <v>0</v>
      </c>
      <c r="C204" s="30" t="b">
        <f aca="false">FALSE()</f>
        <v>0</v>
      </c>
      <c r="D204" s="30" t="b">
        <f aca="false">FALSE()</f>
        <v>0</v>
      </c>
      <c r="E204" s="30" t="b">
        <f aca="false">FALSE()</f>
        <v>0</v>
      </c>
      <c r="F204" s="30" t="b">
        <f aca="false">FALSE()</f>
        <v>0</v>
      </c>
      <c r="G204" s="30" t="b">
        <f aca="false">FALSE()</f>
        <v>0</v>
      </c>
      <c r="H204" s="30" t="b">
        <f aca="false">FALSE()</f>
        <v>0</v>
      </c>
      <c r="I204" s="30" t="b">
        <f aca="false">FALSE()</f>
        <v>0</v>
      </c>
      <c r="J204" s="30" t="b">
        <f aca="false">FALSE()</f>
        <v>0</v>
      </c>
      <c r="K204" s="30" t="b">
        <f aca="false">FALSE()</f>
        <v>0</v>
      </c>
      <c r="L204" s="30" t="b">
        <f aca="false">FALSE()</f>
        <v>0</v>
      </c>
      <c r="M204" s="32" t="n">
        <f aca="false">COUNTIF(B204:F204,TRUE())</f>
        <v>0</v>
      </c>
      <c r="N204" s="32" t="n">
        <f aca="false">COUNTIF(G204:J204,TRUE())</f>
        <v>0</v>
      </c>
      <c r="O204" s="32" t="n">
        <f aca="false">COUNTIF(K204:L204,TRUE())</f>
        <v>0</v>
      </c>
      <c r="P204" s="33" t="n">
        <v>0</v>
      </c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customFormat="false" ht="21.75" hidden="false" customHeight="true" outlineLevel="0" collapsed="false">
      <c r="A205" s="29" t="s">
        <v>249</v>
      </c>
      <c r="B205" s="30" t="b">
        <f aca="false">FALSE()</f>
        <v>0</v>
      </c>
      <c r="C205" s="30" t="b">
        <f aca="false">FALSE()</f>
        <v>0</v>
      </c>
      <c r="D205" s="30" t="b">
        <f aca="false">FALSE()</f>
        <v>0</v>
      </c>
      <c r="E205" s="30" t="b">
        <f aca="false">FALSE()</f>
        <v>0</v>
      </c>
      <c r="F205" s="30" t="b">
        <f aca="false">FALSE()</f>
        <v>0</v>
      </c>
      <c r="G205" s="30" t="b">
        <f aca="false">FALSE()</f>
        <v>0</v>
      </c>
      <c r="H205" s="30" t="b">
        <f aca="false">FALSE()</f>
        <v>0</v>
      </c>
      <c r="I205" s="30" t="b">
        <f aca="false">FALSE()</f>
        <v>0</v>
      </c>
      <c r="J205" s="30" t="b">
        <f aca="false">FALSE()</f>
        <v>0</v>
      </c>
      <c r="K205" s="30" t="b">
        <f aca="false">FALSE()</f>
        <v>0</v>
      </c>
      <c r="L205" s="30" t="b">
        <f aca="false">FALSE()</f>
        <v>0</v>
      </c>
      <c r="M205" s="32" t="n">
        <f aca="false">COUNTIF(B205:F205,TRUE())</f>
        <v>0</v>
      </c>
      <c r="N205" s="32" t="n">
        <f aca="false">COUNTIF(G205:J205,TRUE())</f>
        <v>0</v>
      </c>
      <c r="O205" s="32" t="n">
        <f aca="false">COUNTIF(K205:L205,TRUE())</f>
        <v>0</v>
      </c>
      <c r="P205" s="33" t="n">
        <v>0</v>
      </c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customFormat="false" ht="21.75" hidden="false" customHeight="true" outlineLevel="0" collapsed="false">
      <c r="A206" s="29" t="s">
        <v>250</v>
      </c>
      <c r="B206" s="30" t="b">
        <f aca="false">FALSE()</f>
        <v>0</v>
      </c>
      <c r="C206" s="30" t="b">
        <f aca="false">FALSE()</f>
        <v>0</v>
      </c>
      <c r="D206" s="30" t="b">
        <f aca="false">FALSE()</f>
        <v>0</v>
      </c>
      <c r="E206" s="30" t="b">
        <f aca="false">FALSE()</f>
        <v>0</v>
      </c>
      <c r="F206" s="30" t="b">
        <f aca="false">FALSE()</f>
        <v>0</v>
      </c>
      <c r="G206" s="30" t="b">
        <f aca="false">FALSE()</f>
        <v>0</v>
      </c>
      <c r="H206" s="30" t="b">
        <f aca="false">FALSE()</f>
        <v>0</v>
      </c>
      <c r="I206" s="30" t="b">
        <f aca="false">FALSE()</f>
        <v>0</v>
      </c>
      <c r="J206" s="30" t="b">
        <f aca="false">FALSE()</f>
        <v>0</v>
      </c>
      <c r="K206" s="30" t="b">
        <f aca="false">FALSE()</f>
        <v>0</v>
      </c>
      <c r="L206" s="30" t="b">
        <f aca="false">FALSE()</f>
        <v>0</v>
      </c>
      <c r="M206" s="32" t="n">
        <f aca="false">COUNTIF(B206:F206,TRUE())</f>
        <v>0</v>
      </c>
      <c r="N206" s="32" t="n">
        <f aca="false">COUNTIF(G206:J206,TRUE())</f>
        <v>0</v>
      </c>
      <c r="O206" s="32" t="n">
        <f aca="false">COUNTIF(K206:L206,TRUE())</f>
        <v>0</v>
      </c>
      <c r="P206" s="33" t="n">
        <v>0</v>
      </c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customFormat="false" ht="21.75" hidden="false" customHeight="true" outlineLevel="0" collapsed="false">
      <c r="A207" s="29" t="s">
        <v>251</v>
      </c>
      <c r="B207" s="30" t="b">
        <f aca="false">FALSE()</f>
        <v>0</v>
      </c>
      <c r="C207" s="30" t="b">
        <f aca="false">FALSE()</f>
        <v>0</v>
      </c>
      <c r="D207" s="30" t="b">
        <f aca="false">FALSE()</f>
        <v>0</v>
      </c>
      <c r="E207" s="30" t="b">
        <f aca="false">FALSE()</f>
        <v>0</v>
      </c>
      <c r="F207" s="30" t="b">
        <f aca="false">FALSE()</f>
        <v>0</v>
      </c>
      <c r="G207" s="30" t="b">
        <f aca="false">FALSE()</f>
        <v>0</v>
      </c>
      <c r="H207" s="30" t="b">
        <f aca="false">FALSE()</f>
        <v>0</v>
      </c>
      <c r="I207" s="30" t="b">
        <f aca="false">FALSE()</f>
        <v>0</v>
      </c>
      <c r="J207" s="30" t="b">
        <f aca="false">FALSE()</f>
        <v>0</v>
      </c>
      <c r="K207" s="30" t="b">
        <f aca="false">FALSE()</f>
        <v>0</v>
      </c>
      <c r="L207" s="30" t="b">
        <f aca="false">FALSE()</f>
        <v>0</v>
      </c>
      <c r="M207" s="32" t="n">
        <f aca="false">COUNTIF(B207:F207,TRUE())</f>
        <v>0</v>
      </c>
      <c r="N207" s="32" t="n">
        <f aca="false">COUNTIF(G207:J207,TRUE())</f>
        <v>0</v>
      </c>
      <c r="O207" s="32" t="n">
        <f aca="false">COUNTIF(K207:L207,TRUE())</f>
        <v>0</v>
      </c>
      <c r="P207" s="33" t="n">
        <v>0</v>
      </c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customFormat="false" ht="21.75" hidden="false" customHeight="true" outlineLevel="0" collapsed="false">
      <c r="A208" s="29" t="s">
        <v>252</v>
      </c>
      <c r="B208" s="30" t="b">
        <f aca="false">FALSE()</f>
        <v>0</v>
      </c>
      <c r="C208" s="30" t="b">
        <f aca="false">FALSE()</f>
        <v>0</v>
      </c>
      <c r="D208" s="30" t="b">
        <f aca="false">FALSE()</f>
        <v>0</v>
      </c>
      <c r="E208" s="30" t="b">
        <f aca="false">FALSE()</f>
        <v>0</v>
      </c>
      <c r="F208" s="30" t="b">
        <f aca="false">FALSE()</f>
        <v>0</v>
      </c>
      <c r="G208" s="30" t="b">
        <f aca="false">FALSE()</f>
        <v>0</v>
      </c>
      <c r="H208" s="30" t="b">
        <f aca="false">FALSE()</f>
        <v>0</v>
      </c>
      <c r="I208" s="30" t="b">
        <f aca="false">FALSE()</f>
        <v>0</v>
      </c>
      <c r="J208" s="30" t="b">
        <f aca="false">FALSE()</f>
        <v>0</v>
      </c>
      <c r="K208" s="30" t="b">
        <f aca="false">FALSE()</f>
        <v>0</v>
      </c>
      <c r="L208" s="30" t="b">
        <f aca="false">FALSE()</f>
        <v>0</v>
      </c>
      <c r="M208" s="32" t="n">
        <f aca="false">COUNTIF(B208:F208,TRUE())</f>
        <v>0</v>
      </c>
      <c r="N208" s="32" t="n">
        <f aca="false">COUNTIF(G208:J208,TRUE())</f>
        <v>0</v>
      </c>
      <c r="O208" s="32" t="n">
        <f aca="false">COUNTIF(K208:L208,TRUE())</f>
        <v>0</v>
      </c>
      <c r="P208" s="33" t="n">
        <v>0</v>
      </c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customFormat="false" ht="21.75" hidden="false" customHeight="true" outlineLevel="0" collapsed="false">
      <c r="A209" s="29" t="s">
        <v>253</v>
      </c>
      <c r="B209" s="30" t="b">
        <f aca="false">FALSE()</f>
        <v>0</v>
      </c>
      <c r="C209" s="30" t="b">
        <f aca="false">FALSE()</f>
        <v>0</v>
      </c>
      <c r="D209" s="30" t="b">
        <f aca="false">FALSE()</f>
        <v>0</v>
      </c>
      <c r="E209" s="30" t="b">
        <f aca="false">FALSE()</f>
        <v>0</v>
      </c>
      <c r="F209" s="30" t="b">
        <f aca="false">FALSE()</f>
        <v>0</v>
      </c>
      <c r="G209" s="30" t="b">
        <f aca="false">FALSE()</f>
        <v>0</v>
      </c>
      <c r="H209" s="30" t="b">
        <f aca="false">FALSE()</f>
        <v>0</v>
      </c>
      <c r="I209" s="30" t="b">
        <f aca="false">FALSE()</f>
        <v>0</v>
      </c>
      <c r="J209" s="30" t="b">
        <f aca="false">FALSE()</f>
        <v>0</v>
      </c>
      <c r="K209" s="30" t="b">
        <f aca="false">FALSE()</f>
        <v>0</v>
      </c>
      <c r="L209" s="30" t="b">
        <f aca="false">FALSE()</f>
        <v>0</v>
      </c>
      <c r="M209" s="32" t="n">
        <f aca="false">COUNTIF(B209:F209,TRUE())</f>
        <v>0</v>
      </c>
      <c r="N209" s="32" t="n">
        <f aca="false">COUNTIF(G209:J209,TRUE())</f>
        <v>0</v>
      </c>
      <c r="O209" s="32" t="n">
        <f aca="false">COUNTIF(K209:L209,TRUE())</f>
        <v>0</v>
      </c>
      <c r="P209" s="33" t="n">
        <v>0</v>
      </c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customFormat="false" ht="21.75" hidden="false" customHeight="true" outlineLevel="0" collapsed="false">
      <c r="A210" s="29" t="s">
        <v>254</v>
      </c>
      <c r="B210" s="30" t="b">
        <f aca="false">FALSE()</f>
        <v>0</v>
      </c>
      <c r="C210" s="30" t="b">
        <f aca="false">FALSE()</f>
        <v>0</v>
      </c>
      <c r="D210" s="30" t="b">
        <f aca="false">FALSE()</f>
        <v>0</v>
      </c>
      <c r="E210" s="30" t="b">
        <f aca="false">FALSE()</f>
        <v>0</v>
      </c>
      <c r="F210" s="30" t="b">
        <f aca="false">FALSE()</f>
        <v>0</v>
      </c>
      <c r="G210" s="30" t="b">
        <f aca="false">FALSE()</f>
        <v>0</v>
      </c>
      <c r="H210" s="30" t="b">
        <f aca="false">FALSE()</f>
        <v>0</v>
      </c>
      <c r="I210" s="30" t="b">
        <f aca="false">FALSE()</f>
        <v>0</v>
      </c>
      <c r="J210" s="30" t="b">
        <f aca="false">FALSE()</f>
        <v>0</v>
      </c>
      <c r="K210" s="30" t="b">
        <f aca="false">FALSE()</f>
        <v>0</v>
      </c>
      <c r="L210" s="30" t="b">
        <f aca="false">FALSE()</f>
        <v>0</v>
      </c>
      <c r="M210" s="32" t="n">
        <f aca="false">COUNTIF(B210:F210,TRUE())</f>
        <v>0</v>
      </c>
      <c r="N210" s="32" t="n">
        <f aca="false">COUNTIF(G210:J210,TRUE())</f>
        <v>0</v>
      </c>
      <c r="O210" s="32" t="n">
        <f aca="false">COUNTIF(K210:L210,TRUE())</f>
        <v>0</v>
      </c>
      <c r="P210" s="33" t="n">
        <v>0</v>
      </c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customFormat="false" ht="21.75" hidden="false" customHeight="true" outlineLevel="0" collapsed="false">
      <c r="A211" s="29" t="s">
        <v>255</v>
      </c>
      <c r="B211" s="30" t="b">
        <f aca="false">FALSE()</f>
        <v>0</v>
      </c>
      <c r="C211" s="30" t="b">
        <f aca="false">FALSE()</f>
        <v>0</v>
      </c>
      <c r="D211" s="30" t="b">
        <f aca="false">FALSE()</f>
        <v>0</v>
      </c>
      <c r="E211" s="30" t="b">
        <f aca="false">FALSE()</f>
        <v>0</v>
      </c>
      <c r="F211" s="30" t="b">
        <f aca="false">FALSE()</f>
        <v>0</v>
      </c>
      <c r="G211" s="30" t="b">
        <f aca="false">FALSE()</f>
        <v>0</v>
      </c>
      <c r="H211" s="30" t="b">
        <f aca="false">FALSE()</f>
        <v>0</v>
      </c>
      <c r="I211" s="30" t="b">
        <f aca="false">FALSE()</f>
        <v>0</v>
      </c>
      <c r="J211" s="30" t="b">
        <f aca="false">FALSE()</f>
        <v>0</v>
      </c>
      <c r="K211" s="30" t="b">
        <f aca="false">FALSE()</f>
        <v>0</v>
      </c>
      <c r="L211" s="30" t="b">
        <f aca="false">FALSE()</f>
        <v>0</v>
      </c>
      <c r="M211" s="32" t="n">
        <f aca="false">COUNTIF(B211:F211,TRUE())</f>
        <v>0</v>
      </c>
      <c r="N211" s="32" t="n">
        <f aca="false">COUNTIF(G211:J211,TRUE())</f>
        <v>0</v>
      </c>
      <c r="O211" s="32" t="n">
        <f aca="false">COUNTIF(K211:L211,TRUE())</f>
        <v>0</v>
      </c>
      <c r="P211" s="33" t="n">
        <v>0</v>
      </c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customFormat="false" ht="21.75" hidden="false" customHeight="true" outlineLevel="0" collapsed="false">
      <c r="A212" s="29" t="s">
        <v>256</v>
      </c>
      <c r="B212" s="30" t="b">
        <f aca="false">FALSE()</f>
        <v>0</v>
      </c>
      <c r="C212" s="30" t="b">
        <f aca="false">FALSE()</f>
        <v>0</v>
      </c>
      <c r="D212" s="30" t="b">
        <f aca="false">FALSE()</f>
        <v>0</v>
      </c>
      <c r="E212" s="30" t="b">
        <f aca="false">FALSE()</f>
        <v>0</v>
      </c>
      <c r="F212" s="30" t="b">
        <f aca="false">FALSE()</f>
        <v>0</v>
      </c>
      <c r="G212" s="30" t="b">
        <f aca="false">FALSE()</f>
        <v>0</v>
      </c>
      <c r="H212" s="30" t="b">
        <f aca="false">FALSE()</f>
        <v>0</v>
      </c>
      <c r="I212" s="30" t="b">
        <f aca="false">FALSE()</f>
        <v>0</v>
      </c>
      <c r="J212" s="30" t="b">
        <f aca="false">FALSE()</f>
        <v>0</v>
      </c>
      <c r="K212" s="30" t="b">
        <f aca="false">FALSE()</f>
        <v>0</v>
      </c>
      <c r="L212" s="30" t="b">
        <f aca="false">FALSE()</f>
        <v>0</v>
      </c>
      <c r="M212" s="32" t="n">
        <f aca="false">COUNTIF(B212:F212,TRUE())</f>
        <v>0</v>
      </c>
      <c r="N212" s="32" t="n">
        <f aca="false">COUNTIF(G212:J212,TRUE())</f>
        <v>0</v>
      </c>
      <c r="O212" s="32" t="n">
        <f aca="false">COUNTIF(K212:L212,TRUE())</f>
        <v>0</v>
      </c>
      <c r="P212" s="33" t="n">
        <v>0</v>
      </c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customFormat="false" ht="21.75" hidden="false" customHeight="true" outlineLevel="0" collapsed="false">
      <c r="A213" s="29" t="s">
        <v>257</v>
      </c>
      <c r="B213" s="30" t="b">
        <f aca="false">FALSE()</f>
        <v>0</v>
      </c>
      <c r="C213" s="30" t="b">
        <f aca="false">FALSE()</f>
        <v>0</v>
      </c>
      <c r="D213" s="30" t="b">
        <f aca="false">FALSE()</f>
        <v>0</v>
      </c>
      <c r="E213" s="30" t="b">
        <f aca="false">FALSE()</f>
        <v>0</v>
      </c>
      <c r="F213" s="30" t="b">
        <f aca="false">FALSE()</f>
        <v>0</v>
      </c>
      <c r="G213" s="30" t="b">
        <f aca="false">FALSE()</f>
        <v>0</v>
      </c>
      <c r="H213" s="30" t="b">
        <f aca="false">FALSE()</f>
        <v>0</v>
      </c>
      <c r="I213" s="30" t="b">
        <f aca="false">FALSE()</f>
        <v>0</v>
      </c>
      <c r="J213" s="30" t="b">
        <f aca="false">FALSE()</f>
        <v>0</v>
      </c>
      <c r="K213" s="30" t="b">
        <f aca="false">FALSE()</f>
        <v>0</v>
      </c>
      <c r="L213" s="30" t="b">
        <f aca="false">FALSE()</f>
        <v>0</v>
      </c>
      <c r="M213" s="32" t="n">
        <f aca="false">COUNTIF(B213:F213,TRUE())</f>
        <v>0</v>
      </c>
      <c r="N213" s="32" t="n">
        <f aca="false">COUNTIF(G213:J213,TRUE())</f>
        <v>0</v>
      </c>
      <c r="O213" s="32" t="n">
        <f aca="false">COUNTIF(K213:L213,TRUE())</f>
        <v>0</v>
      </c>
      <c r="P213" s="33" t="n">
        <v>0</v>
      </c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customFormat="false" ht="21.75" hidden="false" customHeight="true" outlineLevel="0" collapsed="false">
      <c r="A214" s="29" t="s">
        <v>258</v>
      </c>
      <c r="B214" s="30" t="b">
        <f aca="false">FALSE()</f>
        <v>0</v>
      </c>
      <c r="C214" s="30" t="b">
        <f aca="false">FALSE()</f>
        <v>0</v>
      </c>
      <c r="D214" s="30" t="b">
        <f aca="false">FALSE()</f>
        <v>0</v>
      </c>
      <c r="E214" s="30" t="b">
        <f aca="false">FALSE()</f>
        <v>0</v>
      </c>
      <c r="F214" s="30" t="b">
        <f aca="false">FALSE()</f>
        <v>0</v>
      </c>
      <c r="G214" s="30" t="b">
        <f aca="false">FALSE()</f>
        <v>0</v>
      </c>
      <c r="H214" s="30" t="b">
        <f aca="false">FALSE()</f>
        <v>0</v>
      </c>
      <c r="I214" s="30" t="b">
        <f aca="false">FALSE()</f>
        <v>0</v>
      </c>
      <c r="J214" s="30" t="b">
        <f aca="false">FALSE()</f>
        <v>0</v>
      </c>
      <c r="K214" s="30" t="b">
        <f aca="false">FALSE()</f>
        <v>0</v>
      </c>
      <c r="L214" s="30" t="b">
        <f aca="false">FALSE()</f>
        <v>0</v>
      </c>
      <c r="M214" s="32" t="n">
        <f aca="false">COUNTIF(B214:F214,TRUE())</f>
        <v>0</v>
      </c>
      <c r="N214" s="32" t="n">
        <f aca="false">COUNTIF(G214:J214,TRUE())</f>
        <v>0</v>
      </c>
      <c r="O214" s="32" t="n">
        <f aca="false">COUNTIF(K214:L214,TRUE())</f>
        <v>0</v>
      </c>
      <c r="P214" s="33" t="n">
        <v>0</v>
      </c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customFormat="false" ht="21.75" hidden="false" customHeight="true" outlineLevel="0" collapsed="false">
      <c r="A215" s="29" t="s">
        <v>259</v>
      </c>
      <c r="B215" s="30" t="b">
        <f aca="false">FALSE()</f>
        <v>0</v>
      </c>
      <c r="C215" s="30" t="b">
        <f aca="false">FALSE()</f>
        <v>0</v>
      </c>
      <c r="D215" s="30" t="b">
        <f aca="false">FALSE()</f>
        <v>0</v>
      </c>
      <c r="E215" s="30" t="b">
        <f aca="false">FALSE()</f>
        <v>0</v>
      </c>
      <c r="F215" s="30" t="b">
        <f aca="false">FALSE()</f>
        <v>0</v>
      </c>
      <c r="G215" s="30" t="b">
        <f aca="false">FALSE()</f>
        <v>0</v>
      </c>
      <c r="H215" s="30" t="b">
        <f aca="false">FALSE()</f>
        <v>0</v>
      </c>
      <c r="I215" s="30" t="b">
        <f aca="false">FALSE()</f>
        <v>0</v>
      </c>
      <c r="J215" s="30" t="b">
        <f aca="false">FALSE()</f>
        <v>0</v>
      </c>
      <c r="K215" s="30" t="b">
        <f aca="false">FALSE()</f>
        <v>0</v>
      </c>
      <c r="L215" s="30" t="b">
        <f aca="false">FALSE()</f>
        <v>0</v>
      </c>
      <c r="M215" s="32" t="n">
        <f aca="false">COUNTIF(B215:F215,TRUE())</f>
        <v>0</v>
      </c>
      <c r="N215" s="32" t="n">
        <f aca="false">COUNTIF(G215:J215,TRUE())</f>
        <v>0</v>
      </c>
      <c r="O215" s="32" t="n">
        <f aca="false">COUNTIF(K215:L215,TRUE())</f>
        <v>0</v>
      </c>
      <c r="P215" s="33" t="n">
        <v>0</v>
      </c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customFormat="false" ht="21.75" hidden="false" customHeight="true" outlineLevel="0" collapsed="false">
      <c r="A216" s="29" t="s">
        <v>260</v>
      </c>
      <c r="B216" s="30" t="b">
        <f aca="false">FALSE()</f>
        <v>0</v>
      </c>
      <c r="C216" s="30" t="b">
        <f aca="false">FALSE()</f>
        <v>0</v>
      </c>
      <c r="D216" s="30" t="b">
        <f aca="false">FALSE()</f>
        <v>0</v>
      </c>
      <c r="E216" s="30" t="b">
        <f aca="false">FALSE()</f>
        <v>0</v>
      </c>
      <c r="F216" s="30" t="b">
        <f aca="false">FALSE()</f>
        <v>0</v>
      </c>
      <c r="G216" s="30" t="b">
        <f aca="false">FALSE()</f>
        <v>0</v>
      </c>
      <c r="H216" s="30" t="b">
        <f aca="false">FALSE()</f>
        <v>0</v>
      </c>
      <c r="I216" s="30" t="b">
        <f aca="false">FALSE()</f>
        <v>0</v>
      </c>
      <c r="J216" s="30" t="b">
        <f aca="false">FALSE()</f>
        <v>0</v>
      </c>
      <c r="K216" s="30" t="b">
        <f aca="false">FALSE()</f>
        <v>0</v>
      </c>
      <c r="L216" s="30" t="b">
        <f aca="false">FALSE()</f>
        <v>0</v>
      </c>
      <c r="M216" s="32" t="n">
        <f aca="false">COUNTIF(B216:F216,TRUE())</f>
        <v>0</v>
      </c>
      <c r="N216" s="32" t="n">
        <f aca="false">COUNTIF(G216:J216,TRUE())</f>
        <v>0</v>
      </c>
      <c r="O216" s="32" t="n">
        <f aca="false">COUNTIF(K216:L216,TRUE())</f>
        <v>0</v>
      </c>
      <c r="P216" s="33" t="n">
        <v>0</v>
      </c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customFormat="false" ht="21.75" hidden="false" customHeight="true" outlineLevel="0" collapsed="false">
      <c r="A217" s="29" t="s">
        <v>261</v>
      </c>
      <c r="B217" s="30" t="b">
        <f aca="false">FALSE()</f>
        <v>0</v>
      </c>
      <c r="C217" s="30" t="b">
        <f aca="false">FALSE()</f>
        <v>0</v>
      </c>
      <c r="D217" s="30" t="b">
        <f aca="false">FALSE()</f>
        <v>0</v>
      </c>
      <c r="E217" s="30" t="b">
        <f aca="false">FALSE()</f>
        <v>0</v>
      </c>
      <c r="F217" s="30" t="b">
        <f aca="false">FALSE()</f>
        <v>0</v>
      </c>
      <c r="G217" s="30" t="b">
        <f aca="false">FALSE()</f>
        <v>0</v>
      </c>
      <c r="H217" s="30" t="b">
        <f aca="false">FALSE()</f>
        <v>0</v>
      </c>
      <c r="I217" s="30" t="b">
        <f aca="false">FALSE()</f>
        <v>0</v>
      </c>
      <c r="J217" s="30" t="b">
        <f aca="false">FALSE()</f>
        <v>0</v>
      </c>
      <c r="K217" s="30" t="b">
        <f aca="false">FALSE()</f>
        <v>0</v>
      </c>
      <c r="L217" s="30" t="b">
        <f aca="false">FALSE()</f>
        <v>0</v>
      </c>
      <c r="M217" s="32" t="n">
        <f aca="false">COUNTIF(B217:F217,TRUE())</f>
        <v>0</v>
      </c>
      <c r="N217" s="32" t="n">
        <f aca="false">COUNTIF(G217:J217,TRUE())</f>
        <v>0</v>
      </c>
      <c r="O217" s="32" t="n">
        <f aca="false">COUNTIF(K217:L217,TRUE())</f>
        <v>0</v>
      </c>
      <c r="P217" s="33" t="n">
        <v>0</v>
      </c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customFormat="false" ht="21.75" hidden="false" customHeight="true" outlineLevel="0" collapsed="false">
      <c r="A218" s="29" t="s">
        <v>262</v>
      </c>
      <c r="B218" s="30" t="b">
        <f aca="false">FALSE()</f>
        <v>0</v>
      </c>
      <c r="C218" s="30" t="b">
        <f aca="false">FALSE()</f>
        <v>0</v>
      </c>
      <c r="D218" s="30" t="b">
        <f aca="false">FALSE()</f>
        <v>0</v>
      </c>
      <c r="E218" s="30" t="b">
        <f aca="false">FALSE()</f>
        <v>0</v>
      </c>
      <c r="F218" s="30" t="b">
        <f aca="false">FALSE()</f>
        <v>0</v>
      </c>
      <c r="G218" s="30" t="b">
        <f aca="false">FALSE()</f>
        <v>0</v>
      </c>
      <c r="H218" s="30" t="b">
        <f aca="false">FALSE()</f>
        <v>0</v>
      </c>
      <c r="I218" s="30" t="b">
        <f aca="false">FALSE()</f>
        <v>0</v>
      </c>
      <c r="J218" s="30" t="b">
        <f aca="false">FALSE()</f>
        <v>0</v>
      </c>
      <c r="K218" s="30" t="b">
        <f aca="false">FALSE()</f>
        <v>0</v>
      </c>
      <c r="L218" s="30" t="b">
        <f aca="false">FALSE()</f>
        <v>0</v>
      </c>
      <c r="M218" s="32" t="n">
        <f aca="false">COUNTIF(B218:F218,TRUE())</f>
        <v>0</v>
      </c>
      <c r="N218" s="32" t="n">
        <f aca="false">COUNTIF(G218:J218,TRUE())</f>
        <v>0</v>
      </c>
      <c r="O218" s="32" t="n">
        <f aca="false">COUNTIF(K218:L218,TRUE())</f>
        <v>0</v>
      </c>
      <c r="P218" s="33" t="n">
        <v>0</v>
      </c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customFormat="false" ht="21.75" hidden="false" customHeight="true" outlineLevel="0" collapsed="false">
      <c r="A219" s="29" t="s">
        <v>263</v>
      </c>
      <c r="B219" s="30" t="b">
        <f aca="false">FALSE()</f>
        <v>0</v>
      </c>
      <c r="C219" s="30" t="b">
        <f aca="false">FALSE()</f>
        <v>0</v>
      </c>
      <c r="D219" s="30" t="b">
        <f aca="false">FALSE()</f>
        <v>0</v>
      </c>
      <c r="E219" s="30" t="b">
        <f aca="false">FALSE()</f>
        <v>0</v>
      </c>
      <c r="F219" s="30" t="b">
        <f aca="false">FALSE()</f>
        <v>0</v>
      </c>
      <c r="G219" s="30" t="b">
        <f aca="false">FALSE()</f>
        <v>0</v>
      </c>
      <c r="H219" s="30" t="b">
        <f aca="false">FALSE()</f>
        <v>0</v>
      </c>
      <c r="I219" s="30" t="b">
        <f aca="false">FALSE()</f>
        <v>0</v>
      </c>
      <c r="J219" s="30" t="b">
        <f aca="false">FALSE()</f>
        <v>0</v>
      </c>
      <c r="K219" s="30" t="b">
        <f aca="false">FALSE()</f>
        <v>0</v>
      </c>
      <c r="L219" s="30" t="b">
        <f aca="false">FALSE()</f>
        <v>0</v>
      </c>
      <c r="M219" s="32" t="n">
        <f aca="false">COUNTIF(B219:F219,TRUE())</f>
        <v>0</v>
      </c>
      <c r="N219" s="32" t="n">
        <f aca="false">COUNTIF(G219:J219,TRUE())</f>
        <v>0</v>
      </c>
      <c r="O219" s="32" t="n">
        <f aca="false">COUNTIF(K219:L219,TRUE())</f>
        <v>0</v>
      </c>
      <c r="P219" s="33" t="n">
        <v>0</v>
      </c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customFormat="false" ht="21.75" hidden="false" customHeight="true" outlineLevel="0" collapsed="false">
      <c r="A220" s="29" t="s">
        <v>264</v>
      </c>
      <c r="B220" s="30" t="b">
        <f aca="false">FALSE()</f>
        <v>0</v>
      </c>
      <c r="C220" s="30" t="b">
        <f aca="false">FALSE()</f>
        <v>0</v>
      </c>
      <c r="D220" s="30" t="b">
        <f aca="false">FALSE()</f>
        <v>0</v>
      </c>
      <c r="E220" s="30" t="b">
        <f aca="false">FALSE()</f>
        <v>0</v>
      </c>
      <c r="F220" s="30" t="b">
        <f aca="false">FALSE()</f>
        <v>0</v>
      </c>
      <c r="G220" s="30" t="b">
        <f aca="false">FALSE()</f>
        <v>0</v>
      </c>
      <c r="H220" s="30" t="b">
        <f aca="false">FALSE()</f>
        <v>0</v>
      </c>
      <c r="I220" s="30" t="b">
        <f aca="false">FALSE()</f>
        <v>0</v>
      </c>
      <c r="J220" s="30" t="b">
        <f aca="false">FALSE()</f>
        <v>0</v>
      </c>
      <c r="K220" s="30" t="b">
        <f aca="false">FALSE()</f>
        <v>0</v>
      </c>
      <c r="L220" s="30" t="b">
        <f aca="false">FALSE()</f>
        <v>0</v>
      </c>
      <c r="M220" s="32" t="n">
        <f aca="false">COUNTIF(B220:F220,TRUE())</f>
        <v>0</v>
      </c>
      <c r="N220" s="32" t="n">
        <f aca="false">COUNTIF(G220:J220,TRUE())</f>
        <v>0</v>
      </c>
      <c r="O220" s="32" t="n">
        <f aca="false">COUNTIF(K220:L220,TRUE())</f>
        <v>0</v>
      </c>
      <c r="P220" s="33" t="n">
        <v>0</v>
      </c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customFormat="false" ht="21.75" hidden="false" customHeight="true" outlineLevel="0" collapsed="false">
      <c r="A221" s="29" t="s">
        <v>265</v>
      </c>
      <c r="B221" s="30" t="b">
        <f aca="false">FALSE()</f>
        <v>0</v>
      </c>
      <c r="C221" s="30" t="b">
        <f aca="false">FALSE()</f>
        <v>0</v>
      </c>
      <c r="D221" s="30" t="b">
        <f aca="false">FALSE()</f>
        <v>0</v>
      </c>
      <c r="E221" s="30" t="b">
        <f aca="false">FALSE()</f>
        <v>0</v>
      </c>
      <c r="F221" s="30" t="b">
        <f aca="false">FALSE()</f>
        <v>0</v>
      </c>
      <c r="G221" s="30" t="b">
        <f aca="false">FALSE()</f>
        <v>0</v>
      </c>
      <c r="H221" s="30" t="b">
        <f aca="false">FALSE()</f>
        <v>0</v>
      </c>
      <c r="I221" s="30" t="b">
        <f aca="false">FALSE()</f>
        <v>0</v>
      </c>
      <c r="J221" s="30" t="b">
        <f aca="false">FALSE()</f>
        <v>0</v>
      </c>
      <c r="K221" s="30" t="b">
        <f aca="false">FALSE()</f>
        <v>0</v>
      </c>
      <c r="L221" s="30" t="b">
        <f aca="false">FALSE()</f>
        <v>0</v>
      </c>
      <c r="M221" s="32" t="n">
        <f aca="false">COUNTIF(B221:F221,TRUE())</f>
        <v>0</v>
      </c>
      <c r="N221" s="32" t="n">
        <f aca="false">COUNTIF(G221:J221,TRUE())</f>
        <v>0</v>
      </c>
      <c r="O221" s="32" t="n">
        <f aca="false">COUNTIF(K221:L221,TRUE())</f>
        <v>0</v>
      </c>
      <c r="P221" s="33" t="n">
        <v>0</v>
      </c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customFormat="false" ht="21.75" hidden="false" customHeight="true" outlineLevel="0" collapsed="false">
      <c r="A222" s="29" t="s">
        <v>266</v>
      </c>
      <c r="B222" s="30" t="b">
        <f aca="false">FALSE()</f>
        <v>0</v>
      </c>
      <c r="C222" s="30" t="b">
        <f aca="false">FALSE()</f>
        <v>0</v>
      </c>
      <c r="D222" s="30" t="b">
        <f aca="false">FALSE()</f>
        <v>0</v>
      </c>
      <c r="E222" s="30" t="b">
        <f aca="false">FALSE()</f>
        <v>0</v>
      </c>
      <c r="F222" s="30" t="b">
        <f aca="false">FALSE()</f>
        <v>0</v>
      </c>
      <c r="G222" s="30" t="b">
        <f aca="false">FALSE()</f>
        <v>0</v>
      </c>
      <c r="H222" s="30" t="b">
        <f aca="false">FALSE()</f>
        <v>0</v>
      </c>
      <c r="I222" s="30" t="b">
        <f aca="false">FALSE()</f>
        <v>0</v>
      </c>
      <c r="J222" s="30" t="b">
        <f aca="false">FALSE()</f>
        <v>0</v>
      </c>
      <c r="K222" s="30" t="b">
        <f aca="false">FALSE()</f>
        <v>0</v>
      </c>
      <c r="L222" s="30" t="b">
        <f aca="false">FALSE()</f>
        <v>0</v>
      </c>
      <c r="M222" s="32" t="n">
        <f aca="false">COUNTIF(B222:F222,TRUE())</f>
        <v>0</v>
      </c>
      <c r="N222" s="32" t="n">
        <f aca="false">COUNTIF(G222:J222,TRUE())</f>
        <v>0</v>
      </c>
      <c r="O222" s="32" t="n">
        <f aca="false">COUNTIF(K222:L222,TRUE())</f>
        <v>0</v>
      </c>
      <c r="P222" s="33" t="n">
        <v>0</v>
      </c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customFormat="false" ht="21.75" hidden="false" customHeight="true" outlineLevel="0" collapsed="false">
      <c r="A223" s="29" t="s">
        <v>267</v>
      </c>
      <c r="B223" s="30" t="b">
        <f aca="false">FALSE()</f>
        <v>0</v>
      </c>
      <c r="C223" s="30" t="b">
        <f aca="false">FALSE()</f>
        <v>0</v>
      </c>
      <c r="D223" s="30" t="b">
        <f aca="false">FALSE()</f>
        <v>0</v>
      </c>
      <c r="E223" s="30" t="b">
        <f aca="false">FALSE()</f>
        <v>0</v>
      </c>
      <c r="F223" s="30" t="b">
        <f aca="false">FALSE()</f>
        <v>0</v>
      </c>
      <c r="G223" s="30" t="b">
        <f aca="false">FALSE()</f>
        <v>0</v>
      </c>
      <c r="H223" s="30" t="b">
        <f aca="false">FALSE()</f>
        <v>0</v>
      </c>
      <c r="I223" s="30" t="b">
        <f aca="false">FALSE()</f>
        <v>0</v>
      </c>
      <c r="J223" s="30" t="b">
        <f aca="false">FALSE()</f>
        <v>0</v>
      </c>
      <c r="K223" s="30" t="b">
        <f aca="false">FALSE()</f>
        <v>0</v>
      </c>
      <c r="L223" s="30" t="b">
        <f aca="false">FALSE()</f>
        <v>0</v>
      </c>
      <c r="M223" s="32" t="n">
        <f aca="false">COUNTIF(B223:F223,TRUE())</f>
        <v>0</v>
      </c>
      <c r="N223" s="32" t="n">
        <f aca="false">COUNTIF(G223:J223,TRUE())</f>
        <v>0</v>
      </c>
      <c r="O223" s="32" t="n">
        <f aca="false">COUNTIF(K223:L223,TRUE())</f>
        <v>0</v>
      </c>
      <c r="P223" s="33" t="n">
        <v>0</v>
      </c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customFormat="false" ht="21.75" hidden="false" customHeight="true" outlineLevel="0" collapsed="false">
      <c r="A224" s="29" t="s">
        <v>268</v>
      </c>
      <c r="B224" s="30" t="b">
        <f aca="false">FALSE()</f>
        <v>0</v>
      </c>
      <c r="C224" s="30" t="b">
        <f aca="false">FALSE()</f>
        <v>0</v>
      </c>
      <c r="D224" s="30" t="b">
        <f aca="false">FALSE()</f>
        <v>0</v>
      </c>
      <c r="E224" s="30" t="b">
        <f aca="false">FALSE()</f>
        <v>0</v>
      </c>
      <c r="F224" s="30" t="b">
        <f aca="false">FALSE()</f>
        <v>0</v>
      </c>
      <c r="G224" s="30" t="b">
        <f aca="false">FALSE()</f>
        <v>0</v>
      </c>
      <c r="H224" s="30" t="b">
        <f aca="false">FALSE()</f>
        <v>0</v>
      </c>
      <c r="I224" s="30" t="b">
        <f aca="false">FALSE()</f>
        <v>0</v>
      </c>
      <c r="J224" s="30" t="b">
        <f aca="false">FALSE()</f>
        <v>0</v>
      </c>
      <c r="K224" s="30" t="b">
        <f aca="false">FALSE()</f>
        <v>0</v>
      </c>
      <c r="L224" s="30" t="b">
        <f aca="false">FALSE()</f>
        <v>0</v>
      </c>
      <c r="M224" s="32" t="n">
        <f aca="false">COUNTIF(B224:F224,TRUE())</f>
        <v>0</v>
      </c>
      <c r="N224" s="32" t="n">
        <f aca="false">COUNTIF(G224:J224,TRUE())</f>
        <v>0</v>
      </c>
      <c r="O224" s="32" t="n">
        <f aca="false">COUNTIF(K224:L224,TRUE())</f>
        <v>0</v>
      </c>
      <c r="P224" s="33" t="n">
        <v>0</v>
      </c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customFormat="false" ht="21.75" hidden="false" customHeight="true" outlineLevel="0" collapsed="false">
      <c r="A225" s="29" t="s">
        <v>269</v>
      </c>
      <c r="B225" s="30" t="b">
        <f aca="false">FALSE()</f>
        <v>0</v>
      </c>
      <c r="C225" s="30" t="b">
        <f aca="false">FALSE()</f>
        <v>0</v>
      </c>
      <c r="D225" s="30" t="b">
        <f aca="false">FALSE()</f>
        <v>0</v>
      </c>
      <c r="E225" s="30" t="b">
        <f aca="false">FALSE()</f>
        <v>0</v>
      </c>
      <c r="F225" s="30" t="b">
        <f aca="false">FALSE()</f>
        <v>0</v>
      </c>
      <c r="G225" s="30" t="b">
        <f aca="false">FALSE()</f>
        <v>0</v>
      </c>
      <c r="H225" s="30" t="b">
        <f aca="false">FALSE()</f>
        <v>0</v>
      </c>
      <c r="I225" s="30" t="b">
        <f aca="false">FALSE()</f>
        <v>0</v>
      </c>
      <c r="J225" s="30" t="b">
        <f aca="false">FALSE()</f>
        <v>0</v>
      </c>
      <c r="K225" s="30" t="b">
        <f aca="false">FALSE()</f>
        <v>0</v>
      </c>
      <c r="L225" s="30" t="b">
        <f aca="false">FALSE()</f>
        <v>0</v>
      </c>
      <c r="M225" s="32" t="n">
        <f aca="false">COUNTIF(B225:F225,TRUE())</f>
        <v>0</v>
      </c>
      <c r="N225" s="32" t="n">
        <f aca="false">COUNTIF(G225:J225,TRUE())</f>
        <v>0</v>
      </c>
      <c r="O225" s="32" t="n">
        <f aca="false">COUNTIF(K225:L225,TRUE())</f>
        <v>0</v>
      </c>
      <c r="P225" s="33" t="n">
        <v>0</v>
      </c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customFormat="false" ht="21.75" hidden="false" customHeight="true" outlineLevel="0" collapsed="false">
      <c r="A226" s="29" t="s">
        <v>270</v>
      </c>
      <c r="B226" s="30" t="b">
        <f aca="false">FALSE()</f>
        <v>0</v>
      </c>
      <c r="C226" s="30" t="b">
        <f aca="false">FALSE()</f>
        <v>0</v>
      </c>
      <c r="D226" s="30" t="b">
        <f aca="false">FALSE()</f>
        <v>0</v>
      </c>
      <c r="E226" s="30" t="b">
        <f aca="false">FALSE()</f>
        <v>0</v>
      </c>
      <c r="F226" s="30" t="b">
        <f aca="false">FALSE()</f>
        <v>0</v>
      </c>
      <c r="G226" s="30" t="b">
        <f aca="false">FALSE()</f>
        <v>0</v>
      </c>
      <c r="H226" s="30" t="b">
        <f aca="false">FALSE()</f>
        <v>0</v>
      </c>
      <c r="I226" s="30" t="b">
        <f aca="false">FALSE()</f>
        <v>0</v>
      </c>
      <c r="J226" s="30" t="b">
        <f aca="false">FALSE()</f>
        <v>0</v>
      </c>
      <c r="K226" s="30" t="b">
        <f aca="false">FALSE()</f>
        <v>0</v>
      </c>
      <c r="L226" s="30" t="b">
        <f aca="false">FALSE()</f>
        <v>0</v>
      </c>
      <c r="M226" s="32" t="n">
        <f aca="false">COUNTIF(B226:F226,TRUE())</f>
        <v>0</v>
      </c>
      <c r="N226" s="32" t="n">
        <f aca="false">COUNTIF(G226:J226,TRUE())</f>
        <v>0</v>
      </c>
      <c r="O226" s="32" t="n">
        <f aca="false">COUNTIF(K226:L226,TRUE())</f>
        <v>0</v>
      </c>
      <c r="P226" s="33" t="n">
        <v>0</v>
      </c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customFormat="false" ht="21.75" hidden="false" customHeight="true" outlineLevel="0" collapsed="false">
      <c r="A227" s="29" t="s">
        <v>271</v>
      </c>
      <c r="B227" s="30" t="b">
        <f aca="false">FALSE()</f>
        <v>0</v>
      </c>
      <c r="C227" s="30" t="b">
        <f aca="false">FALSE()</f>
        <v>0</v>
      </c>
      <c r="D227" s="30" t="b">
        <f aca="false">FALSE()</f>
        <v>0</v>
      </c>
      <c r="E227" s="30" t="b">
        <f aca="false">FALSE()</f>
        <v>0</v>
      </c>
      <c r="F227" s="30" t="b">
        <f aca="false">FALSE()</f>
        <v>0</v>
      </c>
      <c r="G227" s="30" t="b">
        <f aca="false">FALSE()</f>
        <v>0</v>
      </c>
      <c r="H227" s="30" t="b">
        <f aca="false">FALSE()</f>
        <v>0</v>
      </c>
      <c r="I227" s="30" t="b">
        <f aca="false">FALSE()</f>
        <v>0</v>
      </c>
      <c r="J227" s="30" t="b">
        <f aca="false">FALSE()</f>
        <v>0</v>
      </c>
      <c r="K227" s="30" t="b">
        <f aca="false">FALSE()</f>
        <v>0</v>
      </c>
      <c r="L227" s="30" t="b">
        <f aca="false">FALSE()</f>
        <v>0</v>
      </c>
      <c r="M227" s="32" t="n">
        <f aca="false">COUNTIF(B227:F227,TRUE())</f>
        <v>0</v>
      </c>
      <c r="N227" s="32" t="n">
        <f aca="false">COUNTIF(G227:J227,TRUE())</f>
        <v>0</v>
      </c>
      <c r="O227" s="32" t="n">
        <f aca="false">COUNTIF(K227:L227,TRUE())</f>
        <v>0</v>
      </c>
      <c r="P227" s="33" t="n">
        <v>0</v>
      </c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customFormat="false" ht="21.75" hidden="false" customHeight="true" outlineLevel="0" collapsed="false">
      <c r="A228" s="29" t="s">
        <v>272</v>
      </c>
      <c r="B228" s="30" t="b">
        <f aca="false">FALSE()</f>
        <v>0</v>
      </c>
      <c r="C228" s="30" t="b">
        <f aca="false">FALSE()</f>
        <v>0</v>
      </c>
      <c r="D228" s="30" t="b">
        <f aca="false">FALSE()</f>
        <v>0</v>
      </c>
      <c r="E228" s="30" t="b">
        <f aca="false">FALSE()</f>
        <v>0</v>
      </c>
      <c r="F228" s="30" t="b">
        <f aca="false">FALSE()</f>
        <v>0</v>
      </c>
      <c r="G228" s="30" t="b">
        <f aca="false">FALSE()</f>
        <v>0</v>
      </c>
      <c r="H228" s="30" t="b">
        <f aca="false">FALSE()</f>
        <v>0</v>
      </c>
      <c r="I228" s="30" t="b">
        <f aca="false">FALSE()</f>
        <v>0</v>
      </c>
      <c r="J228" s="30" t="b">
        <f aca="false">FALSE()</f>
        <v>0</v>
      </c>
      <c r="K228" s="30" t="b">
        <f aca="false">FALSE()</f>
        <v>0</v>
      </c>
      <c r="L228" s="30" t="b">
        <f aca="false">FALSE()</f>
        <v>0</v>
      </c>
      <c r="M228" s="32" t="n">
        <f aca="false">COUNTIF(B228:F228,TRUE())</f>
        <v>0</v>
      </c>
      <c r="N228" s="32" t="n">
        <f aca="false">COUNTIF(G228:J228,TRUE())</f>
        <v>0</v>
      </c>
      <c r="O228" s="32" t="n">
        <f aca="false">COUNTIF(K228:L228,TRUE())</f>
        <v>0</v>
      </c>
      <c r="P228" s="33" t="n">
        <v>0</v>
      </c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customFormat="false" ht="21.75" hidden="false" customHeight="true" outlineLevel="0" collapsed="false">
      <c r="A229" s="29" t="s">
        <v>273</v>
      </c>
      <c r="B229" s="30" t="b">
        <f aca="false">FALSE()</f>
        <v>0</v>
      </c>
      <c r="C229" s="30" t="b">
        <f aca="false">FALSE()</f>
        <v>0</v>
      </c>
      <c r="D229" s="30" t="b">
        <f aca="false">FALSE()</f>
        <v>0</v>
      </c>
      <c r="E229" s="30" t="b">
        <f aca="false">FALSE()</f>
        <v>0</v>
      </c>
      <c r="F229" s="30" t="b">
        <f aca="false">FALSE()</f>
        <v>0</v>
      </c>
      <c r="G229" s="30" t="b">
        <f aca="false">FALSE()</f>
        <v>0</v>
      </c>
      <c r="H229" s="30" t="b">
        <f aca="false">FALSE()</f>
        <v>0</v>
      </c>
      <c r="I229" s="30" t="b">
        <f aca="false">FALSE()</f>
        <v>0</v>
      </c>
      <c r="J229" s="30" t="b">
        <f aca="false">FALSE()</f>
        <v>0</v>
      </c>
      <c r="K229" s="30" t="b">
        <f aca="false">FALSE()</f>
        <v>0</v>
      </c>
      <c r="L229" s="30" t="b">
        <f aca="false">FALSE()</f>
        <v>0</v>
      </c>
      <c r="M229" s="32" t="n">
        <f aca="false">COUNTIF(B229:F229,TRUE())</f>
        <v>0</v>
      </c>
      <c r="N229" s="32" t="n">
        <f aca="false">COUNTIF(G229:J229,TRUE())</f>
        <v>0</v>
      </c>
      <c r="O229" s="32" t="n">
        <f aca="false">COUNTIF(K229:L229,TRUE())</f>
        <v>0</v>
      </c>
      <c r="P229" s="33" t="n">
        <v>0</v>
      </c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customFormat="false" ht="21.75" hidden="false" customHeight="true" outlineLevel="0" collapsed="false">
      <c r="A230" s="29" t="s">
        <v>274</v>
      </c>
      <c r="B230" s="30" t="b">
        <f aca="false">FALSE()</f>
        <v>0</v>
      </c>
      <c r="C230" s="30" t="b">
        <f aca="false">FALSE()</f>
        <v>0</v>
      </c>
      <c r="D230" s="30" t="b">
        <f aca="false">FALSE()</f>
        <v>0</v>
      </c>
      <c r="E230" s="30" t="b">
        <f aca="false">FALSE()</f>
        <v>0</v>
      </c>
      <c r="F230" s="30" t="b">
        <f aca="false">FALSE()</f>
        <v>0</v>
      </c>
      <c r="G230" s="30" t="b">
        <f aca="false">FALSE()</f>
        <v>0</v>
      </c>
      <c r="H230" s="30" t="b">
        <f aca="false">FALSE()</f>
        <v>0</v>
      </c>
      <c r="I230" s="30" t="b">
        <f aca="false">FALSE()</f>
        <v>0</v>
      </c>
      <c r="J230" s="30" t="b">
        <f aca="false">FALSE()</f>
        <v>0</v>
      </c>
      <c r="K230" s="30" t="b">
        <f aca="false">FALSE()</f>
        <v>0</v>
      </c>
      <c r="L230" s="30" t="b">
        <f aca="false">FALSE()</f>
        <v>0</v>
      </c>
      <c r="M230" s="32" t="n">
        <f aca="false">COUNTIF(B230:F230,TRUE())</f>
        <v>0</v>
      </c>
      <c r="N230" s="32" t="n">
        <f aca="false">COUNTIF(G230:J230,TRUE())</f>
        <v>0</v>
      </c>
      <c r="O230" s="32" t="n">
        <f aca="false">COUNTIF(K230:L230,TRUE())</f>
        <v>0</v>
      </c>
      <c r="P230" s="33" t="n">
        <v>0</v>
      </c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customFormat="false" ht="21.75" hidden="false" customHeight="true" outlineLevel="0" collapsed="false">
      <c r="A231" s="29" t="s">
        <v>275</v>
      </c>
      <c r="B231" s="30" t="b">
        <f aca="false">FALSE()</f>
        <v>0</v>
      </c>
      <c r="C231" s="30" t="b">
        <f aca="false">FALSE()</f>
        <v>0</v>
      </c>
      <c r="D231" s="30" t="b">
        <f aca="false">FALSE()</f>
        <v>0</v>
      </c>
      <c r="E231" s="30" t="b">
        <f aca="false">FALSE()</f>
        <v>0</v>
      </c>
      <c r="F231" s="30" t="b">
        <f aca="false">FALSE()</f>
        <v>0</v>
      </c>
      <c r="G231" s="30" t="b">
        <f aca="false">FALSE()</f>
        <v>0</v>
      </c>
      <c r="H231" s="30" t="b">
        <f aca="false">FALSE()</f>
        <v>0</v>
      </c>
      <c r="I231" s="30" t="b">
        <f aca="false">FALSE()</f>
        <v>0</v>
      </c>
      <c r="J231" s="30" t="b">
        <f aca="false">FALSE()</f>
        <v>0</v>
      </c>
      <c r="K231" s="30" t="b">
        <f aca="false">FALSE()</f>
        <v>0</v>
      </c>
      <c r="L231" s="30" t="b">
        <f aca="false">FALSE()</f>
        <v>0</v>
      </c>
      <c r="M231" s="32" t="n">
        <f aca="false">COUNTIF(B231:F231,TRUE())</f>
        <v>0</v>
      </c>
      <c r="N231" s="32" t="n">
        <f aca="false">COUNTIF(G231:J231,TRUE())</f>
        <v>0</v>
      </c>
      <c r="O231" s="32" t="n">
        <f aca="false">COUNTIF(K231:L231,TRUE())</f>
        <v>0</v>
      </c>
      <c r="P231" s="33" t="n">
        <v>0</v>
      </c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customFormat="false" ht="21.75" hidden="false" customHeight="true" outlineLevel="0" collapsed="false">
      <c r="A232" s="29" t="s">
        <v>276</v>
      </c>
      <c r="B232" s="30" t="b">
        <f aca="false">FALSE()</f>
        <v>0</v>
      </c>
      <c r="C232" s="30" t="b">
        <f aca="false">FALSE()</f>
        <v>0</v>
      </c>
      <c r="D232" s="30" t="b">
        <f aca="false">FALSE()</f>
        <v>0</v>
      </c>
      <c r="E232" s="30" t="b">
        <f aca="false">FALSE()</f>
        <v>0</v>
      </c>
      <c r="F232" s="30" t="b">
        <f aca="false">FALSE()</f>
        <v>0</v>
      </c>
      <c r="G232" s="30" t="b">
        <f aca="false">FALSE()</f>
        <v>0</v>
      </c>
      <c r="H232" s="30" t="b">
        <f aca="false">FALSE()</f>
        <v>0</v>
      </c>
      <c r="I232" s="30" t="b">
        <f aca="false">FALSE()</f>
        <v>0</v>
      </c>
      <c r="J232" s="30" t="b">
        <f aca="false">FALSE()</f>
        <v>0</v>
      </c>
      <c r="K232" s="30" t="b">
        <f aca="false">FALSE()</f>
        <v>0</v>
      </c>
      <c r="L232" s="30" t="b">
        <f aca="false">FALSE()</f>
        <v>0</v>
      </c>
      <c r="M232" s="32" t="n">
        <f aca="false">COUNTIF(B232:F232,TRUE())</f>
        <v>0</v>
      </c>
      <c r="N232" s="32" t="n">
        <f aca="false">COUNTIF(G232:J232,TRUE())</f>
        <v>0</v>
      </c>
      <c r="O232" s="32" t="n">
        <f aca="false">COUNTIF(K232:L232,TRUE())</f>
        <v>0</v>
      </c>
      <c r="P232" s="33" t="n">
        <v>0</v>
      </c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customFormat="false" ht="21.75" hidden="false" customHeight="true" outlineLevel="0" collapsed="false">
      <c r="A233" s="29" t="s">
        <v>277</v>
      </c>
      <c r="B233" s="30" t="b">
        <f aca="false">FALSE()</f>
        <v>0</v>
      </c>
      <c r="C233" s="30" t="b">
        <f aca="false">FALSE()</f>
        <v>0</v>
      </c>
      <c r="D233" s="30" t="b">
        <f aca="false">FALSE()</f>
        <v>0</v>
      </c>
      <c r="E233" s="30" t="b">
        <f aca="false">FALSE()</f>
        <v>0</v>
      </c>
      <c r="F233" s="30" t="b">
        <f aca="false">FALSE()</f>
        <v>0</v>
      </c>
      <c r="G233" s="30" t="b">
        <f aca="false">FALSE()</f>
        <v>0</v>
      </c>
      <c r="H233" s="30" t="b">
        <f aca="false">FALSE()</f>
        <v>0</v>
      </c>
      <c r="I233" s="30" t="b">
        <f aca="false">FALSE()</f>
        <v>0</v>
      </c>
      <c r="J233" s="30" t="b">
        <f aca="false">FALSE()</f>
        <v>0</v>
      </c>
      <c r="K233" s="30" t="b">
        <f aca="false">FALSE()</f>
        <v>0</v>
      </c>
      <c r="L233" s="30" t="b">
        <f aca="false">FALSE()</f>
        <v>0</v>
      </c>
      <c r="M233" s="32" t="n">
        <f aca="false">COUNTIF(B233:F233,TRUE())</f>
        <v>0</v>
      </c>
      <c r="N233" s="32" t="n">
        <f aca="false">COUNTIF(G233:J233,TRUE())</f>
        <v>0</v>
      </c>
      <c r="O233" s="32" t="n">
        <f aca="false">COUNTIF(K233:L233,TRUE())</f>
        <v>0</v>
      </c>
      <c r="P233" s="33" t="n">
        <v>0</v>
      </c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customFormat="false" ht="21.75" hidden="false" customHeight="true" outlineLevel="0" collapsed="false">
      <c r="A234" s="29" t="s">
        <v>278</v>
      </c>
      <c r="B234" s="30" t="b">
        <f aca="false">FALSE()</f>
        <v>0</v>
      </c>
      <c r="C234" s="30" t="b">
        <f aca="false">FALSE()</f>
        <v>0</v>
      </c>
      <c r="D234" s="30" t="b">
        <f aca="false">FALSE()</f>
        <v>0</v>
      </c>
      <c r="E234" s="30" t="b">
        <f aca="false">FALSE()</f>
        <v>0</v>
      </c>
      <c r="F234" s="30" t="b">
        <f aca="false">FALSE()</f>
        <v>0</v>
      </c>
      <c r="G234" s="30" t="b">
        <f aca="false">FALSE()</f>
        <v>0</v>
      </c>
      <c r="H234" s="30" t="b">
        <f aca="false">FALSE()</f>
        <v>0</v>
      </c>
      <c r="I234" s="30" t="b">
        <f aca="false">FALSE()</f>
        <v>0</v>
      </c>
      <c r="J234" s="30" t="b">
        <f aca="false">FALSE()</f>
        <v>0</v>
      </c>
      <c r="K234" s="30" t="b">
        <f aca="false">FALSE()</f>
        <v>0</v>
      </c>
      <c r="L234" s="30" t="b">
        <f aca="false">FALSE()</f>
        <v>0</v>
      </c>
      <c r="M234" s="32" t="n">
        <f aca="false">COUNTIF(B234:F234,TRUE())</f>
        <v>0</v>
      </c>
      <c r="N234" s="32" t="n">
        <f aca="false">COUNTIF(G234:J234,TRUE())</f>
        <v>0</v>
      </c>
      <c r="O234" s="32" t="n">
        <f aca="false">COUNTIF(K234:L234,TRUE())</f>
        <v>0</v>
      </c>
      <c r="P234" s="33" t="n">
        <v>0</v>
      </c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customFormat="false" ht="21.75" hidden="false" customHeight="true" outlineLevel="0" collapsed="false">
      <c r="A235" s="29" t="s">
        <v>279</v>
      </c>
      <c r="B235" s="30" t="b">
        <f aca="false">FALSE()</f>
        <v>0</v>
      </c>
      <c r="C235" s="30" t="b">
        <f aca="false">FALSE()</f>
        <v>0</v>
      </c>
      <c r="D235" s="30" t="b">
        <f aca="false">FALSE()</f>
        <v>0</v>
      </c>
      <c r="E235" s="30" t="b">
        <f aca="false">FALSE()</f>
        <v>0</v>
      </c>
      <c r="F235" s="30" t="b">
        <f aca="false">FALSE()</f>
        <v>0</v>
      </c>
      <c r="G235" s="30" t="b">
        <f aca="false">FALSE()</f>
        <v>0</v>
      </c>
      <c r="H235" s="30" t="b">
        <f aca="false">FALSE()</f>
        <v>0</v>
      </c>
      <c r="I235" s="30" t="b">
        <f aca="false">FALSE()</f>
        <v>0</v>
      </c>
      <c r="J235" s="30" t="b">
        <f aca="false">FALSE()</f>
        <v>0</v>
      </c>
      <c r="K235" s="30" t="b">
        <f aca="false">FALSE()</f>
        <v>0</v>
      </c>
      <c r="L235" s="30" t="b">
        <f aca="false">FALSE()</f>
        <v>0</v>
      </c>
      <c r="M235" s="32" t="n">
        <f aca="false">COUNTIF(B235:F235,TRUE())</f>
        <v>0</v>
      </c>
      <c r="N235" s="32" t="n">
        <f aca="false">COUNTIF(G235:J235,TRUE())</f>
        <v>0</v>
      </c>
      <c r="O235" s="32" t="n">
        <f aca="false">COUNTIF(K235:L235,TRUE())</f>
        <v>0</v>
      </c>
      <c r="P235" s="33" t="n">
        <v>0</v>
      </c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customFormat="false" ht="21.75" hidden="false" customHeight="true" outlineLevel="0" collapsed="false">
      <c r="A236" s="29" t="s">
        <v>280</v>
      </c>
      <c r="B236" s="30" t="b">
        <f aca="false">FALSE()</f>
        <v>0</v>
      </c>
      <c r="C236" s="30" t="b">
        <f aca="false">FALSE()</f>
        <v>0</v>
      </c>
      <c r="D236" s="30" t="b">
        <f aca="false">FALSE()</f>
        <v>0</v>
      </c>
      <c r="E236" s="30" t="b">
        <f aca="false">FALSE()</f>
        <v>0</v>
      </c>
      <c r="F236" s="30" t="b">
        <f aca="false">FALSE()</f>
        <v>0</v>
      </c>
      <c r="G236" s="30" t="b">
        <f aca="false">FALSE()</f>
        <v>0</v>
      </c>
      <c r="H236" s="30" t="b">
        <f aca="false">FALSE()</f>
        <v>0</v>
      </c>
      <c r="I236" s="30" t="b">
        <f aca="false">FALSE()</f>
        <v>0</v>
      </c>
      <c r="J236" s="30" t="b">
        <f aca="false">FALSE()</f>
        <v>0</v>
      </c>
      <c r="K236" s="30" t="b">
        <f aca="false">FALSE()</f>
        <v>0</v>
      </c>
      <c r="L236" s="30" t="b">
        <f aca="false">FALSE()</f>
        <v>0</v>
      </c>
      <c r="M236" s="32" t="n">
        <f aca="false">COUNTIF(B236:F236,TRUE())</f>
        <v>0</v>
      </c>
      <c r="N236" s="32" t="n">
        <f aca="false">COUNTIF(G236:J236,TRUE())</f>
        <v>0</v>
      </c>
      <c r="O236" s="32" t="n">
        <f aca="false">COUNTIF(K236:L236,TRUE())</f>
        <v>0</v>
      </c>
      <c r="P236" s="33" t="n">
        <v>0</v>
      </c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customFormat="false" ht="21.75" hidden="false" customHeight="true" outlineLevel="0" collapsed="false">
      <c r="A237" s="29" t="s">
        <v>281</v>
      </c>
      <c r="B237" s="30" t="b">
        <f aca="false">FALSE()</f>
        <v>0</v>
      </c>
      <c r="C237" s="30" t="b">
        <f aca="false">FALSE()</f>
        <v>0</v>
      </c>
      <c r="D237" s="30" t="b">
        <f aca="false">FALSE()</f>
        <v>0</v>
      </c>
      <c r="E237" s="30" t="b">
        <f aca="false">FALSE()</f>
        <v>0</v>
      </c>
      <c r="F237" s="30" t="b">
        <f aca="false">FALSE()</f>
        <v>0</v>
      </c>
      <c r="G237" s="30" t="b">
        <f aca="false">FALSE()</f>
        <v>0</v>
      </c>
      <c r="H237" s="30" t="b">
        <f aca="false">FALSE()</f>
        <v>0</v>
      </c>
      <c r="I237" s="30" t="b">
        <f aca="false">FALSE()</f>
        <v>0</v>
      </c>
      <c r="J237" s="30" t="b">
        <f aca="false">FALSE()</f>
        <v>0</v>
      </c>
      <c r="K237" s="30" t="b">
        <f aca="false">FALSE()</f>
        <v>0</v>
      </c>
      <c r="L237" s="30" t="b">
        <f aca="false">FALSE()</f>
        <v>0</v>
      </c>
      <c r="M237" s="32" t="n">
        <f aca="false">COUNTIF(B237:F237,TRUE())</f>
        <v>0</v>
      </c>
      <c r="N237" s="32" t="n">
        <f aca="false">COUNTIF(G237:J237,TRUE())</f>
        <v>0</v>
      </c>
      <c r="O237" s="32" t="n">
        <f aca="false">COUNTIF(K237:L237,TRUE())</f>
        <v>0</v>
      </c>
      <c r="P237" s="33" t="n">
        <v>0</v>
      </c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customFormat="false" ht="21.75" hidden="false" customHeight="true" outlineLevel="0" collapsed="false">
      <c r="A238" s="29" t="s">
        <v>282</v>
      </c>
      <c r="B238" s="30" t="b">
        <f aca="false">FALSE()</f>
        <v>0</v>
      </c>
      <c r="C238" s="30" t="b">
        <f aca="false">FALSE()</f>
        <v>0</v>
      </c>
      <c r="D238" s="30" t="b">
        <f aca="false">FALSE()</f>
        <v>0</v>
      </c>
      <c r="E238" s="30" t="b">
        <f aca="false">FALSE()</f>
        <v>0</v>
      </c>
      <c r="F238" s="30" t="b">
        <f aca="false">FALSE()</f>
        <v>0</v>
      </c>
      <c r="G238" s="30" t="b">
        <f aca="false">FALSE()</f>
        <v>0</v>
      </c>
      <c r="H238" s="30" t="b">
        <f aca="false">FALSE()</f>
        <v>0</v>
      </c>
      <c r="I238" s="30" t="b">
        <f aca="false">FALSE()</f>
        <v>0</v>
      </c>
      <c r="J238" s="30" t="b">
        <f aca="false">FALSE()</f>
        <v>0</v>
      </c>
      <c r="K238" s="30" t="b">
        <f aca="false">FALSE()</f>
        <v>0</v>
      </c>
      <c r="L238" s="30" t="b">
        <f aca="false">FALSE()</f>
        <v>0</v>
      </c>
      <c r="M238" s="32" t="n">
        <f aca="false">COUNTIF(B238:F238,TRUE())</f>
        <v>0</v>
      </c>
      <c r="N238" s="32" t="n">
        <f aca="false">COUNTIF(G238:J238,TRUE())</f>
        <v>0</v>
      </c>
      <c r="O238" s="32" t="n">
        <f aca="false">COUNTIF(K238:L238,TRUE())</f>
        <v>0</v>
      </c>
      <c r="P238" s="33" t="n">
        <v>0</v>
      </c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customFormat="false" ht="21.75" hidden="false" customHeight="true" outlineLevel="0" collapsed="false">
      <c r="A239" s="29" t="s">
        <v>283</v>
      </c>
      <c r="B239" s="30" t="b">
        <f aca="false">FALSE()</f>
        <v>0</v>
      </c>
      <c r="C239" s="30" t="b">
        <f aca="false">FALSE()</f>
        <v>0</v>
      </c>
      <c r="D239" s="30" t="b">
        <f aca="false">FALSE()</f>
        <v>0</v>
      </c>
      <c r="E239" s="30" t="b">
        <f aca="false">FALSE()</f>
        <v>0</v>
      </c>
      <c r="F239" s="30" t="b">
        <f aca="false">FALSE()</f>
        <v>0</v>
      </c>
      <c r="G239" s="30" t="b">
        <f aca="false">FALSE()</f>
        <v>0</v>
      </c>
      <c r="H239" s="30" t="b">
        <f aca="false">FALSE()</f>
        <v>0</v>
      </c>
      <c r="I239" s="30" t="b">
        <f aca="false">FALSE()</f>
        <v>0</v>
      </c>
      <c r="J239" s="30" t="b">
        <f aca="false">FALSE()</f>
        <v>0</v>
      </c>
      <c r="K239" s="30" t="b">
        <f aca="false">FALSE()</f>
        <v>0</v>
      </c>
      <c r="L239" s="30" t="b">
        <f aca="false">FALSE()</f>
        <v>0</v>
      </c>
      <c r="M239" s="32" t="n">
        <f aca="false">COUNTIF(B239:F239,TRUE())</f>
        <v>0</v>
      </c>
      <c r="N239" s="32" t="n">
        <f aca="false">COUNTIF(G239:J239,TRUE())</f>
        <v>0</v>
      </c>
      <c r="O239" s="32" t="n">
        <f aca="false">COUNTIF(K239:L239,TRUE())</f>
        <v>0</v>
      </c>
      <c r="P239" s="33" t="n">
        <v>0</v>
      </c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customFormat="false" ht="21.75" hidden="false" customHeight="true" outlineLevel="0" collapsed="false">
      <c r="A240" s="29" t="s">
        <v>284</v>
      </c>
      <c r="B240" s="30" t="b">
        <f aca="false">FALSE()</f>
        <v>0</v>
      </c>
      <c r="C240" s="30" t="b">
        <f aca="false">FALSE()</f>
        <v>0</v>
      </c>
      <c r="D240" s="30" t="b">
        <f aca="false">FALSE()</f>
        <v>0</v>
      </c>
      <c r="E240" s="30" t="b">
        <f aca="false">FALSE()</f>
        <v>0</v>
      </c>
      <c r="F240" s="30" t="b">
        <f aca="false">FALSE()</f>
        <v>0</v>
      </c>
      <c r="G240" s="30" t="b">
        <f aca="false">FALSE()</f>
        <v>0</v>
      </c>
      <c r="H240" s="30" t="b">
        <f aca="false">FALSE()</f>
        <v>0</v>
      </c>
      <c r="I240" s="30" t="b">
        <f aca="false">FALSE()</f>
        <v>0</v>
      </c>
      <c r="J240" s="30" t="b">
        <f aca="false">FALSE()</f>
        <v>0</v>
      </c>
      <c r="K240" s="30" t="b">
        <f aca="false">FALSE()</f>
        <v>0</v>
      </c>
      <c r="L240" s="30" t="b">
        <f aca="false">FALSE()</f>
        <v>0</v>
      </c>
      <c r="M240" s="32" t="n">
        <f aca="false">COUNTIF(B240:F240,TRUE())</f>
        <v>0</v>
      </c>
      <c r="N240" s="32" t="n">
        <f aca="false">COUNTIF(G240:J240,TRUE())</f>
        <v>0</v>
      </c>
      <c r="O240" s="32" t="n">
        <f aca="false">COUNTIF(K240:L240,TRUE())</f>
        <v>0</v>
      </c>
      <c r="P240" s="33" t="n">
        <v>0</v>
      </c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customFormat="false" ht="21.75" hidden="false" customHeight="true" outlineLevel="0" collapsed="false">
      <c r="A241" s="29" t="s">
        <v>285</v>
      </c>
      <c r="B241" s="30" t="b">
        <f aca="false">FALSE()</f>
        <v>0</v>
      </c>
      <c r="C241" s="30" t="b">
        <f aca="false">FALSE()</f>
        <v>0</v>
      </c>
      <c r="D241" s="30" t="b">
        <f aca="false">FALSE()</f>
        <v>0</v>
      </c>
      <c r="E241" s="30" t="b">
        <f aca="false">FALSE()</f>
        <v>0</v>
      </c>
      <c r="F241" s="30" t="b">
        <f aca="false">FALSE()</f>
        <v>0</v>
      </c>
      <c r="G241" s="30" t="b">
        <f aca="false">FALSE()</f>
        <v>0</v>
      </c>
      <c r="H241" s="30" t="b">
        <f aca="false">FALSE()</f>
        <v>0</v>
      </c>
      <c r="I241" s="30" t="b">
        <f aca="false">FALSE()</f>
        <v>0</v>
      </c>
      <c r="J241" s="30" t="b">
        <f aca="false">FALSE()</f>
        <v>0</v>
      </c>
      <c r="K241" s="30" t="b">
        <f aca="false">FALSE()</f>
        <v>0</v>
      </c>
      <c r="L241" s="30" t="b">
        <f aca="false">FALSE()</f>
        <v>0</v>
      </c>
      <c r="M241" s="32" t="n">
        <f aca="false">COUNTIF(B241:F241,TRUE())</f>
        <v>0</v>
      </c>
      <c r="N241" s="32" t="n">
        <f aca="false">COUNTIF(G241:J241,TRUE())</f>
        <v>0</v>
      </c>
      <c r="O241" s="32" t="n">
        <f aca="false">COUNTIF(K241:L241,TRUE())</f>
        <v>0</v>
      </c>
      <c r="P241" s="33" t="n">
        <v>0</v>
      </c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customFormat="false" ht="21.75" hidden="false" customHeight="true" outlineLevel="0" collapsed="false">
      <c r="A242" s="29" t="s">
        <v>286</v>
      </c>
      <c r="B242" s="30" t="b">
        <f aca="false">FALSE()</f>
        <v>0</v>
      </c>
      <c r="C242" s="30" t="b">
        <f aca="false">FALSE()</f>
        <v>0</v>
      </c>
      <c r="D242" s="30" t="b">
        <f aca="false">FALSE()</f>
        <v>0</v>
      </c>
      <c r="E242" s="30" t="b">
        <f aca="false">FALSE()</f>
        <v>0</v>
      </c>
      <c r="F242" s="30" t="b">
        <f aca="false">FALSE()</f>
        <v>0</v>
      </c>
      <c r="G242" s="30" t="b">
        <f aca="false">FALSE()</f>
        <v>0</v>
      </c>
      <c r="H242" s="30" t="b">
        <f aca="false">FALSE()</f>
        <v>0</v>
      </c>
      <c r="I242" s="30" t="b">
        <f aca="false">FALSE()</f>
        <v>0</v>
      </c>
      <c r="J242" s="30" t="b">
        <f aca="false">FALSE()</f>
        <v>0</v>
      </c>
      <c r="K242" s="30" t="b">
        <f aca="false">FALSE()</f>
        <v>0</v>
      </c>
      <c r="L242" s="30" t="b">
        <f aca="false">FALSE()</f>
        <v>0</v>
      </c>
      <c r="M242" s="32" t="n">
        <f aca="false">COUNTIF(B242:F242,TRUE())</f>
        <v>0</v>
      </c>
      <c r="N242" s="32" t="n">
        <f aca="false">COUNTIF(G242:J242,TRUE())</f>
        <v>0</v>
      </c>
      <c r="O242" s="32" t="n">
        <f aca="false">COUNTIF(K242:L242,TRUE())</f>
        <v>0</v>
      </c>
      <c r="P242" s="33" t="n">
        <v>0</v>
      </c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customFormat="false" ht="21.75" hidden="false" customHeight="true" outlineLevel="0" collapsed="false">
      <c r="A243" s="29" t="s">
        <v>287</v>
      </c>
      <c r="B243" s="30" t="b">
        <f aca="false">FALSE()</f>
        <v>0</v>
      </c>
      <c r="C243" s="30" t="b">
        <f aca="false">FALSE()</f>
        <v>0</v>
      </c>
      <c r="D243" s="30" t="b">
        <f aca="false">FALSE()</f>
        <v>0</v>
      </c>
      <c r="E243" s="30" t="b">
        <f aca="false">FALSE()</f>
        <v>0</v>
      </c>
      <c r="F243" s="30" t="b">
        <f aca="false">FALSE()</f>
        <v>0</v>
      </c>
      <c r="G243" s="30" t="b">
        <f aca="false">FALSE()</f>
        <v>0</v>
      </c>
      <c r="H243" s="30" t="b">
        <f aca="false">FALSE()</f>
        <v>0</v>
      </c>
      <c r="I243" s="30" t="b">
        <f aca="false">FALSE()</f>
        <v>0</v>
      </c>
      <c r="J243" s="30" t="b">
        <f aca="false">FALSE()</f>
        <v>0</v>
      </c>
      <c r="K243" s="30" t="b">
        <f aca="false">FALSE()</f>
        <v>0</v>
      </c>
      <c r="L243" s="30" t="b">
        <f aca="false">FALSE()</f>
        <v>0</v>
      </c>
      <c r="M243" s="32" t="n">
        <f aca="false">COUNTIF(B243:F243,TRUE())</f>
        <v>0</v>
      </c>
      <c r="N243" s="32" t="n">
        <f aca="false">COUNTIF(G243:J243,TRUE())</f>
        <v>0</v>
      </c>
      <c r="O243" s="32" t="n">
        <f aca="false">COUNTIF(K243:L243,TRUE())</f>
        <v>0</v>
      </c>
      <c r="P243" s="33" t="n">
        <v>0</v>
      </c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customFormat="false" ht="21.75" hidden="false" customHeight="true" outlineLevel="0" collapsed="false">
      <c r="A244" s="29" t="s">
        <v>288</v>
      </c>
      <c r="B244" s="30" t="b">
        <f aca="false">FALSE()</f>
        <v>0</v>
      </c>
      <c r="C244" s="30" t="b">
        <f aca="false">FALSE()</f>
        <v>0</v>
      </c>
      <c r="D244" s="30" t="b">
        <f aca="false">FALSE()</f>
        <v>0</v>
      </c>
      <c r="E244" s="30" t="b">
        <f aca="false">FALSE()</f>
        <v>0</v>
      </c>
      <c r="F244" s="30" t="b">
        <f aca="false">FALSE()</f>
        <v>0</v>
      </c>
      <c r="G244" s="30" t="b">
        <f aca="false">FALSE()</f>
        <v>0</v>
      </c>
      <c r="H244" s="30" t="b">
        <f aca="false">FALSE()</f>
        <v>0</v>
      </c>
      <c r="I244" s="30" t="b">
        <f aca="false">FALSE()</f>
        <v>0</v>
      </c>
      <c r="J244" s="30" t="b">
        <f aca="false">FALSE()</f>
        <v>0</v>
      </c>
      <c r="K244" s="30" t="b">
        <f aca="false">FALSE()</f>
        <v>0</v>
      </c>
      <c r="L244" s="30" t="b">
        <f aca="false">FALSE()</f>
        <v>0</v>
      </c>
      <c r="M244" s="32" t="n">
        <f aca="false">COUNTIF(B244:F244,TRUE())</f>
        <v>0</v>
      </c>
      <c r="N244" s="32" t="n">
        <f aca="false">COUNTIF(G244:J244,TRUE())</f>
        <v>0</v>
      </c>
      <c r="O244" s="32" t="n">
        <f aca="false">COUNTIF(K244:L244,TRUE())</f>
        <v>0</v>
      </c>
      <c r="P244" s="33" t="n">
        <v>0</v>
      </c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customFormat="false" ht="21.75" hidden="false" customHeight="true" outlineLevel="0" collapsed="false">
      <c r="A245" s="29" t="s">
        <v>289</v>
      </c>
      <c r="B245" s="30" t="b">
        <f aca="false">FALSE()</f>
        <v>0</v>
      </c>
      <c r="C245" s="30" t="b">
        <f aca="false">FALSE()</f>
        <v>0</v>
      </c>
      <c r="D245" s="30" t="b">
        <f aca="false">FALSE()</f>
        <v>0</v>
      </c>
      <c r="E245" s="30" t="b">
        <f aca="false">FALSE()</f>
        <v>0</v>
      </c>
      <c r="F245" s="30" t="b">
        <f aca="false">FALSE()</f>
        <v>0</v>
      </c>
      <c r="G245" s="30" t="b">
        <f aca="false">FALSE()</f>
        <v>0</v>
      </c>
      <c r="H245" s="30" t="b">
        <f aca="false">FALSE()</f>
        <v>0</v>
      </c>
      <c r="I245" s="30" t="b">
        <f aca="false">FALSE()</f>
        <v>0</v>
      </c>
      <c r="J245" s="30" t="b">
        <f aca="false">FALSE()</f>
        <v>0</v>
      </c>
      <c r="K245" s="30" t="b">
        <f aca="false">FALSE()</f>
        <v>0</v>
      </c>
      <c r="L245" s="30" t="b">
        <f aca="false">FALSE()</f>
        <v>0</v>
      </c>
      <c r="M245" s="32" t="n">
        <f aca="false">COUNTIF(B245:F245,TRUE())</f>
        <v>0</v>
      </c>
      <c r="N245" s="32" t="n">
        <f aca="false">COUNTIF(G245:J245,TRUE())</f>
        <v>0</v>
      </c>
      <c r="O245" s="32" t="n">
        <f aca="false">COUNTIF(K245:L245,TRUE())</f>
        <v>0</v>
      </c>
      <c r="P245" s="33" t="n">
        <v>0</v>
      </c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customFormat="false" ht="21.75" hidden="false" customHeight="true" outlineLevel="0" collapsed="false">
      <c r="A246" s="29" t="s">
        <v>290</v>
      </c>
      <c r="B246" s="30" t="b">
        <f aca="false">FALSE()</f>
        <v>0</v>
      </c>
      <c r="C246" s="30" t="b">
        <f aca="false">FALSE()</f>
        <v>0</v>
      </c>
      <c r="D246" s="30" t="b">
        <f aca="false">FALSE()</f>
        <v>0</v>
      </c>
      <c r="E246" s="30" t="b">
        <f aca="false">FALSE()</f>
        <v>0</v>
      </c>
      <c r="F246" s="30" t="b">
        <f aca="false">FALSE()</f>
        <v>0</v>
      </c>
      <c r="G246" s="30" t="b">
        <f aca="false">FALSE()</f>
        <v>0</v>
      </c>
      <c r="H246" s="30" t="b">
        <f aca="false">FALSE()</f>
        <v>0</v>
      </c>
      <c r="I246" s="30" t="b">
        <f aca="false">FALSE()</f>
        <v>0</v>
      </c>
      <c r="J246" s="30" t="b">
        <f aca="false">FALSE()</f>
        <v>0</v>
      </c>
      <c r="K246" s="30" t="b">
        <f aca="false">FALSE()</f>
        <v>0</v>
      </c>
      <c r="L246" s="30" t="b">
        <f aca="false">FALSE()</f>
        <v>0</v>
      </c>
      <c r="M246" s="32" t="n">
        <f aca="false">COUNTIF(B246:F246,TRUE())</f>
        <v>0</v>
      </c>
      <c r="N246" s="32" t="n">
        <f aca="false">COUNTIF(G246:J246,TRUE())</f>
        <v>0</v>
      </c>
      <c r="O246" s="32" t="n">
        <f aca="false">COUNTIF(K246:L246,TRUE())</f>
        <v>0</v>
      </c>
      <c r="P246" s="33" t="n">
        <v>0</v>
      </c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customFormat="false" ht="21.75" hidden="false" customHeight="true" outlineLevel="0" collapsed="false">
      <c r="A247" s="29" t="s">
        <v>291</v>
      </c>
      <c r="B247" s="30" t="b">
        <f aca="false">FALSE()</f>
        <v>0</v>
      </c>
      <c r="C247" s="30" t="b">
        <f aca="false">FALSE()</f>
        <v>0</v>
      </c>
      <c r="D247" s="30" t="b">
        <f aca="false">FALSE()</f>
        <v>0</v>
      </c>
      <c r="E247" s="30" t="b">
        <f aca="false">FALSE()</f>
        <v>0</v>
      </c>
      <c r="F247" s="30" t="b">
        <f aca="false">FALSE()</f>
        <v>0</v>
      </c>
      <c r="G247" s="30" t="b">
        <f aca="false">FALSE()</f>
        <v>0</v>
      </c>
      <c r="H247" s="30" t="b">
        <f aca="false">FALSE()</f>
        <v>0</v>
      </c>
      <c r="I247" s="30" t="b">
        <f aca="false">FALSE()</f>
        <v>0</v>
      </c>
      <c r="J247" s="30" t="b">
        <f aca="false">FALSE()</f>
        <v>0</v>
      </c>
      <c r="K247" s="30" t="b">
        <f aca="false">FALSE()</f>
        <v>0</v>
      </c>
      <c r="L247" s="30" t="b">
        <f aca="false">FALSE()</f>
        <v>0</v>
      </c>
      <c r="M247" s="32" t="n">
        <f aca="false">COUNTIF(B247:F247,TRUE())</f>
        <v>0</v>
      </c>
      <c r="N247" s="32" t="n">
        <f aca="false">COUNTIF(G247:J247,TRUE())</f>
        <v>0</v>
      </c>
      <c r="O247" s="32" t="n">
        <f aca="false">COUNTIF(K247:L247,TRUE())</f>
        <v>0</v>
      </c>
      <c r="P247" s="33" t="n">
        <v>0</v>
      </c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customFormat="false" ht="21.75" hidden="false" customHeight="true" outlineLevel="0" collapsed="false">
      <c r="A248" s="29" t="s">
        <v>292</v>
      </c>
      <c r="B248" s="30" t="b">
        <f aca="false">FALSE()</f>
        <v>0</v>
      </c>
      <c r="C248" s="30" t="b">
        <f aca="false">FALSE()</f>
        <v>0</v>
      </c>
      <c r="D248" s="30" t="b">
        <f aca="false">FALSE()</f>
        <v>0</v>
      </c>
      <c r="E248" s="30" t="b">
        <f aca="false">FALSE()</f>
        <v>0</v>
      </c>
      <c r="F248" s="30" t="b">
        <f aca="false">FALSE()</f>
        <v>0</v>
      </c>
      <c r="G248" s="30" t="b">
        <f aca="false">FALSE()</f>
        <v>0</v>
      </c>
      <c r="H248" s="30" t="b">
        <f aca="false">FALSE()</f>
        <v>0</v>
      </c>
      <c r="I248" s="30" t="b">
        <f aca="false">FALSE()</f>
        <v>0</v>
      </c>
      <c r="J248" s="30" t="b">
        <f aca="false">FALSE()</f>
        <v>0</v>
      </c>
      <c r="K248" s="30" t="b">
        <f aca="false">FALSE()</f>
        <v>0</v>
      </c>
      <c r="L248" s="30" t="b">
        <f aca="false">FALSE()</f>
        <v>0</v>
      </c>
      <c r="M248" s="32" t="n">
        <f aca="false">COUNTIF(B248:F248,TRUE())</f>
        <v>0</v>
      </c>
      <c r="N248" s="32" t="n">
        <f aca="false">COUNTIF(G248:J248,TRUE())</f>
        <v>0</v>
      </c>
      <c r="O248" s="32" t="n">
        <f aca="false">COUNTIF(K248:L248,TRUE())</f>
        <v>0</v>
      </c>
      <c r="P248" s="33" t="n">
        <v>0</v>
      </c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customFormat="false" ht="21.75" hidden="false" customHeight="true" outlineLevel="0" collapsed="false">
      <c r="A249" s="29" t="s">
        <v>293</v>
      </c>
      <c r="B249" s="30" t="b">
        <f aca="false">FALSE()</f>
        <v>0</v>
      </c>
      <c r="C249" s="30" t="b">
        <f aca="false">FALSE()</f>
        <v>0</v>
      </c>
      <c r="D249" s="30" t="b">
        <f aca="false">FALSE()</f>
        <v>0</v>
      </c>
      <c r="E249" s="30" t="b">
        <f aca="false">FALSE()</f>
        <v>0</v>
      </c>
      <c r="F249" s="30" t="b">
        <f aca="false">FALSE()</f>
        <v>0</v>
      </c>
      <c r="G249" s="30" t="b">
        <f aca="false">FALSE()</f>
        <v>0</v>
      </c>
      <c r="H249" s="30" t="b">
        <f aca="false">FALSE()</f>
        <v>0</v>
      </c>
      <c r="I249" s="30" t="b">
        <f aca="false">FALSE()</f>
        <v>0</v>
      </c>
      <c r="J249" s="30" t="b">
        <f aca="false">FALSE()</f>
        <v>0</v>
      </c>
      <c r="K249" s="30" t="b">
        <f aca="false">FALSE()</f>
        <v>0</v>
      </c>
      <c r="L249" s="30" t="b">
        <f aca="false">FALSE()</f>
        <v>0</v>
      </c>
      <c r="M249" s="32" t="n">
        <f aca="false">COUNTIF(B249:F249,TRUE())</f>
        <v>0</v>
      </c>
      <c r="N249" s="32" t="n">
        <f aca="false">COUNTIF(G249:J249,TRUE())</f>
        <v>0</v>
      </c>
      <c r="O249" s="32" t="n">
        <f aca="false">COUNTIF(K249:L249,TRUE())</f>
        <v>0</v>
      </c>
      <c r="P249" s="33" t="n">
        <v>0</v>
      </c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customFormat="false" ht="21.75" hidden="false" customHeight="true" outlineLevel="0" collapsed="false">
      <c r="A250" s="29" t="s">
        <v>294</v>
      </c>
      <c r="B250" s="30" t="b">
        <f aca="false">FALSE()</f>
        <v>0</v>
      </c>
      <c r="C250" s="30" t="b">
        <f aca="false">FALSE()</f>
        <v>0</v>
      </c>
      <c r="D250" s="30" t="b">
        <f aca="false">FALSE()</f>
        <v>0</v>
      </c>
      <c r="E250" s="30" t="b">
        <f aca="false">FALSE()</f>
        <v>0</v>
      </c>
      <c r="F250" s="30" t="b">
        <f aca="false">FALSE()</f>
        <v>0</v>
      </c>
      <c r="G250" s="30" t="b">
        <f aca="false">FALSE()</f>
        <v>0</v>
      </c>
      <c r="H250" s="30" t="b">
        <f aca="false">FALSE()</f>
        <v>0</v>
      </c>
      <c r="I250" s="30" t="b">
        <f aca="false">FALSE()</f>
        <v>0</v>
      </c>
      <c r="J250" s="30" t="b">
        <f aca="false">FALSE()</f>
        <v>0</v>
      </c>
      <c r="K250" s="30" t="b">
        <f aca="false">FALSE()</f>
        <v>0</v>
      </c>
      <c r="L250" s="30" t="b">
        <f aca="false">FALSE()</f>
        <v>0</v>
      </c>
      <c r="M250" s="32" t="n">
        <f aca="false">COUNTIF(B250:F250,TRUE())</f>
        <v>0</v>
      </c>
      <c r="N250" s="32" t="n">
        <f aca="false">COUNTIF(G250:J250,TRUE())</f>
        <v>0</v>
      </c>
      <c r="O250" s="32" t="n">
        <f aca="false">COUNTIF(K250:L250,TRUE())</f>
        <v>0</v>
      </c>
      <c r="P250" s="33" t="n">
        <v>0</v>
      </c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customFormat="false" ht="21.75" hidden="false" customHeight="true" outlineLevel="0" collapsed="false">
      <c r="A251" s="29" t="s">
        <v>295</v>
      </c>
      <c r="B251" s="30" t="b">
        <f aca="false">FALSE()</f>
        <v>0</v>
      </c>
      <c r="C251" s="30" t="b">
        <f aca="false">FALSE()</f>
        <v>0</v>
      </c>
      <c r="D251" s="30" t="b">
        <f aca="false">FALSE()</f>
        <v>0</v>
      </c>
      <c r="E251" s="30" t="b">
        <f aca="false">FALSE()</f>
        <v>0</v>
      </c>
      <c r="F251" s="30" t="b">
        <f aca="false">FALSE()</f>
        <v>0</v>
      </c>
      <c r="G251" s="30" t="b">
        <f aca="false">FALSE()</f>
        <v>0</v>
      </c>
      <c r="H251" s="30" t="b">
        <f aca="false">FALSE()</f>
        <v>0</v>
      </c>
      <c r="I251" s="30" t="b">
        <f aca="false">FALSE()</f>
        <v>0</v>
      </c>
      <c r="J251" s="30" t="b">
        <f aca="false">FALSE()</f>
        <v>0</v>
      </c>
      <c r="K251" s="30" t="b">
        <f aca="false">FALSE()</f>
        <v>0</v>
      </c>
      <c r="L251" s="30" t="b">
        <f aca="false">FALSE()</f>
        <v>0</v>
      </c>
      <c r="M251" s="32" t="n">
        <f aca="false">COUNTIF(B251:F251,TRUE())</f>
        <v>0</v>
      </c>
      <c r="N251" s="32" t="n">
        <f aca="false">COUNTIF(G251:J251,TRUE())</f>
        <v>0</v>
      </c>
      <c r="O251" s="32" t="n">
        <f aca="false">COUNTIF(K251:L251,TRUE())</f>
        <v>0</v>
      </c>
      <c r="P251" s="33" t="n">
        <v>0</v>
      </c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customFormat="false" ht="21.75" hidden="false" customHeight="true" outlineLevel="0" collapsed="false">
      <c r="A252" s="29" t="s">
        <v>296</v>
      </c>
      <c r="B252" s="30" t="b">
        <f aca="false">FALSE()</f>
        <v>0</v>
      </c>
      <c r="C252" s="30" t="b">
        <f aca="false">FALSE()</f>
        <v>0</v>
      </c>
      <c r="D252" s="30" t="b">
        <f aca="false">FALSE()</f>
        <v>0</v>
      </c>
      <c r="E252" s="30" t="b">
        <f aca="false">FALSE()</f>
        <v>0</v>
      </c>
      <c r="F252" s="30" t="b">
        <f aca="false">FALSE()</f>
        <v>0</v>
      </c>
      <c r="G252" s="30" t="b">
        <f aca="false">FALSE()</f>
        <v>0</v>
      </c>
      <c r="H252" s="30" t="b">
        <f aca="false">FALSE()</f>
        <v>0</v>
      </c>
      <c r="I252" s="30" t="b">
        <f aca="false">FALSE()</f>
        <v>0</v>
      </c>
      <c r="J252" s="30" t="b">
        <f aca="false">FALSE()</f>
        <v>0</v>
      </c>
      <c r="K252" s="30" t="b">
        <f aca="false">FALSE()</f>
        <v>0</v>
      </c>
      <c r="L252" s="30" t="b">
        <f aca="false">FALSE()</f>
        <v>0</v>
      </c>
      <c r="M252" s="32" t="n">
        <f aca="false">COUNTIF(B252:F252,TRUE())</f>
        <v>0</v>
      </c>
      <c r="N252" s="32" t="n">
        <f aca="false">COUNTIF(G252:J252,TRUE())</f>
        <v>0</v>
      </c>
      <c r="O252" s="32" t="n">
        <f aca="false">COUNTIF(K252:L252,TRUE())</f>
        <v>0</v>
      </c>
      <c r="P252" s="33" t="n">
        <v>0</v>
      </c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customFormat="false" ht="21.75" hidden="false" customHeight="true" outlineLevel="0" collapsed="false">
      <c r="A253" s="29" t="s">
        <v>297</v>
      </c>
      <c r="B253" s="30" t="b">
        <f aca="false">FALSE()</f>
        <v>0</v>
      </c>
      <c r="C253" s="30" t="b">
        <f aca="false">FALSE()</f>
        <v>0</v>
      </c>
      <c r="D253" s="30" t="b">
        <f aca="false">FALSE()</f>
        <v>0</v>
      </c>
      <c r="E253" s="30" t="b">
        <f aca="false">FALSE()</f>
        <v>0</v>
      </c>
      <c r="F253" s="30" t="b">
        <f aca="false">FALSE()</f>
        <v>0</v>
      </c>
      <c r="G253" s="30" t="b">
        <f aca="false">FALSE()</f>
        <v>0</v>
      </c>
      <c r="H253" s="30" t="b">
        <f aca="false">FALSE()</f>
        <v>0</v>
      </c>
      <c r="I253" s="30" t="b">
        <f aca="false">FALSE()</f>
        <v>0</v>
      </c>
      <c r="J253" s="30" t="b">
        <f aca="false">FALSE()</f>
        <v>0</v>
      </c>
      <c r="K253" s="30" t="b">
        <f aca="false">FALSE()</f>
        <v>0</v>
      </c>
      <c r="L253" s="30" t="b">
        <f aca="false">FALSE()</f>
        <v>0</v>
      </c>
      <c r="M253" s="32" t="n">
        <f aca="false">COUNTIF(B253:F253,TRUE())</f>
        <v>0</v>
      </c>
      <c r="N253" s="32" t="n">
        <f aca="false">COUNTIF(G253:J253,TRUE())</f>
        <v>0</v>
      </c>
      <c r="O253" s="32" t="n">
        <f aca="false">COUNTIF(K253:L253,TRUE())</f>
        <v>0</v>
      </c>
      <c r="P253" s="33" t="n">
        <v>0</v>
      </c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customFormat="false" ht="21.75" hidden="false" customHeight="true" outlineLevel="0" collapsed="false">
      <c r="A254" s="29" t="s">
        <v>298</v>
      </c>
      <c r="B254" s="30" t="b">
        <f aca="false">FALSE()</f>
        <v>0</v>
      </c>
      <c r="C254" s="30" t="b">
        <f aca="false">FALSE()</f>
        <v>0</v>
      </c>
      <c r="D254" s="30" t="b">
        <f aca="false">FALSE()</f>
        <v>0</v>
      </c>
      <c r="E254" s="30" t="b">
        <f aca="false">FALSE()</f>
        <v>0</v>
      </c>
      <c r="F254" s="30" t="b">
        <f aca="false">FALSE()</f>
        <v>0</v>
      </c>
      <c r="G254" s="30" t="b">
        <f aca="false">FALSE()</f>
        <v>0</v>
      </c>
      <c r="H254" s="30" t="b">
        <f aca="false">FALSE()</f>
        <v>0</v>
      </c>
      <c r="I254" s="30" t="b">
        <f aca="false">FALSE()</f>
        <v>0</v>
      </c>
      <c r="J254" s="30" t="b">
        <f aca="false">FALSE()</f>
        <v>0</v>
      </c>
      <c r="K254" s="30" t="b">
        <f aca="false">FALSE()</f>
        <v>0</v>
      </c>
      <c r="L254" s="30" t="b">
        <f aca="false">FALSE()</f>
        <v>0</v>
      </c>
      <c r="M254" s="32" t="n">
        <f aca="false">COUNTIF(B254:F254,TRUE())</f>
        <v>0</v>
      </c>
      <c r="N254" s="32" t="n">
        <f aca="false">COUNTIF(G254:J254,TRUE())</f>
        <v>0</v>
      </c>
      <c r="O254" s="32" t="n">
        <f aca="false">COUNTIF(K254:L254,TRUE())</f>
        <v>0</v>
      </c>
      <c r="P254" s="33" t="n">
        <v>0</v>
      </c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customFormat="false" ht="21.75" hidden="false" customHeight="true" outlineLevel="0" collapsed="false">
      <c r="A255" s="29" t="s">
        <v>299</v>
      </c>
      <c r="B255" s="30" t="b">
        <f aca="false">FALSE()</f>
        <v>0</v>
      </c>
      <c r="C255" s="30" t="b">
        <f aca="false">FALSE()</f>
        <v>0</v>
      </c>
      <c r="D255" s="30" t="b">
        <f aca="false">FALSE()</f>
        <v>0</v>
      </c>
      <c r="E255" s="30" t="b">
        <f aca="false">FALSE()</f>
        <v>0</v>
      </c>
      <c r="F255" s="30" t="b">
        <f aca="false">FALSE()</f>
        <v>0</v>
      </c>
      <c r="G255" s="30" t="b">
        <f aca="false">FALSE()</f>
        <v>0</v>
      </c>
      <c r="H255" s="30" t="b">
        <f aca="false">FALSE()</f>
        <v>0</v>
      </c>
      <c r="I255" s="30" t="b">
        <f aca="false">FALSE()</f>
        <v>0</v>
      </c>
      <c r="J255" s="30" t="b">
        <f aca="false">FALSE()</f>
        <v>0</v>
      </c>
      <c r="K255" s="30" t="b">
        <f aca="false">FALSE()</f>
        <v>0</v>
      </c>
      <c r="L255" s="30" t="b">
        <f aca="false">FALSE()</f>
        <v>0</v>
      </c>
      <c r="M255" s="32" t="n">
        <f aca="false">COUNTIF(B255:F255,TRUE())</f>
        <v>0</v>
      </c>
      <c r="N255" s="32" t="n">
        <f aca="false">COUNTIF(G255:J255,TRUE())</f>
        <v>0</v>
      </c>
      <c r="O255" s="32" t="n">
        <f aca="false">COUNTIF(K255:L255,TRUE())</f>
        <v>0</v>
      </c>
      <c r="P255" s="33" t="n">
        <v>0</v>
      </c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customFormat="false" ht="21.75" hidden="false" customHeight="true" outlineLevel="0" collapsed="false">
      <c r="A256" s="29" t="s">
        <v>300</v>
      </c>
      <c r="B256" s="30" t="b">
        <f aca="false">FALSE()</f>
        <v>0</v>
      </c>
      <c r="C256" s="30" t="b">
        <f aca="false">FALSE()</f>
        <v>0</v>
      </c>
      <c r="D256" s="30" t="b">
        <f aca="false">FALSE()</f>
        <v>0</v>
      </c>
      <c r="E256" s="30" t="b">
        <f aca="false">FALSE()</f>
        <v>0</v>
      </c>
      <c r="F256" s="30" t="b">
        <f aca="false">FALSE()</f>
        <v>0</v>
      </c>
      <c r="G256" s="30" t="b">
        <f aca="false">FALSE()</f>
        <v>0</v>
      </c>
      <c r="H256" s="30" t="b">
        <f aca="false">FALSE()</f>
        <v>0</v>
      </c>
      <c r="I256" s="30" t="b">
        <f aca="false">FALSE()</f>
        <v>0</v>
      </c>
      <c r="J256" s="30" t="b">
        <f aca="false">FALSE()</f>
        <v>0</v>
      </c>
      <c r="K256" s="30" t="b">
        <f aca="false">FALSE()</f>
        <v>0</v>
      </c>
      <c r="L256" s="30" t="b">
        <f aca="false">FALSE()</f>
        <v>0</v>
      </c>
      <c r="M256" s="32" t="n">
        <f aca="false">COUNTIF(B256:F256,TRUE())</f>
        <v>0</v>
      </c>
      <c r="N256" s="32" t="n">
        <f aca="false">COUNTIF(G256:J256,TRUE())</f>
        <v>0</v>
      </c>
      <c r="O256" s="32" t="n">
        <f aca="false">COUNTIF(K256:L256,TRUE())</f>
        <v>0</v>
      </c>
      <c r="P256" s="33" t="n">
        <v>0</v>
      </c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customFormat="false" ht="21.75" hidden="false" customHeight="true" outlineLevel="0" collapsed="false">
      <c r="A257" s="29" t="s">
        <v>301</v>
      </c>
      <c r="B257" s="30" t="b">
        <f aca="false">FALSE()</f>
        <v>0</v>
      </c>
      <c r="C257" s="30" t="b">
        <f aca="false">FALSE()</f>
        <v>0</v>
      </c>
      <c r="D257" s="30" t="b">
        <f aca="false">FALSE()</f>
        <v>0</v>
      </c>
      <c r="E257" s="30" t="b">
        <f aca="false">FALSE()</f>
        <v>0</v>
      </c>
      <c r="F257" s="30" t="b">
        <f aca="false">FALSE()</f>
        <v>0</v>
      </c>
      <c r="G257" s="30" t="b">
        <f aca="false">FALSE()</f>
        <v>0</v>
      </c>
      <c r="H257" s="30" t="b">
        <f aca="false">FALSE()</f>
        <v>0</v>
      </c>
      <c r="I257" s="30" t="b">
        <f aca="false">FALSE()</f>
        <v>0</v>
      </c>
      <c r="J257" s="30" t="b">
        <f aca="false">FALSE()</f>
        <v>0</v>
      </c>
      <c r="K257" s="30" t="b">
        <f aca="false">FALSE()</f>
        <v>0</v>
      </c>
      <c r="L257" s="30" t="b">
        <f aca="false">FALSE()</f>
        <v>0</v>
      </c>
      <c r="M257" s="32" t="n">
        <f aca="false">COUNTIF(B257:F257,TRUE())</f>
        <v>0</v>
      </c>
      <c r="N257" s="32" t="n">
        <f aca="false">COUNTIF(G257:J257,TRUE())</f>
        <v>0</v>
      </c>
      <c r="O257" s="32" t="n">
        <f aca="false">COUNTIF(K257:L257,TRUE())</f>
        <v>0</v>
      </c>
      <c r="P257" s="33" t="n">
        <v>0</v>
      </c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customFormat="false" ht="21.75" hidden="false" customHeight="true" outlineLevel="0" collapsed="false">
      <c r="A258" s="29" t="s">
        <v>302</v>
      </c>
      <c r="B258" s="30" t="b">
        <f aca="false">FALSE()</f>
        <v>0</v>
      </c>
      <c r="C258" s="30" t="b">
        <f aca="false">FALSE()</f>
        <v>0</v>
      </c>
      <c r="D258" s="30" t="b">
        <f aca="false">FALSE()</f>
        <v>0</v>
      </c>
      <c r="E258" s="30" t="b">
        <f aca="false">FALSE()</f>
        <v>0</v>
      </c>
      <c r="F258" s="30" t="b">
        <f aca="false">FALSE()</f>
        <v>0</v>
      </c>
      <c r="G258" s="30" t="b">
        <f aca="false">FALSE()</f>
        <v>0</v>
      </c>
      <c r="H258" s="30" t="b">
        <f aca="false">FALSE()</f>
        <v>0</v>
      </c>
      <c r="I258" s="30" t="b">
        <f aca="false">FALSE()</f>
        <v>0</v>
      </c>
      <c r="J258" s="30" t="b">
        <f aca="false">FALSE()</f>
        <v>0</v>
      </c>
      <c r="K258" s="30" t="b">
        <f aca="false">FALSE()</f>
        <v>0</v>
      </c>
      <c r="L258" s="30" t="b">
        <f aca="false">FALSE()</f>
        <v>0</v>
      </c>
      <c r="M258" s="32" t="n">
        <f aca="false">COUNTIF(B258:F258,TRUE())</f>
        <v>0</v>
      </c>
      <c r="N258" s="32" t="n">
        <f aca="false">COUNTIF(G258:J258,TRUE())</f>
        <v>0</v>
      </c>
      <c r="O258" s="32" t="n">
        <f aca="false">COUNTIF(K258:L258,TRUE())</f>
        <v>0</v>
      </c>
      <c r="P258" s="33" t="n">
        <v>0</v>
      </c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customFormat="false" ht="21.75" hidden="false" customHeight="true" outlineLevel="0" collapsed="false">
      <c r="A259" s="29" t="s">
        <v>303</v>
      </c>
      <c r="B259" s="30" t="b">
        <f aca="false">FALSE()</f>
        <v>0</v>
      </c>
      <c r="C259" s="30" t="b">
        <f aca="false">FALSE()</f>
        <v>0</v>
      </c>
      <c r="D259" s="30" t="b">
        <f aca="false">FALSE()</f>
        <v>0</v>
      </c>
      <c r="E259" s="30" t="b">
        <f aca="false">FALSE()</f>
        <v>0</v>
      </c>
      <c r="F259" s="30" t="b">
        <f aca="false">FALSE()</f>
        <v>0</v>
      </c>
      <c r="G259" s="30" t="b">
        <f aca="false">FALSE()</f>
        <v>0</v>
      </c>
      <c r="H259" s="30" t="b">
        <f aca="false">FALSE()</f>
        <v>0</v>
      </c>
      <c r="I259" s="30" t="b">
        <f aca="false">FALSE()</f>
        <v>0</v>
      </c>
      <c r="J259" s="30" t="b">
        <f aca="false">FALSE()</f>
        <v>0</v>
      </c>
      <c r="K259" s="30" t="b">
        <f aca="false">FALSE()</f>
        <v>0</v>
      </c>
      <c r="L259" s="30" t="b">
        <f aca="false">FALSE()</f>
        <v>0</v>
      </c>
      <c r="M259" s="32" t="n">
        <f aca="false">COUNTIF(B259:F259,TRUE())</f>
        <v>0</v>
      </c>
      <c r="N259" s="32" t="n">
        <f aca="false">COUNTIF(G259:J259,TRUE())</f>
        <v>0</v>
      </c>
      <c r="O259" s="32" t="n">
        <f aca="false">COUNTIF(K259:L259,TRUE())</f>
        <v>0</v>
      </c>
      <c r="P259" s="33" t="n">
        <v>0</v>
      </c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customFormat="false" ht="21.75" hidden="false" customHeight="true" outlineLevel="0" collapsed="false">
      <c r="A260" s="29" t="s">
        <v>304</v>
      </c>
      <c r="B260" s="30" t="b">
        <f aca="false">FALSE()</f>
        <v>0</v>
      </c>
      <c r="C260" s="30" t="b">
        <f aca="false">FALSE()</f>
        <v>0</v>
      </c>
      <c r="D260" s="30" t="b">
        <f aca="false">FALSE()</f>
        <v>0</v>
      </c>
      <c r="E260" s="30" t="b">
        <f aca="false">FALSE()</f>
        <v>0</v>
      </c>
      <c r="F260" s="30" t="b">
        <f aca="false">FALSE()</f>
        <v>0</v>
      </c>
      <c r="G260" s="30" t="b">
        <f aca="false">FALSE()</f>
        <v>0</v>
      </c>
      <c r="H260" s="30" t="b">
        <f aca="false">FALSE()</f>
        <v>0</v>
      </c>
      <c r="I260" s="30" t="b">
        <f aca="false">FALSE()</f>
        <v>0</v>
      </c>
      <c r="J260" s="30" t="b">
        <f aca="false">FALSE()</f>
        <v>0</v>
      </c>
      <c r="K260" s="30" t="b">
        <f aca="false">FALSE()</f>
        <v>0</v>
      </c>
      <c r="L260" s="30" t="b">
        <f aca="false">FALSE()</f>
        <v>0</v>
      </c>
      <c r="M260" s="32" t="n">
        <f aca="false">COUNTIF(B260:F260,TRUE())</f>
        <v>0</v>
      </c>
      <c r="N260" s="32" t="n">
        <f aca="false">COUNTIF(G260:J260,TRUE())</f>
        <v>0</v>
      </c>
      <c r="O260" s="32" t="n">
        <f aca="false">COUNTIF(K260:L260,TRUE())</f>
        <v>0</v>
      </c>
      <c r="P260" s="33" t="n">
        <v>0</v>
      </c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customFormat="false" ht="21.75" hidden="false" customHeight="true" outlineLevel="0" collapsed="false">
      <c r="A261" s="29" t="s">
        <v>305</v>
      </c>
      <c r="B261" s="30" t="b">
        <f aca="false">FALSE()</f>
        <v>0</v>
      </c>
      <c r="C261" s="30" t="b">
        <f aca="false">FALSE()</f>
        <v>0</v>
      </c>
      <c r="D261" s="30" t="b">
        <f aca="false">FALSE()</f>
        <v>0</v>
      </c>
      <c r="E261" s="30" t="b">
        <f aca="false">FALSE()</f>
        <v>0</v>
      </c>
      <c r="F261" s="30" t="b">
        <f aca="false">FALSE()</f>
        <v>0</v>
      </c>
      <c r="G261" s="30" t="b">
        <f aca="false">FALSE()</f>
        <v>0</v>
      </c>
      <c r="H261" s="30" t="b">
        <f aca="false">FALSE()</f>
        <v>0</v>
      </c>
      <c r="I261" s="30" t="b">
        <f aca="false">FALSE()</f>
        <v>0</v>
      </c>
      <c r="J261" s="30" t="b">
        <f aca="false">FALSE()</f>
        <v>0</v>
      </c>
      <c r="K261" s="30" t="b">
        <f aca="false">FALSE()</f>
        <v>0</v>
      </c>
      <c r="L261" s="30" t="b">
        <f aca="false">FALSE()</f>
        <v>0</v>
      </c>
      <c r="M261" s="32" t="n">
        <f aca="false">COUNTIF(B261:F261,TRUE())</f>
        <v>0</v>
      </c>
      <c r="N261" s="32" t="n">
        <f aca="false">COUNTIF(G261:J261,TRUE())</f>
        <v>0</v>
      </c>
      <c r="O261" s="32" t="n">
        <f aca="false">COUNTIF(K261:L261,TRUE())</f>
        <v>0</v>
      </c>
      <c r="P261" s="33" t="n">
        <v>0</v>
      </c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customFormat="false" ht="21.75" hidden="false" customHeight="true" outlineLevel="0" collapsed="false">
      <c r="A262" s="29" t="s">
        <v>306</v>
      </c>
      <c r="B262" s="30" t="b">
        <f aca="false">FALSE()</f>
        <v>0</v>
      </c>
      <c r="C262" s="30" t="b">
        <f aca="false">FALSE()</f>
        <v>0</v>
      </c>
      <c r="D262" s="30" t="b">
        <f aca="false">FALSE()</f>
        <v>0</v>
      </c>
      <c r="E262" s="30" t="b">
        <f aca="false">FALSE()</f>
        <v>0</v>
      </c>
      <c r="F262" s="30" t="b">
        <f aca="false">FALSE()</f>
        <v>0</v>
      </c>
      <c r="G262" s="30" t="b">
        <f aca="false">FALSE()</f>
        <v>0</v>
      </c>
      <c r="H262" s="30" t="b">
        <f aca="false">FALSE()</f>
        <v>0</v>
      </c>
      <c r="I262" s="30" t="b">
        <f aca="false">FALSE()</f>
        <v>0</v>
      </c>
      <c r="J262" s="30" t="b">
        <f aca="false">FALSE()</f>
        <v>0</v>
      </c>
      <c r="K262" s="30" t="b">
        <f aca="false">FALSE()</f>
        <v>0</v>
      </c>
      <c r="L262" s="30" t="b">
        <f aca="false">FALSE()</f>
        <v>0</v>
      </c>
      <c r="M262" s="32" t="n">
        <f aca="false">COUNTIF(B262:F262,TRUE())</f>
        <v>0</v>
      </c>
      <c r="N262" s="32" t="n">
        <f aca="false">COUNTIF(G262:J262,TRUE())</f>
        <v>0</v>
      </c>
      <c r="O262" s="32" t="n">
        <f aca="false">COUNTIF(K262:L262,TRUE())</f>
        <v>0</v>
      </c>
      <c r="P262" s="33" t="n">
        <v>0</v>
      </c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customFormat="false" ht="21.75" hidden="false" customHeight="true" outlineLevel="0" collapsed="false">
      <c r="A263" s="29" t="s">
        <v>307</v>
      </c>
      <c r="B263" s="30" t="b">
        <f aca="false">FALSE()</f>
        <v>0</v>
      </c>
      <c r="C263" s="30" t="b">
        <f aca="false">FALSE()</f>
        <v>0</v>
      </c>
      <c r="D263" s="30" t="b">
        <f aca="false">FALSE()</f>
        <v>0</v>
      </c>
      <c r="E263" s="30" t="b">
        <f aca="false">FALSE()</f>
        <v>0</v>
      </c>
      <c r="F263" s="30" t="b">
        <f aca="false">FALSE()</f>
        <v>0</v>
      </c>
      <c r="G263" s="30" t="b">
        <f aca="false">FALSE()</f>
        <v>0</v>
      </c>
      <c r="H263" s="30" t="b">
        <f aca="false">FALSE()</f>
        <v>0</v>
      </c>
      <c r="I263" s="30" t="b">
        <f aca="false">FALSE()</f>
        <v>0</v>
      </c>
      <c r="J263" s="30" t="b">
        <f aca="false">FALSE()</f>
        <v>0</v>
      </c>
      <c r="K263" s="30" t="b">
        <f aca="false">FALSE()</f>
        <v>0</v>
      </c>
      <c r="L263" s="30" t="b">
        <f aca="false">FALSE()</f>
        <v>0</v>
      </c>
      <c r="M263" s="32" t="n">
        <f aca="false">COUNTIF(B263:F263,TRUE())</f>
        <v>0</v>
      </c>
      <c r="N263" s="32" t="n">
        <f aca="false">COUNTIF(G263:J263,TRUE())</f>
        <v>0</v>
      </c>
      <c r="O263" s="32" t="n">
        <f aca="false">COUNTIF(K263:L263,TRUE())</f>
        <v>0</v>
      </c>
      <c r="P263" s="33" t="n">
        <v>0</v>
      </c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customFormat="false" ht="21.75" hidden="false" customHeight="true" outlineLevel="0" collapsed="false">
      <c r="A264" s="29" t="s">
        <v>308</v>
      </c>
      <c r="B264" s="30" t="b">
        <f aca="false">FALSE()</f>
        <v>0</v>
      </c>
      <c r="C264" s="30" t="b">
        <f aca="false">FALSE()</f>
        <v>0</v>
      </c>
      <c r="D264" s="30" t="b">
        <f aca="false">FALSE()</f>
        <v>0</v>
      </c>
      <c r="E264" s="30" t="b">
        <f aca="false">FALSE()</f>
        <v>0</v>
      </c>
      <c r="F264" s="30" t="b">
        <f aca="false">FALSE()</f>
        <v>0</v>
      </c>
      <c r="G264" s="30" t="b">
        <f aca="false">FALSE()</f>
        <v>0</v>
      </c>
      <c r="H264" s="30" t="b">
        <f aca="false">FALSE()</f>
        <v>0</v>
      </c>
      <c r="I264" s="30" t="b">
        <f aca="false">FALSE()</f>
        <v>0</v>
      </c>
      <c r="J264" s="30" t="b">
        <f aca="false">FALSE()</f>
        <v>0</v>
      </c>
      <c r="K264" s="30" t="b">
        <f aca="false">FALSE()</f>
        <v>0</v>
      </c>
      <c r="L264" s="30" t="b">
        <f aca="false">FALSE()</f>
        <v>0</v>
      </c>
      <c r="M264" s="32" t="n">
        <f aca="false">COUNTIF(B264:F264,TRUE())</f>
        <v>0</v>
      </c>
      <c r="N264" s="32" t="n">
        <f aca="false">COUNTIF(G264:J264,TRUE())</f>
        <v>0</v>
      </c>
      <c r="O264" s="32" t="n">
        <f aca="false">COUNTIF(K264:L264,TRUE())</f>
        <v>0</v>
      </c>
      <c r="P264" s="33" t="n">
        <v>0</v>
      </c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customFormat="false" ht="21.75" hidden="false" customHeight="true" outlineLevel="0" collapsed="false">
      <c r="A265" s="29" t="s">
        <v>309</v>
      </c>
      <c r="B265" s="30" t="b">
        <f aca="false">FALSE()</f>
        <v>0</v>
      </c>
      <c r="C265" s="30" t="b">
        <f aca="false">FALSE()</f>
        <v>0</v>
      </c>
      <c r="D265" s="30" t="b">
        <f aca="false">FALSE()</f>
        <v>0</v>
      </c>
      <c r="E265" s="30" t="b">
        <f aca="false">FALSE()</f>
        <v>0</v>
      </c>
      <c r="F265" s="30" t="b">
        <f aca="false">FALSE()</f>
        <v>0</v>
      </c>
      <c r="G265" s="30" t="b">
        <f aca="false">FALSE()</f>
        <v>0</v>
      </c>
      <c r="H265" s="30" t="b">
        <f aca="false">FALSE()</f>
        <v>0</v>
      </c>
      <c r="I265" s="30" t="b">
        <f aca="false">FALSE()</f>
        <v>0</v>
      </c>
      <c r="J265" s="30" t="b">
        <f aca="false">FALSE()</f>
        <v>0</v>
      </c>
      <c r="K265" s="30" t="b">
        <f aca="false">FALSE()</f>
        <v>0</v>
      </c>
      <c r="L265" s="30" t="b">
        <f aca="false">FALSE()</f>
        <v>0</v>
      </c>
      <c r="M265" s="32" t="n">
        <f aca="false">COUNTIF(B265:F265,TRUE())</f>
        <v>0</v>
      </c>
      <c r="N265" s="32" t="n">
        <f aca="false">COUNTIF(G265:J265,TRUE())</f>
        <v>0</v>
      </c>
      <c r="O265" s="32" t="n">
        <f aca="false">COUNTIF(K265:L265,TRUE())</f>
        <v>0</v>
      </c>
      <c r="P265" s="33" t="n">
        <v>0</v>
      </c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customFormat="false" ht="21.75" hidden="false" customHeight="true" outlineLevel="0" collapsed="false">
      <c r="A266" s="29" t="s">
        <v>310</v>
      </c>
      <c r="B266" s="30" t="b">
        <f aca="false">FALSE()</f>
        <v>0</v>
      </c>
      <c r="C266" s="30" t="b">
        <f aca="false">FALSE()</f>
        <v>0</v>
      </c>
      <c r="D266" s="30" t="b">
        <f aca="false">FALSE()</f>
        <v>0</v>
      </c>
      <c r="E266" s="30" t="b">
        <f aca="false">FALSE()</f>
        <v>0</v>
      </c>
      <c r="F266" s="30" t="b">
        <f aca="false">FALSE()</f>
        <v>0</v>
      </c>
      <c r="G266" s="30" t="b">
        <f aca="false">FALSE()</f>
        <v>0</v>
      </c>
      <c r="H266" s="30" t="b">
        <f aca="false">FALSE()</f>
        <v>0</v>
      </c>
      <c r="I266" s="30" t="b">
        <f aca="false">FALSE()</f>
        <v>0</v>
      </c>
      <c r="J266" s="30" t="b">
        <f aca="false">FALSE()</f>
        <v>0</v>
      </c>
      <c r="K266" s="30" t="b">
        <f aca="false">FALSE()</f>
        <v>0</v>
      </c>
      <c r="L266" s="30" t="b">
        <f aca="false">FALSE()</f>
        <v>0</v>
      </c>
      <c r="M266" s="32" t="n">
        <f aca="false">COUNTIF(B266:F266,TRUE())</f>
        <v>0</v>
      </c>
      <c r="N266" s="32" t="n">
        <f aca="false">COUNTIF(G266:J266,TRUE())</f>
        <v>0</v>
      </c>
      <c r="O266" s="32" t="n">
        <f aca="false">COUNTIF(K266:L266,TRUE())</f>
        <v>0</v>
      </c>
      <c r="P266" s="33" t="n">
        <v>0</v>
      </c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customFormat="false" ht="21.75" hidden="false" customHeight="true" outlineLevel="0" collapsed="false">
      <c r="A267" s="29" t="s">
        <v>311</v>
      </c>
      <c r="B267" s="30" t="b">
        <f aca="false">FALSE()</f>
        <v>0</v>
      </c>
      <c r="C267" s="30" t="b">
        <f aca="false">FALSE()</f>
        <v>0</v>
      </c>
      <c r="D267" s="30" t="b">
        <f aca="false">FALSE()</f>
        <v>0</v>
      </c>
      <c r="E267" s="30" t="b">
        <f aca="false">FALSE()</f>
        <v>0</v>
      </c>
      <c r="F267" s="30" t="b">
        <f aca="false">FALSE()</f>
        <v>0</v>
      </c>
      <c r="G267" s="30" t="b">
        <f aca="false">FALSE()</f>
        <v>0</v>
      </c>
      <c r="H267" s="30" t="b">
        <f aca="false">FALSE()</f>
        <v>0</v>
      </c>
      <c r="I267" s="30" t="b">
        <f aca="false">FALSE()</f>
        <v>0</v>
      </c>
      <c r="J267" s="30" t="b">
        <f aca="false">FALSE()</f>
        <v>0</v>
      </c>
      <c r="K267" s="30" t="b">
        <f aca="false">FALSE()</f>
        <v>0</v>
      </c>
      <c r="L267" s="30" t="b">
        <f aca="false">FALSE()</f>
        <v>0</v>
      </c>
      <c r="M267" s="32" t="n">
        <f aca="false">COUNTIF(B267:F267,TRUE())</f>
        <v>0</v>
      </c>
      <c r="N267" s="32" t="n">
        <f aca="false">COUNTIF(G267:J267,TRUE())</f>
        <v>0</v>
      </c>
      <c r="O267" s="32" t="n">
        <f aca="false">COUNTIF(K267:L267,TRUE())</f>
        <v>0</v>
      </c>
      <c r="P267" s="33" t="n">
        <v>0</v>
      </c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customFormat="false" ht="21.75" hidden="false" customHeight="true" outlineLevel="0" collapsed="false">
      <c r="A268" s="29" t="s">
        <v>312</v>
      </c>
      <c r="B268" s="30" t="b">
        <f aca="false">FALSE()</f>
        <v>0</v>
      </c>
      <c r="C268" s="30" t="b">
        <f aca="false">FALSE()</f>
        <v>0</v>
      </c>
      <c r="D268" s="30" t="b">
        <f aca="false">FALSE()</f>
        <v>0</v>
      </c>
      <c r="E268" s="30" t="b">
        <f aca="false">FALSE()</f>
        <v>0</v>
      </c>
      <c r="F268" s="30" t="b">
        <f aca="false">FALSE()</f>
        <v>0</v>
      </c>
      <c r="G268" s="30" t="b">
        <f aca="false">FALSE()</f>
        <v>0</v>
      </c>
      <c r="H268" s="30" t="b">
        <f aca="false">FALSE()</f>
        <v>0</v>
      </c>
      <c r="I268" s="30" t="b">
        <f aca="false">FALSE()</f>
        <v>0</v>
      </c>
      <c r="J268" s="30" t="b">
        <f aca="false">FALSE()</f>
        <v>0</v>
      </c>
      <c r="K268" s="30" t="b">
        <f aca="false">FALSE()</f>
        <v>0</v>
      </c>
      <c r="L268" s="30" t="b">
        <f aca="false">FALSE()</f>
        <v>0</v>
      </c>
      <c r="M268" s="32" t="n">
        <f aca="false">COUNTIF(B268:F268,TRUE())</f>
        <v>0</v>
      </c>
      <c r="N268" s="32" t="n">
        <f aca="false">COUNTIF(G268:J268,TRUE())</f>
        <v>0</v>
      </c>
      <c r="O268" s="32" t="n">
        <f aca="false">COUNTIF(K268:L268,TRUE())</f>
        <v>0</v>
      </c>
      <c r="P268" s="33" t="n">
        <v>0</v>
      </c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customFormat="false" ht="21.75" hidden="false" customHeight="true" outlineLevel="0" collapsed="false">
      <c r="A269" s="29" t="s">
        <v>313</v>
      </c>
      <c r="B269" s="30" t="b">
        <f aca="false">FALSE()</f>
        <v>0</v>
      </c>
      <c r="C269" s="30" t="b">
        <f aca="false">FALSE()</f>
        <v>0</v>
      </c>
      <c r="D269" s="30" t="b">
        <f aca="false">FALSE()</f>
        <v>0</v>
      </c>
      <c r="E269" s="30" t="b">
        <f aca="false">FALSE()</f>
        <v>0</v>
      </c>
      <c r="F269" s="30" t="b">
        <f aca="false">FALSE()</f>
        <v>0</v>
      </c>
      <c r="G269" s="30" t="b">
        <f aca="false">FALSE()</f>
        <v>0</v>
      </c>
      <c r="H269" s="30" t="b">
        <f aca="false">FALSE()</f>
        <v>0</v>
      </c>
      <c r="I269" s="30" t="b">
        <f aca="false">FALSE()</f>
        <v>0</v>
      </c>
      <c r="J269" s="30" t="b">
        <f aca="false">FALSE()</f>
        <v>0</v>
      </c>
      <c r="K269" s="30" t="b">
        <f aca="false">FALSE()</f>
        <v>0</v>
      </c>
      <c r="L269" s="30" t="b">
        <f aca="false">FALSE()</f>
        <v>0</v>
      </c>
      <c r="M269" s="32" t="n">
        <f aca="false">COUNTIF(B269:F269,TRUE())</f>
        <v>0</v>
      </c>
      <c r="N269" s="32" t="n">
        <f aca="false">COUNTIF(G269:J269,TRUE())</f>
        <v>0</v>
      </c>
      <c r="O269" s="32" t="n">
        <f aca="false">COUNTIF(K269:L269,TRUE())</f>
        <v>0</v>
      </c>
      <c r="P269" s="33" t="n">
        <v>0</v>
      </c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customFormat="false" ht="21.75" hidden="false" customHeight="true" outlineLevel="0" collapsed="false">
      <c r="A270" s="29" t="s">
        <v>314</v>
      </c>
      <c r="B270" s="30" t="b">
        <f aca="false">FALSE()</f>
        <v>0</v>
      </c>
      <c r="C270" s="30" t="b">
        <f aca="false">FALSE()</f>
        <v>0</v>
      </c>
      <c r="D270" s="30" t="b">
        <f aca="false">FALSE()</f>
        <v>0</v>
      </c>
      <c r="E270" s="30" t="b">
        <f aca="false">FALSE()</f>
        <v>0</v>
      </c>
      <c r="F270" s="30" t="b">
        <f aca="false">FALSE()</f>
        <v>0</v>
      </c>
      <c r="G270" s="30" t="b">
        <f aca="false">FALSE()</f>
        <v>0</v>
      </c>
      <c r="H270" s="30" t="b">
        <f aca="false">FALSE()</f>
        <v>0</v>
      </c>
      <c r="I270" s="30" t="b">
        <f aca="false">FALSE()</f>
        <v>0</v>
      </c>
      <c r="J270" s="30" t="b">
        <f aca="false">FALSE()</f>
        <v>0</v>
      </c>
      <c r="K270" s="30" t="b">
        <f aca="false">FALSE()</f>
        <v>0</v>
      </c>
      <c r="L270" s="30" t="b">
        <f aca="false">FALSE()</f>
        <v>0</v>
      </c>
      <c r="M270" s="32" t="n">
        <f aca="false">COUNTIF(B270:F270,TRUE())</f>
        <v>0</v>
      </c>
      <c r="N270" s="32" t="n">
        <f aca="false">COUNTIF(G270:J270,TRUE())</f>
        <v>0</v>
      </c>
      <c r="O270" s="32" t="n">
        <f aca="false">COUNTIF(K270:L270,TRUE())</f>
        <v>0</v>
      </c>
      <c r="P270" s="33" t="n">
        <v>0</v>
      </c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customFormat="false" ht="21.75" hidden="false" customHeight="true" outlineLevel="0" collapsed="false">
      <c r="A271" s="29" t="s">
        <v>315</v>
      </c>
      <c r="B271" s="30" t="b">
        <f aca="false">FALSE()</f>
        <v>0</v>
      </c>
      <c r="C271" s="30" t="b">
        <f aca="false">FALSE()</f>
        <v>0</v>
      </c>
      <c r="D271" s="30" t="b">
        <f aca="false">FALSE()</f>
        <v>0</v>
      </c>
      <c r="E271" s="30" t="b">
        <f aca="false">FALSE()</f>
        <v>0</v>
      </c>
      <c r="F271" s="30" t="b">
        <f aca="false">FALSE()</f>
        <v>0</v>
      </c>
      <c r="G271" s="30" t="b">
        <f aca="false">FALSE()</f>
        <v>0</v>
      </c>
      <c r="H271" s="30" t="b">
        <f aca="false">FALSE()</f>
        <v>0</v>
      </c>
      <c r="I271" s="30" t="b">
        <f aca="false">FALSE()</f>
        <v>0</v>
      </c>
      <c r="J271" s="30" t="b">
        <f aca="false">FALSE()</f>
        <v>0</v>
      </c>
      <c r="K271" s="30" t="b">
        <f aca="false">FALSE()</f>
        <v>0</v>
      </c>
      <c r="L271" s="30" t="b">
        <f aca="false">FALSE()</f>
        <v>0</v>
      </c>
      <c r="M271" s="32" t="n">
        <f aca="false">COUNTIF(B271:F271,TRUE())</f>
        <v>0</v>
      </c>
      <c r="N271" s="32" t="n">
        <f aca="false">COUNTIF(G271:J271,TRUE())</f>
        <v>0</v>
      </c>
      <c r="O271" s="32" t="n">
        <f aca="false">COUNTIF(K271:L271,TRUE())</f>
        <v>0</v>
      </c>
      <c r="P271" s="33" t="n">
        <v>0</v>
      </c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customFormat="false" ht="21.75" hidden="false" customHeight="true" outlineLevel="0" collapsed="false">
      <c r="A272" s="29" t="s">
        <v>316</v>
      </c>
      <c r="B272" s="30" t="b">
        <f aca="false">FALSE()</f>
        <v>0</v>
      </c>
      <c r="C272" s="30" t="b">
        <f aca="false">FALSE()</f>
        <v>0</v>
      </c>
      <c r="D272" s="30" t="b">
        <f aca="false">FALSE()</f>
        <v>0</v>
      </c>
      <c r="E272" s="30" t="b">
        <f aca="false">FALSE()</f>
        <v>0</v>
      </c>
      <c r="F272" s="30" t="b">
        <f aca="false">FALSE()</f>
        <v>0</v>
      </c>
      <c r="G272" s="30" t="b">
        <f aca="false">FALSE()</f>
        <v>0</v>
      </c>
      <c r="H272" s="30" t="b">
        <f aca="false">FALSE()</f>
        <v>0</v>
      </c>
      <c r="I272" s="30" t="b">
        <f aca="false">FALSE()</f>
        <v>0</v>
      </c>
      <c r="J272" s="30" t="b">
        <f aca="false">FALSE()</f>
        <v>0</v>
      </c>
      <c r="K272" s="30" t="b">
        <f aca="false">FALSE()</f>
        <v>0</v>
      </c>
      <c r="L272" s="30" t="b">
        <f aca="false">FALSE()</f>
        <v>0</v>
      </c>
      <c r="M272" s="32" t="n">
        <f aca="false">COUNTIF(B272:F272,TRUE())</f>
        <v>0</v>
      </c>
      <c r="N272" s="32" t="n">
        <f aca="false">COUNTIF(G272:J272,TRUE())</f>
        <v>0</v>
      </c>
      <c r="O272" s="32" t="n">
        <f aca="false">COUNTIF(K272:L272,TRUE())</f>
        <v>0</v>
      </c>
      <c r="P272" s="33" t="n">
        <v>0</v>
      </c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customFormat="false" ht="21.75" hidden="false" customHeight="true" outlineLevel="0" collapsed="false">
      <c r="A273" s="29" t="s">
        <v>317</v>
      </c>
      <c r="B273" s="30" t="b">
        <f aca="false">FALSE()</f>
        <v>0</v>
      </c>
      <c r="C273" s="30" t="b">
        <f aca="false">FALSE()</f>
        <v>0</v>
      </c>
      <c r="D273" s="30" t="b">
        <f aca="false">FALSE()</f>
        <v>0</v>
      </c>
      <c r="E273" s="30" t="b">
        <f aca="false">FALSE()</f>
        <v>0</v>
      </c>
      <c r="F273" s="30" t="b">
        <f aca="false">FALSE()</f>
        <v>0</v>
      </c>
      <c r="G273" s="30" t="b">
        <f aca="false">FALSE()</f>
        <v>0</v>
      </c>
      <c r="H273" s="30" t="b">
        <f aca="false">FALSE()</f>
        <v>0</v>
      </c>
      <c r="I273" s="30" t="b">
        <f aca="false">FALSE()</f>
        <v>0</v>
      </c>
      <c r="J273" s="30" t="b">
        <f aca="false">FALSE()</f>
        <v>0</v>
      </c>
      <c r="K273" s="30" t="b">
        <f aca="false">FALSE()</f>
        <v>0</v>
      </c>
      <c r="L273" s="30" t="b">
        <f aca="false">FALSE()</f>
        <v>0</v>
      </c>
      <c r="M273" s="32" t="n">
        <f aca="false">COUNTIF(B273:F273,TRUE())</f>
        <v>0</v>
      </c>
      <c r="N273" s="32" t="n">
        <f aca="false">COUNTIF(G273:J273,TRUE())</f>
        <v>0</v>
      </c>
      <c r="O273" s="32" t="n">
        <f aca="false">COUNTIF(K273:L273,TRUE())</f>
        <v>0</v>
      </c>
      <c r="P273" s="33" t="n">
        <v>0</v>
      </c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customFormat="false" ht="21.75" hidden="false" customHeight="true" outlineLevel="0" collapsed="false">
      <c r="A274" s="29" t="s">
        <v>318</v>
      </c>
      <c r="B274" s="30" t="b">
        <f aca="false">FALSE()</f>
        <v>0</v>
      </c>
      <c r="C274" s="30" t="b">
        <f aca="false">FALSE()</f>
        <v>0</v>
      </c>
      <c r="D274" s="30" t="b">
        <f aca="false">FALSE()</f>
        <v>0</v>
      </c>
      <c r="E274" s="30" t="b">
        <f aca="false">FALSE()</f>
        <v>0</v>
      </c>
      <c r="F274" s="30" t="b">
        <f aca="false">FALSE()</f>
        <v>0</v>
      </c>
      <c r="G274" s="30" t="b">
        <f aca="false">FALSE()</f>
        <v>0</v>
      </c>
      <c r="H274" s="30" t="b">
        <f aca="false">FALSE()</f>
        <v>0</v>
      </c>
      <c r="I274" s="30" t="b">
        <f aca="false">FALSE()</f>
        <v>0</v>
      </c>
      <c r="J274" s="30" t="b">
        <f aca="false">FALSE()</f>
        <v>0</v>
      </c>
      <c r="K274" s="30" t="b">
        <f aca="false">FALSE()</f>
        <v>0</v>
      </c>
      <c r="L274" s="30" t="b">
        <f aca="false">FALSE()</f>
        <v>0</v>
      </c>
      <c r="M274" s="32" t="n">
        <f aca="false">COUNTIF(B274:F274,TRUE())</f>
        <v>0</v>
      </c>
      <c r="N274" s="32" t="n">
        <f aca="false">COUNTIF(G274:J274,TRUE())</f>
        <v>0</v>
      </c>
      <c r="O274" s="32" t="n">
        <f aca="false">COUNTIF(K274:L274,TRUE())</f>
        <v>0</v>
      </c>
      <c r="P274" s="33" t="n">
        <v>0</v>
      </c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customFormat="false" ht="21.75" hidden="false" customHeight="true" outlineLevel="0" collapsed="false">
      <c r="A275" s="29" t="s">
        <v>319</v>
      </c>
      <c r="B275" s="30" t="b">
        <f aca="false">FALSE()</f>
        <v>0</v>
      </c>
      <c r="C275" s="30" t="b">
        <f aca="false">FALSE()</f>
        <v>0</v>
      </c>
      <c r="D275" s="30" t="b">
        <f aca="false">FALSE()</f>
        <v>0</v>
      </c>
      <c r="E275" s="30" t="b">
        <f aca="false">FALSE()</f>
        <v>0</v>
      </c>
      <c r="F275" s="30" t="b">
        <f aca="false">FALSE()</f>
        <v>0</v>
      </c>
      <c r="G275" s="30" t="b">
        <f aca="false">FALSE()</f>
        <v>0</v>
      </c>
      <c r="H275" s="30" t="b">
        <f aca="false">FALSE()</f>
        <v>0</v>
      </c>
      <c r="I275" s="30" t="b">
        <f aca="false">FALSE()</f>
        <v>0</v>
      </c>
      <c r="J275" s="30" t="b">
        <f aca="false">FALSE()</f>
        <v>0</v>
      </c>
      <c r="K275" s="30" t="b">
        <f aca="false">FALSE()</f>
        <v>0</v>
      </c>
      <c r="L275" s="30" t="b">
        <f aca="false">FALSE()</f>
        <v>0</v>
      </c>
      <c r="M275" s="32" t="n">
        <f aca="false">COUNTIF(B275:F275,TRUE())</f>
        <v>0</v>
      </c>
      <c r="N275" s="32" t="n">
        <f aca="false">COUNTIF(G275:J275,TRUE())</f>
        <v>0</v>
      </c>
      <c r="O275" s="32" t="n">
        <f aca="false">COUNTIF(K275:L275,TRUE())</f>
        <v>0</v>
      </c>
      <c r="P275" s="33" t="n">
        <v>0</v>
      </c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customFormat="false" ht="21.75" hidden="false" customHeight="true" outlineLevel="0" collapsed="false">
      <c r="A276" s="29" t="s">
        <v>320</v>
      </c>
      <c r="B276" s="30" t="b">
        <f aca="false">FALSE()</f>
        <v>0</v>
      </c>
      <c r="C276" s="30" t="b">
        <f aca="false">FALSE()</f>
        <v>0</v>
      </c>
      <c r="D276" s="30" t="b">
        <f aca="false">FALSE()</f>
        <v>0</v>
      </c>
      <c r="E276" s="30" t="b">
        <f aca="false">FALSE()</f>
        <v>0</v>
      </c>
      <c r="F276" s="30" t="b">
        <f aca="false">FALSE()</f>
        <v>0</v>
      </c>
      <c r="G276" s="30" t="b">
        <f aca="false">FALSE()</f>
        <v>0</v>
      </c>
      <c r="H276" s="30" t="b">
        <f aca="false">FALSE()</f>
        <v>0</v>
      </c>
      <c r="I276" s="30" t="b">
        <f aca="false">FALSE()</f>
        <v>0</v>
      </c>
      <c r="J276" s="30" t="b">
        <f aca="false">FALSE()</f>
        <v>0</v>
      </c>
      <c r="K276" s="30" t="b">
        <f aca="false">FALSE()</f>
        <v>0</v>
      </c>
      <c r="L276" s="30" t="b">
        <f aca="false">FALSE()</f>
        <v>0</v>
      </c>
      <c r="M276" s="32" t="n">
        <f aca="false">COUNTIF(B276:F276,TRUE())</f>
        <v>0</v>
      </c>
      <c r="N276" s="32" t="n">
        <f aca="false">COUNTIF(G276:J276,TRUE())</f>
        <v>0</v>
      </c>
      <c r="O276" s="32" t="n">
        <f aca="false">COUNTIF(K276:L276,TRUE())</f>
        <v>0</v>
      </c>
      <c r="P276" s="33" t="n">
        <v>0</v>
      </c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customFormat="false" ht="21.75" hidden="false" customHeight="true" outlineLevel="0" collapsed="false">
      <c r="A277" s="29" t="s">
        <v>321</v>
      </c>
      <c r="B277" s="30" t="b">
        <f aca="false">FALSE()</f>
        <v>0</v>
      </c>
      <c r="C277" s="30" t="b">
        <f aca="false">FALSE()</f>
        <v>0</v>
      </c>
      <c r="D277" s="30" t="b">
        <f aca="false">FALSE()</f>
        <v>0</v>
      </c>
      <c r="E277" s="30" t="b">
        <f aca="false">FALSE()</f>
        <v>0</v>
      </c>
      <c r="F277" s="30" t="b">
        <f aca="false">FALSE()</f>
        <v>0</v>
      </c>
      <c r="G277" s="30" t="b">
        <f aca="false">FALSE()</f>
        <v>0</v>
      </c>
      <c r="H277" s="30" t="b">
        <f aca="false">FALSE()</f>
        <v>0</v>
      </c>
      <c r="I277" s="30" t="b">
        <f aca="false">FALSE()</f>
        <v>0</v>
      </c>
      <c r="J277" s="30" t="b">
        <f aca="false">FALSE()</f>
        <v>0</v>
      </c>
      <c r="K277" s="30" t="b">
        <f aca="false">FALSE()</f>
        <v>0</v>
      </c>
      <c r="L277" s="30" t="b">
        <f aca="false">FALSE()</f>
        <v>0</v>
      </c>
      <c r="M277" s="32" t="n">
        <f aca="false">COUNTIF(B277:F277,TRUE())</f>
        <v>0</v>
      </c>
      <c r="N277" s="32" t="n">
        <f aca="false">COUNTIF(G277:J277,TRUE())</f>
        <v>0</v>
      </c>
      <c r="O277" s="32" t="n">
        <f aca="false">COUNTIF(K277:L277,TRUE())</f>
        <v>0</v>
      </c>
      <c r="P277" s="33" t="n">
        <v>0</v>
      </c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customFormat="false" ht="21.75" hidden="false" customHeight="true" outlineLevel="0" collapsed="false">
      <c r="A278" s="29" t="s">
        <v>322</v>
      </c>
      <c r="B278" s="30" t="b">
        <f aca="false">FALSE()</f>
        <v>0</v>
      </c>
      <c r="C278" s="30" t="b">
        <f aca="false">FALSE()</f>
        <v>0</v>
      </c>
      <c r="D278" s="30" t="b">
        <f aca="false">FALSE()</f>
        <v>0</v>
      </c>
      <c r="E278" s="30" t="b">
        <f aca="false">FALSE()</f>
        <v>0</v>
      </c>
      <c r="F278" s="30" t="b">
        <f aca="false">FALSE()</f>
        <v>0</v>
      </c>
      <c r="G278" s="30" t="b">
        <f aca="false">FALSE()</f>
        <v>0</v>
      </c>
      <c r="H278" s="30" t="b">
        <f aca="false">FALSE()</f>
        <v>0</v>
      </c>
      <c r="I278" s="30" t="b">
        <f aca="false">FALSE()</f>
        <v>0</v>
      </c>
      <c r="J278" s="30" t="b">
        <f aca="false">FALSE()</f>
        <v>0</v>
      </c>
      <c r="K278" s="30" t="b">
        <f aca="false">FALSE()</f>
        <v>0</v>
      </c>
      <c r="L278" s="30" t="b">
        <f aca="false">FALSE()</f>
        <v>0</v>
      </c>
      <c r="M278" s="32" t="n">
        <f aca="false">COUNTIF(B278:F278,TRUE())</f>
        <v>0</v>
      </c>
      <c r="N278" s="32" t="n">
        <f aca="false">COUNTIF(G278:J278,TRUE())</f>
        <v>0</v>
      </c>
      <c r="O278" s="32" t="n">
        <f aca="false">COUNTIF(K278:L278,TRUE())</f>
        <v>0</v>
      </c>
      <c r="P278" s="33" t="n">
        <v>0</v>
      </c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customFormat="false" ht="21.75" hidden="false" customHeight="true" outlineLevel="0" collapsed="false">
      <c r="A279" s="29" t="s">
        <v>323</v>
      </c>
      <c r="B279" s="30" t="b">
        <f aca="false">FALSE()</f>
        <v>0</v>
      </c>
      <c r="C279" s="30" t="b">
        <f aca="false">FALSE()</f>
        <v>0</v>
      </c>
      <c r="D279" s="30" t="b">
        <f aca="false">FALSE()</f>
        <v>0</v>
      </c>
      <c r="E279" s="30" t="b">
        <f aca="false">FALSE()</f>
        <v>0</v>
      </c>
      <c r="F279" s="30" t="b">
        <f aca="false">FALSE()</f>
        <v>0</v>
      </c>
      <c r="G279" s="30" t="b">
        <f aca="false">FALSE()</f>
        <v>0</v>
      </c>
      <c r="H279" s="30" t="b">
        <f aca="false">FALSE()</f>
        <v>0</v>
      </c>
      <c r="I279" s="30" t="b">
        <f aca="false">FALSE()</f>
        <v>0</v>
      </c>
      <c r="J279" s="30" t="b">
        <f aca="false">FALSE()</f>
        <v>0</v>
      </c>
      <c r="K279" s="30" t="b">
        <f aca="false">FALSE()</f>
        <v>0</v>
      </c>
      <c r="L279" s="30" t="b">
        <f aca="false">FALSE()</f>
        <v>0</v>
      </c>
      <c r="M279" s="32" t="n">
        <f aca="false">COUNTIF(B279:F279,TRUE())</f>
        <v>0</v>
      </c>
      <c r="N279" s="32" t="n">
        <f aca="false">COUNTIF(G279:J279,TRUE())</f>
        <v>0</v>
      </c>
      <c r="O279" s="32" t="n">
        <f aca="false">COUNTIF(K279:L279,TRUE())</f>
        <v>0</v>
      </c>
      <c r="P279" s="33" t="n">
        <v>0</v>
      </c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customFormat="false" ht="21.75" hidden="false" customHeight="true" outlineLevel="0" collapsed="false">
      <c r="A280" s="29" t="s">
        <v>324</v>
      </c>
      <c r="B280" s="30" t="b">
        <f aca="false">FALSE()</f>
        <v>0</v>
      </c>
      <c r="C280" s="30" t="b">
        <f aca="false">FALSE()</f>
        <v>0</v>
      </c>
      <c r="D280" s="30" t="b">
        <f aca="false">FALSE()</f>
        <v>0</v>
      </c>
      <c r="E280" s="30" t="b">
        <f aca="false">FALSE()</f>
        <v>0</v>
      </c>
      <c r="F280" s="30" t="b">
        <f aca="false">FALSE()</f>
        <v>0</v>
      </c>
      <c r="G280" s="30" t="b">
        <f aca="false">FALSE()</f>
        <v>0</v>
      </c>
      <c r="H280" s="30" t="b">
        <f aca="false">FALSE()</f>
        <v>0</v>
      </c>
      <c r="I280" s="30" t="b">
        <f aca="false">FALSE()</f>
        <v>0</v>
      </c>
      <c r="J280" s="30" t="b">
        <f aca="false">FALSE()</f>
        <v>0</v>
      </c>
      <c r="K280" s="30" t="b">
        <f aca="false">FALSE()</f>
        <v>0</v>
      </c>
      <c r="L280" s="30" t="b">
        <f aca="false">FALSE()</f>
        <v>0</v>
      </c>
      <c r="M280" s="32" t="n">
        <f aca="false">COUNTIF(B280:F280,TRUE())</f>
        <v>0</v>
      </c>
      <c r="N280" s="32" t="n">
        <f aca="false">COUNTIF(G280:J280,TRUE())</f>
        <v>0</v>
      </c>
      <c r="O280" s="32" t="n">
        <f aca="false">COUNTIF(K280:L280,TRUE())</f>
        <v>0</v>
      </c>
      <c r="P280" s="33" t="n">
        <v>0</v>
      </c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customFormat="false" ht="21.75" hidden="false" customHeight="true" outlineLevel="0" collapsed="false">
      <c r="A281" s="29" t="s">
        <v>325</v>
      </c>
      <c r="B281" s="30" t="b">
        <f aca="false">FALSE()</f>
        <v>0</v>
      </c>
      <c r="C281" s="30" t="b">
        <f aca="false">FALSE()</f>
        <v>0</v>
      </c>
      <c r="D281" s="30" t="b">
        <f aca="false">FALSE()</f>
        <v>0</v>
      </c>
      <c r="E281" s="30" t="b">
        <f aca="false">FALSE()</f>
        <v>0</v>
      </c>
      <c r="F281" s="30" t="b">
        <f aca="false">FALSE()</f>
        <v>0</v>
      </c>
      <c r="G281" s="30" t="b">
        <f aca="false">FALSE()</f>
        <v>0</v>
      </c>
      <c r="H281" s="30" t="b">
        <f aca="false">FALSE()</f>
        <v>0</v>
      </c>
      <c r="I281" s="30" t="b">
        <f aca="false">FALSE()</f>
        <v>0</v>
      </c>
      <c r="J281" s="30" t="b">
        <f aca="false">FALSE()</f>
        <v>0</v>
      </c>
      <c r="K281" s="30" t="b">
        <f aca="false">FALSE()</f>
        <v>0</v>
      </c>
      <c r="L281" s="30" t="b">
        <f aca="false">FALSE()</f>
        <v>0</v>
      </c>
      <c r="M281" s="32" t="n">
        <f aca="false">COUNTIF(B281:F281,TRUE())</f>
        <v>0</v>
      </c>
      <c r="N281" s="32" t="n">
        <f aca="false">COUNTIF(G281:J281,TRUE())</f>
        <v>0</v>
      </c>
      <c r="O281" s="32" t="n">
        <f aca="false">COUNTIF(K281:L281,TRUE())</f>
        <v>0</v>
      </c>
      <c r="P281" s="33" t="n">
        <v>0</v>
      </c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customFormat="false" ht="21.75" hidden="false" customHeight="true" outlineLevel="0" collapsed="false">
      <c r="A282" s="29" t="s">
        <v>326</v>
      </c>
      <c r="B282" s="30" t="b">
        <f aca="false">FALSE()</f>
        <v>0</v>
      </c>
      <c r="C282" s="30" t="b">
        <f aca="false">FALSE()</f>
        <v>0</v>
      </c>
      <c r="D282" s="30" t="b">
        <f aca="false">FALSE()</f>
        <v>0</v>
      </c>
      <c r="E282" s="30" t="b">
        <f aca="false">FALSE()</f>
        <v>0</v>
      </c>
      <c r="F282" s="30" t="b">
        <f aca="false">FALSE()</f>
        <v>0</v>
      </c>
      <c r="G282" s="30" t="b">
        <f aca="false">FALSE()</f>
        <v>0</v>
      </c>
      <c r="H282" s="30" t="b">
        <f aca="false">FALSE()</f>
        <v>0</v>
      </c>
      <c r="I282" s="30" t="b">
        <f aca="false">FALSE()</f>
        <v>0</v>
      </c>
      <c r="J282" s="30" t="b">
        <f aca="false">FALSE()</f>
        <v>0</v>
      </c>
      <c r="K282" s="30" t="b">
        <f aca="false">FALSE()</f>
        <v>0</v>
      </c>
      <c r="L282" s="30" t="b">
        <f aca="false">FALSE()</f>
        <v>0</v>
      </c>
      <c r="M282" s="32" t="n">
        <f aca="false">COUNTIF(B282:F282,TRUE())</f>
        <v>0</v>
      </c>
      <c r="N282" s="32" t="n">
        <f aca="false">COUNTIF(G282:J282,TRUE())</f>
        <v>0</v>
      </c>
      <c r="O282" s="32" t="n">
        <f aca="false">COUNTIF(K282:L282,TRUE())</f>
        <v>0</v>
      </c>
      <c r="P282" s="33" t="n">
        <v>0</v>
      </c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customFormat="false" ht="21.75" hidden="false" customHeight="true" outlineLevel="0" collapsed="false">
      <c r="A283" s="29" t="s">
        <v>327</v>
      </c>
      <c r="B283" s="30" t="b">
        <f aca="false">FALSE()</f>
        <v>0</v>
      </c>
      <c r="C283" s="30" t="b">
        <f aca="false">FALSE()</f>
        <v>0</v>
      </c>
      <c r="D283" s="30" t="b">
        <f aca="false">FALSE()</f>
        <v>0</v>
      </c>
      <c r="E283" s="30" t="b">
        <f aca="false">FALSE()</f>
        <v>0</v>
      </c>
      <c r="F283" s="30" t="b">
        <f aca="false">FALSE()</f>
        <v>0</v>
      </c>
      <c r="G283" s="30" t="b">
        <f aca="false">FALSE()</f>
        <v>0</v>
      </c>
      <c r="H283" s="30" t="b">
        <f aca="false">FALSE()</f>
        <v>0</v>
      </c>
      <c r="I283" s="30" t="b">
        <f aca="false">FALSE()</f>
        <v>0</v>
      </c>
      <c r="J283" s="30" t="b">
        <f aca="false">FALSE()</f>
        <v>0</v>
      </c>
      <c r="K283" s="30" t="b">
        <f aca="false">FALSE()</f>
        <v>0</v>
      </c>
      <c r="L283" s="30" t="b">
        <f aca="false">FALSE()</f>
        <v>0</v>
      </c>
      <c r="M283" s="32" t="n">
        <f aca="false">COUNTIF(B283:F283,TRUE())</f>
        <v>0</v>
      </c>
      <c r="N283" s="32" t="n">
        <f aca="false">COUNTIF(G283:J283,TRUE())</f>
        <v>0</v>
      </c>
      <c r="O283" s="32" t="n">
        <f aca="false">COUNTIF(K283:L283,TRUE())</f>
        <v>0</v>
      </c>
      <c r="P283" s="33" t="n">
        <v>0</v>
      </c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customFormat="false" ht="21.75" hidden="false" customHeight="true" outlineLevel="0" collapsed="false">
      <c r="A284" s="29"/>
      <c r="B284" s="30" t="b">
        <f aca="false">FALSE()</f>
        <v>0</v>
      </c>
      <c r="C284" s="30" t="b">
        <f aca="false">FALSE()</f>
        <v>0</v>
      </c>
      <c r="D284" s="30" t="b">
        <f aca="false">FALSE()</f>
        <v>0</v>
      </c>
      <c r="E284" s="30" t="b">
        <f aca="false">FALSE()</f>
        <v>0</v>
      </c>
      <c r="F284" s="30" t="b">
        <f aca="false">FALSE()</f>
        <v>0</v>
      </c>
      <c r="G284" s="30" t="b">
        <f aca="false">FALSE()</f>
        <v>0</v>
      </c>
      <c r="H284" s="30" t="b">
        <f aca="false">FALSE()</f>
        <v>0</v>
      </c>
      <c r="I284" s="30" t="b">
        <f aca="false">FALSE()</f>
        <v>0</v>
      </c>
      <c r="J284" s="30" t="b">
        <f aca="false">FALSE()</f>
        <v>0</v>
      </c>
      <c r="K284" s="30" t="b">
        <f aca="false">FALSE()</f>
        <v>0</v>
      </c>
      <c r="L284" s="30" t="b">
        <f aca="false">FALSE()</f>
        <v>0</v>
      </c>
      <c r="M284" s="32" t="n">
        <f aca="false">COUNTIF(B284:F284,TRUE())</f>
        <v>0</v>
      </c>
      <c r="N284" s="32" t="n">
        <f aca="false">COUNTIF(G284:J284,TRUE())</f>
        <v>0</v>
      </c>
      <c r="O284" s="32" t="n">
        <f aca="false">COUNTIF(K284:L284,TRUE())</f>
        <v>0</v>
      </c>
      <c r="P284" s="33" t="n">
        <v>0</v>
      </c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customFormat="false" ht="21.75" hidden="false" customHeight="true" outlineLevel="0" collapsed="false">
      <c r="A285" s="29"/>
      <c r="B285" s="30" t="b">
        <f aca="false">FALSE()</f>
        <v>0</v>
      </c>
      <c r="C285" s="30" t="b">
        <f aca="false">FALSE()</f>
        <v>0</v>
      </c>
      <c r="D285" s="30" t="b">
        <f aca="false">FALSE()</f>
        <v>0</v>
      </c>
      <c r="E285" s="30" t="b">
        <f aca="false">FALSE()</f>
        <v>0</v>
      </c>
      <c r="F285" s="30" t="b">
        <f aca="false">FALSE()</f>
        <v>0</v>
      </c>
      <c r="G285" s="30" t="b">
        <f aca="false">FALSE()</f>
        <v>0</v>
      </c>
      <c r="H285" s="30" t="b">
        <f aca="false">FALSE()</f>
        <v>0</v>
      </c>
      <c r="I285" s="30" t="b">
        <f aca="false">FALSE()</f>
        <v>0</v>
      </c>
      <c r="J285" s="30" t="b">
        <f aca="false">FALSE()</f>
        <v>0</v>
      </c>
      <c r="K285" s="30" t="b">
        <f aca="false">FALSE()</f>
        <v>0</v>
      </c>
      <c r="L285" s="30" t="b">
        <f aca="false">FALSE()</f>
        <v>0</v>
      </c>
      <c r="M285" s="32" t="n">
        <f aca="false">COUNTIF(B285:F285,TRUE())</f>
        <v>0</v>
      </c>
      <c r="N285" s="32" t="n">
        <f aca="false">COUNTIF(G285:J285,TRUE())</f>
        <v>0</v>
      </c>
      <c r="O285" s="32" t="n">
        <f aca="false">COUNTIF(K285:L285,TRUE())</f>
        <v>0</v>
      </c>
      <c r="P285" s="33" t="n">
        <v>0</v>
      </c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customFormat="false" ht="21.75" hidden="false" customHeight="true" outlineLevel="0" collapsed="false">
      <c r="A286" s="29"/>
      <c r="B286" s="30" t="b">
        <f aca="false">FALSE()</f>
        <v>0</v>
      </c>
      <c r="C286" s="30" t="b">
        <f aca="false">FALSE()</f>
        <v>0</v>
      </c>
      <c r="D286" s="30" t="b">
        <f aca="false">FALSE()</f>
        <v>0</v>
      </c>
      <c r="E286" s="30" t="b">
        <f aca="false">FALSE()</f>
        <v>0</v>
      </c>
      <c r="F286" s="30" t="b">
        <f aca="false">FALSE()</f>
        <v>0</v>
      </c>
      <c r="G286" s="30" t="b">
        <f aca="false">FALSE()</f>
        <v>0</v>
      </c>
      <c r="H286" s="30" t="b">
        <f aca="false">FALSE()</f>
        <v>0</v>
      </c>
      <c r="I286" s="30" t="b">
        <f aca="false">FALSE()</f>
        <v>0</v>
      </c>
      <c r="J286" s="30" t="b">
        <f aca="false">FALSE()</f>
        <v>0</v>
      </c>
      <c r="K286" s="30" t="b">
        <f aca="false">FALSE()</f>
        <v>0</v>
      </c>
      <c r="L286" s="30" t="b">
        <f aca="false">FALSE()</f>
        <v>0</v>
      </c>
      <c r="M286" s="32" t="n">
        <f aca="false">COUNTIF(B286:F286,TRUE())</f>
        <v>0</v>
      </c>
      <c r="N286" s="32" t="n">
        <f aca="false">COUNTIF(G286:J286,TRUE())</f>
        <v>0</v>
      </c>
      <c r="O286" s="32" t="n">
        <f aca="false">COUNTIF(K286:L286,TRUE())</f>
        <v>0</v>
      </c>
      <c r="P286" s="33" t="n">
        <v>0</v>
      </c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customFormat="false" ht="21.75" hidden="false" customHeight="true" outlineLevel="0" collapsed="false">
      <c r="A287" s="29"/>
      <c r="B287" s="30" t="b">
        <f aca="false">FALSE()</f>
        <v>0</v>
      </c>
      <c r="C287" s="30" t="b">
        <f aca="false">FALSE()</f>
        <v>0</v>
      </c>
      <c r="D287" s="30" t="b">
        <f aca="false">FALSE()</f>
        <v>0</v>
      </c>
      <c r="E287" s="30" t="b">
        <f aca="false">FALSE()</f>
        <v>0</v>
      </c>
      <c r="F287" s="30" t="b">
        <f aca="false">FALSE()</f>
        <v>0</v>
      </c>
      <c r="G287" s="30" t="b">
        <f aca="false">FALSE()</f>
        <v>0</v>
      </c>
      <c r="H287" s="30" t="b">
        <f aca="false">FALSE()</f>
        <v>0</v>
      </c>
      <c r="I287" s="30" t="b">
        <f aca="false">FALSE()</f>
        <v>0</v>
      </c>
      <c r="J287" s="30" t="b">
        <f aca="false">FALSE()</f>
        <v>0</v>
      </c>
      <c r="K287" s="30" t="b">
        <f aca="false">FALSE()</f>
        <v>0</v>
      </c>
      <c r="L287" s="30" t="b">
        <f aca="false">FALSE()</f>
        <v>0</v>
      </c>
      <c r="M287" s="32" t="n">
        <f aca="false">COUNTIF(B287:F287,TRUE())</f>
        <v>0</v>
      </c>
      <c r="N287" s="32" t="n">
        <f aca="false">COUNTIF(G287:J287,TRUE())</f>
        <v>0</v>
      </c>
      <c r="O287" s="32" t="n">
        <f aca="false">COUNTIF(K287:L287,TRUE())</f>
        <v>0</v>
      </c>
      <c r="P287" s="33" t="n">
        <v>0</v>
      </c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customFormat="false" ht="21.75" hidden="false" customHeight="true" outlineLevel="0" collapsed="false">
      <c r="A288" s="29"/>
      <c r="B288" s="30" t="b">
        <f aca="false">FALSE()</f>
        <v>0</v>
      </c>
      <c r="C288" s="30" t="b">
        <f aca="false">FALSE()</f>
        <v>0</v>
      </c>
      <c r="D288" s="30" t="b">
        <f aca="false">FALSE()</f>
        <v>0</v>
      </c>
      <c r="E288" s="30" t="b">
        <f aca="false">FALSE()</f>
        <v>0</v>
      </c>
      <c r="F288" s="30" t="b">
        <f aca="false">FALSE()</f>
        <v>0</v>
      </c>
      <c r="G288" s="30" t="b">
        <f aca="false">FALSE()</f>
        <v>0</v>
      </c>
      <c r="H288" s="30" t="b">
        <f aca="false">FALSE()</f>
        <v>0</v>
      </c>
      <c r="I288" s="30" t="b">
        <f aca="false">FALSE()</f>
        <v>0</v>
      </c>
      <c r="J288" s="30" t="b">
        <f aca="false">FALSE()</f>
        <v>0</v>
      </c>
      <c r="K288" s="30" t="b">
        <f aca="false">FALSE()</f>
        <v>0</v>
      </c>
      <c r="L288" s="30" t="b">
        <f aca="false">FALSE()</f>
        <v>0</v>
      </c>
      <c r="M288" s="32" t="n">
        <f aca="false">COUNTIF(B288:F288,TRUE())</f>
        <v>0</v>
      </c>
      <c r="N288" s="32" t="n">
        <f aca="false">COUNTIF(G288:J288,TRUE())</f>
        <v>0</v>
      </c>
      <c r="O288" s="32" t="n">
        <f aca="false">COUNTIF(K288:L288,TRUE())</f>
        <v>0</v>
      </c>
      <c r="P288" s="33" t="n">
        <v>0</v>
      </c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customFormat="false" ht="21.75" hidden="false" customHeight="true" outlineLevel="0" collapsed="false">
      <c r="A289" s="29"/>
      <c r="B289" s="30" t="b">
        <f aca="false">FALSE()</f>
        <v>0</v>
      </c>
      <c r="C289" s="30" t="b">
        <f aca="false">FALSE()</f>
        <v>0</v>
      </c>
      <c r="D289" s="30" t="b">
        <f aca="false">FALSE()</f>
        <v>0</v>
      </c>
      <c r="E289" s="30" t="b">
        <f aca="false">FALSE()</f>
        <v>0</v>
      </c>
      <c r="F289" s="30" t="b">
        <f aca="false">FALSE()</f>
        <v>0</v>
      </c>
      <c r="G289" s="30" t="b">
        <f aca="false">FALSE()</f>
        <v>0</v>
      </c>
      <c r="H289" s="30" t="b">
        <f aca="false">FALSE()</f>
        <v>0</v>
      </c>
      <c r="I289" s="30" t="b">
        <f aca="false">FALSE()</f>
        <v>0</v>
      </c>
      <c r="J289" s="30" t="b">
        <f aca="false">FALSE()</f>
        <v>0</v>
      </c>
      <c r="K289" s="30" t="b">
        <f aca="false">FALSE()</f>
        <v>0</v>
      </c>
      <c r="L289" s="30" t="b">
        <f aca="false">FALSE()</f>
        <v>0</v>
      </c>
      <c r="M289" s="32" t="n">
        <f aca="false">COUNTIF(B289:F289,TRUE())</f>
        <v>0</v>
      </c>
      <c r="N289" s="32" t="n">
        <f aca="false">COUNTIF(G289:J289,TRUE())</f>
        <v>0</v>
      </c>
      <c r="O289" s="32" t="n">
        <f aca="false">COUNTIF(K289:L289,TRUE())</f>
        <v>0</v>
      </c>
      <c r="P289" s="33" t="n">
        <v>0</v>
      </c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customFormat="false" ht="21.75" hidden="false" customHeight="true" outlineLevel="0" collapsed="false">
      <c r="A290" s="29"/>
      <c r="B290" s="30" t="b">
        <f aca="false">FALSE()</f>
        <v>0</v>
      </c>
      <c r="C290" s="30" t="b">
        <f aca="false">FALSE()</f>
        <v>0</v>
      </c>
      <c r="D290" s="30" t="b">
        <f aca="false">FALSE()</f>
        <v>0</v>
      </c>
      <c r="E290" s="30" t="b">
        <f aca="false">FALSE()</f>
        <v>0</v>
      </c>
      <c r="F290" s="30" t="b">
        <f aca="false">FALSE()</f>
        <v>0</v>
      </c>
      <c r="G290" s="30" t="b">
        <f aca="false">FALSE()</f>
        <v>0</v>
      </c>
      <c r="H290" s="30" t="b">
        <f aca="false">FALSE()</f>
        <v>0</v>
      </c>
      <c r="I290" s="30" t="b">
        <f aca="false">FALSE()</f>
        <v>0</v>
      </c>
      <c r="J290" s="30" t="b">
        <f aca="false">FALSE()</f>
        <v>0</v>
      </c>
      <c r="K290" s="30" t="b">
        <f aca="false">FALSE()</f>
        <v>0</v>
      </c>
      <c r="L290" s="30" t="b">
        <f aca="false">FALSE()</f>
        <v>0</v>
      </c>
      <c r="M290" s="32" t="n">
        <f aca="false">COUNTIF(B290:F290,TRUE())</f>
        <v>0</v>
      </c>
      <c r="N290" s="32" t="n">
        <f aca="false">COUNTIF(G290:J290,TRUE())</f>
        <v>0</v>
      </c>
      <c r="O290" s="32" t="n">
        <f aca="false">COUNTIF(K290:L290,TRUE())</f>
        <v>0</v>
      </c>
      <c r="P290" s="33" t="n">
        <v>0</v>
      </c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customFormat="false" ht="21.75" hidden="false" customHeight="true" outlineLevel="0" collapsed="false">
      <c r="A291" s="29"/>
      <c r="B291" s="30" t="b">
        <f aca="false">FALSE()</f>
        <v>0</v>
      </c>
      <c r="C291" s="30" t="b">
        <f aca="false">FALSE()</f>
        <v>0</v>
      </c>
      <c r="D291" s="30" t="b">
        <f aca="false">FALSE()</f>
        <v>0</v>
      </c>
      <c r="E291" s="30" t="b">
        <f aca="false">FALSE()</f>
        <v>0</v>
      </c>
      <c r="F291" s="30" t="b">
        <f aca="false">FALSE()</f>
        <v>0</v>
      </c>
      <c r="G291" s="30" t="b">
        <f aca="false">FALSE()</f>
        <v>0</v>
      </c>
      <c r="H291" s="30" t="b">
        <f aca="false">FALSE()</f>
        <v>0</v>
      </c>
      <c r="I291" s="30" t="b">
        <f aca="false">FALSE()</f>
        <v>0</v>
      </c>
      <c r="J291" s="30" t="b">
        <f aca="false">FALSE()</f>
        <v>0</v>
      </c>
      <c r="K291" s="30" t="b">
        <f aca="false">FALSE()</f>
        <v>0</v>
      </c>
      <c r="L291" s="30" t="b">
        <f aca="false">FALSE()</f>
        <v>0</v>
      </c>
      <c r="M291" s="32" t="n">
        <f aca="false">COUNTIF(B291:F291,TRUE())</f>
        <v>0</v>
      </c>
      <c r="N291" s="32" t="n">
        <f aca="false">COUNTIF(G291:J291,TRUE())</f>
        <v>0</v>
      </c>
      <c r="O291" s="32" t="n">
        <f aca="false">COUNTIF(K291:L291,TRUE())</f>
        <v>0</v>
      </c>
      <c r="P291" s="33" t="n">
        <v>0</v>
      </c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customFormat="false" ht="21.75" hidden="false" customHeight="true" outlineLevel="0" collapsed="false">
      <c r="A292" s="29"/>
      <c r="B292" s="30" t="b">
        <f aca="false">FALSE()</f>
        <v>0</v>
      </c>
      <c r="C292" s="30" t="b">
        <f aca="false">FALSE()</f>
        <v>0</v>
      </c>
      <c r="D292" s="30" t="b">
        <f aca="false">FALSE()</f>
        <v>0</v>
      </c>
      <c r="E292" s="30" t="b">
        <f aca="false">FALSE()</f>
        <v>0</v>
      </c>
      <c r="F292" s="30" t="b">
        <f aca="false">FALSE()</f>
        <v>0</v>
      </c>
      <c r="G292" s="30" t="b">
        <f aca="false">FALSE()</f>
        <v>0</v>
      </c>
      <c r="H292" s="30" t="b">
        <f aca="false">FALSE()</f>
        <v>0</v>
      </c>
      <c r="I292" s="30" t="b">
        <f aca="false">FALSE()</f>
        <v>0</v>
      </c>
      <c r="J292" s="30" t="b">
        <f aca="false">FALSE()</f>
        <v>0</v>
      </c>
      <c r="K292" s="30" t="b">
        <f aca="false">FALSE()</f>
        <v>0</v>
      </c>
      <c r="L292" s="30" t="b">
        <f aca="false">FALSE()</f>
        <v>0</v>
      </c>
      <c r="M292" s="32" t="n">
        <f aca="false">COUNTIF(B292:F292,TRUE())</f>
        <v>0</v>
      </c>
      <c r="N292" s="32" t="n">
        <f aca="false">COUNTIF(G292:J292,TRUE())</f>
        <v>0</v>
      </c>
      <c r="O292" s="32" t="n">
        <f aca="false">COUNTIF(K292:L292,TRUE())</f>
        <v>0</v>
      </c>
      <c r="P292" s="33" t="n">
        <v>0</v>
      </c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customFormat="false" ht="21.75" hidden="false" customHeight="true" outlineLevel="0" collapsed="false">
      <c r="A293" s="29"/>
      <c r="B293" s="30" t="b">
        <f aca="false">FALSE()</f>
        <v>0</v>
      </c>
      <c r="C293" s="30" t="b">
        <f aca="false">FALSE()</f>
        <v>0</v>
      </c>
      <c r="D293" s="30" t="b">
        <f aca="false">FALSE()</f>
        <v>0</v>
      </c>
      <c r="E293" s="30" t="b">
        <f aca="false">FALSE()</f>
        <v>0</v>
      </c>
      <c r="F293" s="30" t="b">
        <f aca="false">FALSE()</f>
        <v>0</v>
      </c>
      <c r="G293" s="30" t="b">
        <f aca="false">FALSE()</f>
        <v>0</v>
      </c>
      <c r="H293" s="30" t="b">
        <f aca="false">FALSE()</f>
        <v>0</v>
      </c>
      <c r="I293" s="30" t="b">
        <f aca="false">FALSE()</f>
        <v>0</v>
      </c>
      <c r="J293" s="30" t="b">
        <f aca="false">FALSE()</f>
        <v>0</v>
      </c>
      <c r="K293" s="30" t="b">
        <f aca="false">FALSE()</f>
        <v>0</v>
      </c>
      <c r="L293" s="30" t="b">
        <f aca="false">FALSE()</f>
        <v>0</v>
      </c>
      <c r="M293" s="32" t="n">
        <f aca="false">COUNTIF(B293:F293,TRUE())</f>
        <v>0</v>
      </c>
      <c r="N293" s="32" t="n">
        <f aca="false">COUNTIF(G293:J293,TRUE())</f>
        <v>0</v>
      </c>
      <c r="O293" s="32" t="n">
        <f aca="false">COUNTIF(K293:L293,TRUE())</f>
        <v>0</v>
      </c>
      <c r="P293" s="33" t="n">
        <v>0</v>
      </c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customFormat="false" ht="21.75" hidden="false" customHeight="true" outlineLevel="0" collapsed="false">
      <c r="A294" s="29"/>
      <c r="B294" s="30" t="b">
        <f aca="false">FALSE()</f>
        <v>0</v>
      </c>
      <c r="C294" s="30" t="b">
        <f aca="false">FALSE()</f>
        <v>0</v>
      </c>
      <c r="D294" s="30" t="b">
        <f aca="false">FALSE()</f>
        <v>0</v>
      </c>
      <c r="E294" s="30" t="b">
        <f aca="false">FALSE()</f>
        <v>0</v>
      </c>
      <c r="F294" s="30" t="b">
        <f aca="false">FALSE()</f>
        <v>0</v>
      </c>
      <c r="G294" s="30" t="b">
        <f aca="false">FALSE()</f>
        <v>0</v>
      </c>
      <c r="H294" s="30" t="b">
        <f aca="false">FALSE()</f>
        <v>0</v>
      </c>
      <c r="I294" s="30" t="b">
        <f aca="false">FALSE()</f>
        <v>0</v>
      </c>
      <c r="J294" s="30" t="b">
        <f aca="false">FALSE()</f>
        <v>0</v>
      </c>
      <c r="K294" s="30" t="b">
        <f aca="false">FALSE()</f>
        <v>0</v>
      </c>
      <c r="L294" s="30" t="b">
        <f aca="false">FALSE()</f>
        <v>0</v>
      </c>
      <c r="M294" s="32" t="n">
        <f aca="false">COUNTIF(B294:F294,TRUE())</f>
        <v>0</v>
      </c>
      <c r="N294" s="32" t="n">
        <f aca="false">COUNTIF(G294:J294,TRUE())</f>
        <v>0</v>
      </c>
      <c r="O294" s="32" t="n">
        <f aca="false">COUNTIF(K294:L294,TRUE())</f>
        <v>0</v>
      </c>
      <c r="P294" s="33" t="n">
        <v>0</v>
      </c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customFormat="false" ht="21.75" hidden="false" customHeight="true" outlineLevel="0" collapsed="false">
      <c r="A295" s="29"/>
      <c r="B295" s="30" t="b">
        <f aca="false">FALSE()</f>
        <v>0</v>
      </c>
      <c r="C295" s="30" t="b">
        <f aca="false">FALSE()</f>
        <v>0</v>
      </c>
      <c r="D295" s="30" t="b">
        <f aca="false">FALSE()</f>
        <v>0</v>
      </c>
      <c r="E295" s="30" t="b">
        <f aca="false">FALSE()</f>
        <v>0</v>
      </c>
      <c r="F295" s="30" t="b">
        <f aca="false">FALSE()</f>
        <v>0</v>
      </c>
      <c r="G295" s="30" t="b">
        <f aca="false">FALSE()</f>
        <v>0</v>
      </c>
      <c r="H295" s="30" t="b">
        <f aca="false">FALSE()</f>
        <v>0</v>
      </c>
      <c r="I295" s="30" t="b">
        <f aca="false">FALSE()</f>
        <v>0</v>
      </c>
      <c r="J295" s="30" t="b">
        <f aca="false">FALSE()</f>
        <v>0</v>
      </c>
      <c r="K295" s="30" t="b">
        <f aca="false">FALSE()</f>
        <v>0</v>
      </c>
      <c r="L295" s="30" t="b">
        <f aca="false">FALSE()</f>
        <v>0</v>
      </c>
      <c r="M295" s="32" t="n">
        <f aca="false">COUNTIF(B295:F295,TRUE())</f>
        <v>0</v>
      </c>
      <c r="N295" s="32" t="n">
        <f aca="false">COUNTIF(G295:J295,TRUE())</f>
        <v>0</v>
      </c>
      <c r="O295" s="32" t="n">
        <f aca="false">COUNTIF(K295:L295,TRUE())</f>
        <v>0</v>
      </c>
      <c r="P295" s="33" t="n">
        <v>0</v>
      </c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customFormat="false" ht="21.75" hidden="false" customHeight="true" outlineLevel="0" collapsed="false">
      <c r="A296" s="29"/>
      <c r="B296" s="30" t="b">
        <f aca="false">FALSE()</f>
        <v>0</v>
      </c>
      <c r="C296" s="30" t="b">
        <f aca="false">FALSE()</f>
        <v>0</v>
      </c>
      <c r="D296" s="30" t="b">
        <f aca="false">FALSE()</f>
        <v>0</v>
      </c>
      <c r="E296" s="30" t="b">
        <f aca="false">FALSE()</f>
        <v>0</v>
      </c>
      <c r="F296" s="30" t="b">
        <f aca="false">FALSE()</f>
        <v>0</v>
      </c>
      <c r="G296" s="30" t="b">
        <f aca="false">FALSE()</f>
        <v>0</v>
      </c>
      <c r="H296" s="30" t="b">
        <f aca="false">FALSE()</f>
        <v>0</v>
      </c>
      <c r="I296" s="30" t="b">
        <f aca="false">FALSE()</f>
        <v>0</v>
      </c>
      <c r="J296" s="30" t="b">
        <f aca="false">FALSE()</f>
        <v>0</v>
      </c>
      <c r="K296" s="30" t="b">
        <f aca="false">FALSE()</f>
        <v>0</v>
      </c>
      <c r="L296" s="30" t="b">
        <f aca="false">FALSE()</f>
        <v>0</v>
      </c>
      <c r="M296" s="32" t="n">
        <f aca="false">COUNTIF(B296:F296,TRUE())</f>
        <v>0</v>
      </c>
      <c r="N296" s="32" t="n">
        <f aca="false">COUNTIF(G296:J296,TRUE())</f>
        <v>0</v>
      </c>
      <c r="O296" s="32" t="n">
        <f aca="false">COUNTIF(K296:L296,TRUE())</f>
        <v>0</v>
      </c>
      <c r="P296" s="33" t="n">
        <v>0</v>
      </c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customFormat="false" ht="21.75" hidden="false" customHeight="true" outlineLevel="0" collapsed="false">
      <c r="A297" s="29"/>
      <c r="B297" s="30" t="b">
        <f aca="false">FALSE()</f>
        <v>0</v>
      </c>
      <c r="C297" s="30" t="b">
        <f aca="false">FALSE()</f>
        <v>0</v>
      </c>
      <c r="D297" s="30" t="b">
        <f aca="false">FALSE()</f>
        <v>0</v>
      </c>
      <c r="E297" s="30" t="b">
        <f aca="false">FALSE()</f>
        <v>0</v>
      </c>
      <c r="F297" s="30" t="b">
        <f aca="false">FALSE()</f>
        <v>0</v>
      </c>
      <c r="G297" s="30" t="b">
        <f aca="false">FALSE()</f>
        <v>0</v>
      </c>
      <c r="H297" s="30" t="b">
        <f aca="false">FALSE()</f>
        <v>0</v>
      </c>
      <c r="I297" s="30" t="b">
        <f aca="false">FALSE()</f>
        <v>0</v>
      </c>
      <c r="J297" s="30" t="b">
        <f aca="false">FALSE()</f>
        <v>0</v>
      </c>
      <c r="K297" s="30" t="b">
        <f aca="false">FALSE()</f>
        <v>0</v>
      </c>
      <c r="L297" s="30" t="b">
        <f aca="false">FALSE()</f>
        <v>0</v>
      </c>
      <c r="M297" s="32" t="n">
        <f aca="false">COUNTIF(B297:F297,TRUE())</f>
        <v>0</v>
      </c>
      <c r="N297" s="32" t="n">
        <f aca="false">COUNTIF(G297:J297,TRUE())</f>
        <v>0</v>
      </c>
      <c r="O297" s="32" t="n">
        <f aca="false">COUNTIF(K297:L297,TRUE())</f>
        <v>0</v>
      </c>
      <c r="P297" s="33" t="n">
        <v>0</v>
      </c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customFormat="false" ht="21.75" hidden="false" customHeight="true" outlineLevel="0" collapsed="false">
      <c r="A298" s="29"/>
      <c r="B298" s="30" t="b">
        <f aca="false">FALSE()</f>
        <v>0</v>
      </c>
      <c r="C298" s="30" t="b">
        <f aca="false">FALSE()</f>
        <v>0</v>
      </c>
      <c r="D298" s="30" t="b">
        <f aca="false">FALSE()</f>
        <v>0</v>
      </c>
      <c r="E298" s="30" t="b">
        <f aca="false">FALSE()</f>
        <v>0</v>
      </c>
      <c r="F298" s="30" t="b">
        <f aca="false">FALSE()</f>
        <v>0</v>
      </c>
      <c r="G298" s="30" t="b">
        <f aca="false">FALSE()</f>
        <v>0</v>
      </c>
      <c r="H298" s="30" t="b">
        <f aca="false">FALSE()</f>
        <v>0</v>
      </c>
      <c r="I298" s="30" t="b">
        <f aca="false">FALSE()</f>
        <v>0</v>
      </c>
      <c r="J298" s="30" t="b">
        <f aca="false">FALSE()</f>
        <v>0</v>
      </c>
      <c r="K298" s="30" t="b">
        <f aca="false">FALSE()</f>
        <v>0</v>
      </c>
      <c r="L298" s="30" t="b">
        <f aca="false">FALSE()</f>
        <v>0</v>
      </c>
      <c r="M298" s="32" t="n">
        <f aca="false">COUNTIF(B298:F298,TRUE())</f>
        <v>0</v>
      </c>
      <c r="N298" s="32" t="n">
        <f aca="false">COUNTIF(G298:J298,TRUE())</f>
        <v>0</v>
      </c>
      <c r="O298" s="32" t="n">
        <f aca="false">COUNTIF(K298:L298,TRUE())</f>
        <v>0</v>
      </c>
      <c r="P298" s="33" t="n">
        <v>0</v>
      </c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customFormat="false" ht="21.75" hidden="false" customHeight="true" outlineLevel="0" collapsed="false">
      <c r="A299" s="29"/>
      <c r="B299" s="30" t="b">
        <f aca="false">FALSE()</f>
        <v>0</v>
      </c>
      <c r="C299" s="30" t="b">
        <f aca="false">FALSE()</f>
        <v>0</v>
      </c>
      <c r="D299" s="30" t="b">
        <f aca="false">FALSE()</f>
        <v>0</v>
      </c>
      <c r="E299" s="30" t="b">
        <f aca="false">FALSE()</f>
        <v>0</v>
      </c>
      <c r="F299" s="30" t="b">
        <f aca="false">FALSE()</f>
        <v>0</v>
      </c>
      <c r="G299" s="30" t="b">
        <f aca="false">FALSE()</f>
        <v>0</v>
      </c>
      <c r="H299" s="30" t="b">
        <f aca="false">FALSE()</f>
        <v>0</v>
      </c>
      <c r="I299" s="30" t="b">
        <f aca="false">FALSE()</f>
        <v>0</v>
      </c>
      <c r="J299" s="30" t="b">
        <f aca="false">FALSE()</f>
        <v>0</v>
      </c>
      <c r="K299" s="30" t="b">
        <f aca="false">FALSE()</f>
        <v>0</v>
      </c>
      <c r="L299" s="30" t="b">
        <f aca="false">FALSE()</f>
        <v>0</v>
      </c>
      <c r="M299" s="32" t="n">
        <f aca="false">COUNTIF(B299:F299,TRUE())</f>
        <v>0</v>
      </c>
      <c r="N299" s="32" t="n">
        <f aca="false">COUNTIF(G299:J299,TRUE())</f>
        <v>0</v>
      </c>
      <c r="O299" s="32" t="n">
        <f aca="false">COUNTIF(K299:L299,TRUE())</f>
        <v>0</v>
      </c>
      <c r="P299" s="33" t="n">
        <v>0</v>
      </c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customFormat="false" ht="21.75" hidden="false" customHeight="true" outlineLevel="0" collapsed="false">
      <c r="A300" s="29"/>
      <c r="B300" s="30" t="b">
        <f aca="false">FALSE()</f>
        <v>0</v>
      </c>
      <c r="C300" s="30" t="b">
        <f aca="false">FALSE()</f>
        <v>0</v>
      </c>
      <c r="D300" s="30" t="b">
        <f aca="false">FALSE()</f>
        <v>0</v>
      </c>
      <c r="E300" s="30" t="b">
        <f aca="false">FALSE()</f>
        <v>0</v>
      </c>
      <c r="F300" s="30" t="b">
        <f aca="false">FALSE()</f>
        <v>0</v>
      </c>
      <c r="G300" s="30" t="b">
        <f aca="false">FALSE()</f>
        <v>0</v>
      </c>
      <c r="H300" s="30" t="b">
        <f aca="false">FALSE()</f>
        <v>0</v>
      </c>
      <c r="I300" s="30" t="b">
        <f aca="false">FALSE()</f>
        <v>0</v>
      </c>
      <c r="J300" s="30" t="b">
        <f aca="false">FALSE()</f>
        <v>0</v>
      </c>
      <c r="K300" s="30" t="b">
        <f aca="false">FALSE()</f>
        <v>0</v>
      </c>
      <c r="L300" s="30" t="b">
        <f aca="false">FALSE()</f>
        <v>0</v>
      </c>
      <c r="M300" s="32" t="n">
        <f aca="false">COUNTIF(B300:F300,TRUE())</f>
        <v>0</v>
      </c>
      <c r="N300" s="32" t="n">
        <f aca="false">COUNTIF(G300:J300,TRUE())</f>
        <v>0</v>
      </c>
      <c r="O300" s="32" t="n">
        <f aca="false">COUNTIF(K300:L300,TRUE())</f>
        <v>0</v>
      </c>
      <c r="P300" s="33" t="n">
        <v>0</v>
      </c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customFormat="false" ht="21.75" hidden="false" customHeight="true" outlineLevel="0" collapsed="false">
      <c r="A301" s="29"/>
      <c r="B301" s="30" t="b">
        <f aca="false">FALSE()</f>
        <v>0</v>
      </c>
      <c r="C301" s="30" t="b">
        <f aca="false">FALSE()</f>
        <v>0</v>
      </c>
      <c r="D301" s="30" t="b">
        <f aca="false">FALSE()</f>
        <v>0</v>
      </c>
      <c r="E301" s="30" t="b">
        <f aca="false">FALSE()</f>
        <v>0</v>
      </c>
      <c r="F301" s="30" t="b">
        <f aca="false">FALSE()</f>
        <v>0</v>
      </c>
      <c r="G301" s="30" t="b">
        <f aca="false">FALSE()</f>
        <v>0</v>
      </c>
      <c r="H301" s="30" t="b">
        <f aca="false">FALSE()</f>
        <v>0</v>
      </c>
      <c r="I301" s="30" t="b">
        <f aca="false">FALSE()</f>
        <v>0</v>
      </c>
      <c r="J301" s="30" t="b">
        <f aca="false">FALSE()</f>
        <v>0</v>
      </c>
      <c r="K301" s="30" t="b">
        <f aca="false">FALSE()</f>
        <v>0</v>
      </c>
      <c r="L301" s="30" t="b">
        <f aca="false">FALSE()</f>
        <v>0</v>
      </c>
      <c r="M301" s="32" t="n">
        <f aca="false">COUNTIF(B301:F301,TRUE())</f>
        <v>0</v>
      </c>
      <c r="N301" s="32" t="n">
        <f aca="false">COUNTIF(G301:J301,TRUE())</f>
        <v>0</v>
      </c>
      <c r="O301" s="32" t="n">
        <f aca="false">COUNTIF(K301:L301,TRUE())</f>
        <v>0</v>
      </c>
      <c r="P301" s="33" t="n">
        <v>0</v>
      </c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customFormat="false" ht="21.75" hidden="false" customHeight="true" outlineLevel="0" collapsed="false">
      <c r="A302" s="34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customFormat="false" ht="21.75" hidden="false" customHeight="true" outlineLevel="0" collapsed="false">
      <c r="A303" s="34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customFormat="false" ht="21.75" hidden="false" customHeight="true" outlineLevel="0" collapsed="false">
      <c r="A304" s="34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customFormat="false" ht="21.75" hidden="false" customHeight="true" outlineLevel="0" collapsed="false">
      <c r="A305" s="34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customFormat="false" ht="21.75" hidden="false" customHeight="true" outlineLevel="0" collapsed="false">
      <c r="A306" s="34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customFormat="false" ht="21.75" hidden="false" customHeight="true" outlineLevel="0" collapsed="false">
      <c r="A307" s="34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customFormat="false" ht="21.75" hidden="false" customHeight="true" outlineLevel="0" collapsed="false">
      <c r="A308" s="34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customFormat="false" ht="21.75" hidden="false" customHeight="true" outlineLevel="0" collapsed="false">
      <c r="A309" s="34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customFormat="false" ht="21.75" hidden="false" customHeight="true" outlineLevel="0" collapsed="false">
      <c r="A310" s="34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customFormat="false" ht="21.75" hidden="false" customHeight="true" outlineLevel="0" collapsed="false">
      <c r="A311" s="34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customFormat="false" ht="21.75" hidden="false" customHeight="true" outlineLevel="0" collapsed="false">
      <c r="A312" s="34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customFormat="false" ht="21.75" hidden="false" customHeight="true" outlineLevel="0" collapsed="false">
      <c r="A313" s="34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customFormat="false" ht="21.75" hidden="false" customHeight="true" outlineLevel="0" collapsed="false">
      <c r="A314" s="34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customFormat="false" ht="21.75" hidden="false" customHeight="true" outlineLevel="0" collapsed="false">
      <c r="A315" s="34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customFormat="false" ht="21.75" hidden="false" customHeight="true" outlineLevel="0" collapsed="false">
      <c r="A316" s="34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customFormat="false" ht="21.75" hidden="false" customHeight="true" outlineLevel="0" collapsed="false">
      <c r="A317" s="34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customFormat="false" ht="21.75" hidden="false" customHeight="true" outlineLevel="0" collapsed="false">
      <c r="A318" s="34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customFormat="false" ht="21.75" hidden="false" customHeight="true" outlineLevel="0" collapsed="false">
      <c r="A319" s="34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customFormat="false" ht="21.75" hidden="false" customHeight="true" outlineLevel="0" collapsed="false">
      <c r="A320" s="34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customFormat="false" ht="21.75" hidden="false" customHeight="true" outlineLevel="0" collapsed="false">
      <c r="A321" s="34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customFormat="false" ht="21.75" hidden="false" customHeight="true" outlineLevel="0" collapsed="false">
      <c r="A322" s="34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customFormat="false" ht="21.75" hidden="false" customHeight="true" outlineLevel="0" collapsed="false">
      <c r="A323" s="34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customFormat="false" ht="21.75" hidden="false" customHeight="true" outlineLevel="0" collapsed="false">
      <c r="A324" s="34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customFormat="false" ht="21.75" hidden="false" customHeight="true" outlineLevel="0" collapsed="false">
      <c r="A325" s="34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customFormat="false" ht="21.75" hidden="false" customHeight="true" outlineLevel="0" collapsed="false">
      <c r="A326" s="34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customFormat="false" ht="21.75" hidden="false" customHeight="true" outlineLevel="0" collapsed="false">
      <c r="A327" s="34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customFormat="false" ht="21.75" hidden="false" customHeight="true" outlineLevel="0" collapsed="false">
      <c r="A328" s="34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customFormat="false" ht="21.75" hidden="false" customHeight="true" outlineLevel="0" collapsed="false">
      <c r="A329" s="34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customFormat="false" ht="21.75" hidden="false" customHeight="true" outlineLevel="0" collapsed="false">
      <c r="A330" s="34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customFormat="false" ht="21.75" hidden="false" customHeight="true" outlineLevel="0" collapsed="false">
      <c r="A331" s="34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customFormat="false" ht="21.75" hidden="false" customHeight="true" outlineLevel="0" collapsed="false">
      <c r="A332" s="34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customFormat="false" ht="21.75" hidden="false" customHeight="true" outlineLevel="0" collapsed="false">
      <c r="A333" s="34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customFormat="false" ht="21.75" hidden="false" customHeight="true" outlineLevel="0" collapsed="false">
      <c r="A334" s="34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customFormat="false" ht="21.75" hidden="false" customHeight="true" outlineLevel="0" collapsed="false">
      <c r="A335" s="34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customFormat="false" ht="21.75" hidden="false" customHeight="true" outlineLevel="0" collapsed="false">
      <c r="A336" s="34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customFormat="false" ht="21.75" hidden="false" customHeight="true" outlineLevel="0" collapsed="false">
      <c r="A337" s="34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customFormat="false" ht="21.75" hidden="false" customHeight="true" outlineLevel="0" collapsed="false">
      <c r="A338" s="34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customFormat="false" ht="21.75" hidden="false" customHeight="true" outlineLevel="0" collapsed="false">
      <c r="A339" s="34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customFormat="false" ht="21.75" hidden="false" customHeight="true" outlineLevel="0" collapsed="false">
      <c r="A340" s="34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customFormat="false" ht="21.75" hidden="false" customHeight="true" outlineLevel="0" collapsed="false">
      <c r="A341" s="34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customFormat="false" ht="21.75" hidden="false" customHeight="true" outlineLevel="0" collapsed="false">
      <c r="A342" s="34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customFormat="false" ht="21.75" hidden="false" customHeight="true" outlineLevel="0" collapsed="false">
      <c r="A343" s="34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customFormat="false" ht="21.75" hidden="false" customHeight="true" outlineLevel="0" collapsed="false">
      <c r="A344" s="34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customFormat="false" ht="21.75" hidden="false" customHeight="true" outlineLevel="0" collapsed="false">
      <c r="A345" s="34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customFormat="false" ht="21.75" hidden="false" customHeight="true" outlineLevel="0" collapsed="false">
      <c r="A346" s="34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customFormat="false" ht="21.75" hidden="false" customHeight="true" outlineLevel="0" collapsed="false">
      <c r="A347" s="34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customFormat="false" ht="21.75" hidden="false" customHeight="true" outlineLevel="0" collapsed="false">
      <c r="A348" s="34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customFormat="false" ht="21.75" hidden="false" customHeight="true" outlineLevel="0" collapsed="false">
      <c r="A349" s="34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customFormat="false" ht="21.75" hidden="false" customHeight="true" outlineLevel="0" collapsed="false">
      <c r="A350" s="34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customFormat="false" ht="21.75" hidden="false" customHeight="true" outlineLevel="0" collapsed="false">
      <c r="A351" s="34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customFormat="false" ht="21.75" hidden="false" customHeight="true" outlineLevel="0" collapsed="false">
      <c r="A352" s="34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customFormat="false" ht="21.75" hidden="false" customHeight="true" outlineLevel="0" collapsed="false">
      <c r="A353" s="34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customFormat="false" ht="21.75" hidden="false" customHeight="true" outlineLevel="0" collapsed="false">
      <c r="A354" s="34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customFormat="false" ht="21.75" hidden="false" customHeight="true" outlineLevel="0" collapsed="false">
      <c r="A355" s="34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customFormat="false" ht="21.75" hidden="false" customHeight="true" outlineLevel="0" collapsed="false">
      <c r="A356" s="34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customFormat="false" ht="21.75" hidden="false" customHeight="true" outlineLevel="0" collapsed="false">
      <c r="A357" s="34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customFormat="false" ht="21.75" hidden="false" customHeight="true" outlineLevel="0" collapsed="false">
      <c r="A358" s="34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customFormat="false" ht="21.75" hidden="false" customHeight="true" outlineLevel="0" collapsed="false">
      <c r="A359" s="34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customFormat="false" ht="21.75" hidden="false" customHeight="true" outlineLevel="0" collapsed="false">
      <c r="A360" s="34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customFormat="false" ht="21.75" hidden="false" customHeight="true" outlineLevel="0" collapsed="false">
      <c r="A361" s="34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customFormat="false" ht="21.75" hidden="false" customHeight="true" outlineLevel="0" collapsed="false">
      <c r="A362" s="34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customFormat="false" ht="21.75" hidden="false" customHeight="true" outlineLevel="0" collapsed="false">
      <c r="A363" s="34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customFormat="false" ht="21.75" hidden="false" customHeight="true" outlineLevel="0" collapsed="false">
      <c r="A364" s="34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customFormat="false" ht="21.75" hidden="false" customHeight="true" outlineLevel="0" collapsed="false">
      <c r="A365" s="34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customFormat="false" ht="21.75" hidden="false" customHeight="true" outlineLevel="0" collapsed="false">
      <c r="A366" s="34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customFormat="false" ht="21.75" hidden="false" customHeight="true" outlineLevel="0" collapsed="false">
      <c r="A367" s="34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customFormat="false" ht="21.75" hidden="false" customHeight="true" outlineLevel="0" collapsed="false">
      <c r="A368" s="34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customFormat="false" ht="21.75" hidden="false" customHeight="true" outlineLevel="0" collapsed="false">
      <c r="A369" s="34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customFormat="false" ht="21.75" hidden="false" customHeight="true" outlineLevel="0" collapsed="false">
      <c r="A370" s="34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customFormat="false" ht="21.75" hidden="false" customHeight="true" outlineLevel="0" collapsed="false">
      <c r="A371" s="34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customFormat="false" ht="21.75" hidden="false" customHeight="true" outlineLevel="0" collapsed="false">
      <c r="A372" s="34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customFormat="false" ht="21.75" hidden="false" customHeight="true" outlineLevel="0" collapsed="false">
      <c r="A373" s="34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customFormat="false" ht="21.75" hidden="false" customHeight="true" outlineLevel="0" collapsed="false">
      <c r="A374" s="34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customFormat="false" ht="21.75" hidden="false" customHeight="true" outlineLevel="0" collapsed="false">
      <c r="A375" s="34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customFormat="false" ht="21.75" hidden="false" customHeight="true" outlineLevel="0" collapsed="false">
      <c r="A376" s="34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customFormat="false" ht="21.75" hidden="false" customHeight="true" outlineLevel="0" collapsed="false">
      <c r="A377" s="34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customFormat="false" ht="21.75" hidden="false" customHeight="true" outlineLevel="0" collapsed="false">
      <c r="A378" s="34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customFormat="false" ht="21.75" hidden="false" customHeight="true" outlineLevel="0" collapsed="false">
      <c r="A379" s="34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customFormat="false" ht="21.75" hidden="false" customHeight="true" outlineLevel="0" collapsed="false">
      <c r="A380" s="34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customFormat="false" ht="21.75" hidden="false" customHeight="true" outlineLevel="0" collapsed="false">
      <c r="A381" s="34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customFormat="false" ht="21.75" hidden="false" customHeight="true" outlineLevel="0" collapsed="false">
      <c r="A382" s="34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customFormat="false" ht="21.75" hidden="false" customHeight="true" outlineLevel="0" collapsed="false">
      <c r="A383" s="34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customFormat="false" ht="21.75" hidden="false" customHeight="true" outlineLevel="0" collapsed="false">
      <c r="A384" s="34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customFormat="false" ht="21.75" hidden="false" customHeight="true" outlineLevel="0" collapsed="false">
      <c r="A385" s="34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customFormat="false" ht="21.75" hidden="false" customHeight="true" outlineLevel="0" collapsed="false">
      <c r="A386" s="34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customFormat="false" ht="21.75" hidden="false" customHeight="true" outlineLevel="0" collapsed="false">
      <c r="A387" s="34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customFormat="false" ht="21.75" hidden="false" customHeight="true" outlineLevel="0" collapsed="false">
      <c r="A388" s="34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customFormat="false" ht="21.75" hidden="false" customHeight="true" outlineLevel="0" collapsed="false">
      <c r="A389" s="34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customFormat="false" ht="21.75" hidden="false" customHeight="true" outlineLevel="0" collapsed="false">
      <c r="A390" s="34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customFormat="false" ht="21.75" hidden="false" customHeight="true" outlineLevel="0" collapsed="false">
      <c r="A391" s="34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customFormat="false" ht="21.75" hidden="false" customHeight="true" outlineLevel="0" collapsed="false">
      <c r="A392" s="34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customFormat="false" ht="21.75" hidden="false" customHeight="true" outlineLevel="0" collapsed="false">
      <c r="A393" s="34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customFormat="false" ht="21.75" hidden="false" customHeight="true" outlineLevel="0" collapsed="false">
      <c r="A394" s="34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customFormat="false" ht="21.75" hidden="false" customHeight="true" outlineLevel="0" collapsed="false">
      <c r="A395" s="34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customFormat="false" ht="21.75" hidden="false" customHeight="true" outlineLevel="0" collapsed="false">
      <c r="A396" s="34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customFormat="false" ht="21.75" hidden="false" customHeight="true" outlineLevel="0" collapsed="false">
      <c r="A397" s="34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customFormat="false" ht="21.75" hidden="false" customHeight="true" outlineLevel="0" collapsed="false">
      <c r="A398" s="34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customFormat="false" ht="21.75" hidden="false" customHeight="true" outlineLevel="0" collapsed="false">
      <c r="A399" s="34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customFormat="false" ht="21.75" hidden="false" customHeight="true" outlineLevel="0" collapsed="false">
      <c r="A400" s="34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customFormat="false" ht="21.75" hidden="false" customHeight="true" outlineLevel="0" collapsed="false">
      <c r="A401" s="34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customFormat="false" ht="21.75" hidden="false" customHeight="true" outlineLevel="0" collapsed="false">
      <c r="A402" s="34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customFormat="false" ht="21.75" hidden="false" customHeight="true" outlineLevel="0" collapsed="false">
      <c r="A403" s="34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customFormat="false" ht="21.75" hidden="false" customHeight="true" outlineLevel="0" collapsed="false">
      <c r="A404" s="34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customFormat="false" ht="21.75" hidden="false" customHeight="true" outlineLevel="0" collapsed="false">
      <c r="A405" s="34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customFormat="false" ht="21.75" hidden="false" customHeight="true" outlineLevel="0" collapsed="false">
      <c r="A406" s="34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customFormat="false" ht="21.75" hidden="false" customHeight="true" outlineLevel="0" collapsed="false">
      <c r="A407" s="34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customFormat="false" ht="21.75" hidden="false" customHeight="true" outlineLevel="0" collapsed="false">
      <c r="A408" s="34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customFormat="false" ht="21.75" hidden="false" customHeight="true" outlineLevel="0" collapsed="false">
      <c r="A409" s="34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customFormat="false" ht="21.75" hidden="false" customHeight="true" outlineLevel="0" collapsed="false">
      <c r="A410" s="34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customFormat="false" ht="21.75" hidden="false" customHeight="true" outlineLevel="0" collapsed="false">
      <c r="A411" s="34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customFormat="false" ht="21.75" hidden="false" customHeight="true" outlineLevel="0" collapsed="false">
      <c r="A412" s="34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customFormat="false" ht="21.75" hidden="false" customHeight="true" outlineLevel="0" collapsed="false">
      <c r="A413" s="34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customFormat="false" ht="21.75" hidden="false" customHeight="true" outlineLevel="0" collapsed="false">
      <c r="A414" s="34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customFormat="false" ht="21.75" hidden="false" customHeight="true" outlineLevel="0" collapsed="false">
      <c r="A415" s="34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customFormat="false" ht="21.75" hidden="false" customHeight="true" outlineLevel="0" collapsed="false">
      <c r="A416" s="34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customFormat="false" ht="21.75" hidden="false" customHeight="true" outlineLevel="0" collapsed="false">
      <c r="A417" s="34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customFormat="false" ht="21.75" hidden="false" customHeight="true" outlineLevel="0" collapsed="false">
      <c r="A418" s="34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customFormat="false" ht="21.75" hidden="false" customHeight="true" outlineLevel="0" collapsed="false">
      <c r="A419" s="34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customFormat="false" ht="21.75" hidden="false" customHeight="true" outlineLevel="0" collapsed="false">
      <c r="A420" s="34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customFormat="false" ht="21.75" hidden="false" customHeight="true" outlineLevel="0" collapsed="false">
      <c r="A421" s="34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customFormat="false" ht="21.75" hidden="false" customHeight="true" outlineLevel="0" collapsed="false">
      <c r="A422" s="34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customFormat="false" ht="21.75" hidden="false" customHeight="true" outlineLevel="0" collapsed="false">
      <c r="A423" s="34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customFormat="false" ht="21.75" hidden="false" customHeight="true" outlineLevel="0" collapsed="false">
      <c r="A424" s="34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customFormat="false" ht="21.75" hidden="false" customHeight="true" outlineLevel="0" collapsed="false">
      <c r="A425" s="34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customFormat="false" ht="21.75" hidden="false" customHeight="true" outlineLevel="0" collapsed="false">
      <c r="A426" s="34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customFormat="false" ht="21.75" hidden="false" customHeight="true" outlineLevel="0" collapsed="false">
      <c r="A427" s="34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customFormat="false" ht="21.75" hidden="false" customHeight="true" outlineLevel="0" collapsed="false">
      <c r="A428" s="34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customFormat="false" ht="21.75" hidden="false" customHeight="true" outlineLevel="0" collapsed="false">
      <c r="A429" s="34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customFormat="false" ht="21.75" hidden="false" customHeight="true" outlineLevel="0" collapsed="false">
      <c r="A430" s="34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customFormat="false" ht="21.75" hidden="false" customHeight="true" outlineLevel="0" collapsed="false">
      <c r="A431" s="34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customFormat="false" ht="21.75" hidden="false" customHeight="true" outlineLevel="0" collapsed="false">
      <c r="A432" s="34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customFormat="false" ht="21.75" hidden="false" customHeight="true" outlineLevel="0" collapsed="false">
      <c r="A433" s="34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customFormat="false" ht="21.75" hidden="false" customHeight="true" outlineLevel="0" collapsed="false">
      <c r="A434" s="34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customFormat="false" ht="21.75" hidden="false" customHeight="true" outlineLevel="0" collapsed="false">
      <c r="A435" s="34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customFormat="false" ht="21.75" hidden="false" customHeight="true" outlineLevel="0" collapsed="false">
      <c r="A436" s="34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customFormat="false" ht="21.75" hidden="false" customHeight="true" outlineLevel="0" collapsed="false">
      <c r="A437" s="34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customFormat="false" ht="21.75" hidden="false" customHeight="true" outlineLevel="0" collapsed="false">
      <c r="A438" s="34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customFormat="false" ht="21.75" hidden="false" customHeight="true" outlineLevel="0" collapsed="false">
      <c r="A439" s="34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customFormat="false" ht="21.75" hidden="false" customHeight="true" outlineLevel="0" collapsed="false">
      <c r="A440" s="34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customFormat="false" ht="21.75" hidden="false" customHeight="true" outlineLevel="0" collapsed="false">
      <c r="A441" s="34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customFormat="false" ht="21.75" hidden="false" customHeight="true" outlineLevel="0" collapsed="false">
      <c r="A442" s="34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customFormat="false" ht="21.75" hidden="false" customHeight="true" outlineLevel="0" collapsed="false">
      <c r="A443" s="34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customFormat="false" ht="21.75" hidden="false" customHeight="true" outlineLevel="0" collapsed="false">
      <c r="A444" s="34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customFormat="false" ht="21.75" hidden="false" customHeight="true" outlineLevel="0" collapsed="false">
      <c r="A445" s="34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customFormat="false" ht="21.75" hidden="false" customHeight="true" outlineLevel="0" collapsed="false">
      <c r="A446" s="34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customFormat="false" ht="21.75" hidden="false" customHeight="true" outlineLevel="0" collapsed="false">
      <c r="A447" s="34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customFormat="false" ht="21.75" hidden="false" customHeight="true" outlineLevel="0" collapsed="false">
      <c r="A448" s="34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customFormat="false" ht="21.75" hidden="false" customHeight="true" outlineLevel="0" collapsed="false">
      <c r="A449" s="34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customFormat="false" ht="21.75" hidden="false" customHeight="true" outlineLevel="0" collapsed="false">
      <c r="A450" s="34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customFormat="false" ht="21.75" hidden="false" customHeight="true" outlineLevel="0" collapsed="false">
      <c r="A451" s="34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customFormat="false" ht="21.75" hidden="false" customHeight="true" outlineLevel="0" collapsed="false">
      <c r="A452" s="34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customFormat="false" ht="21.75" hidden="false" customHeight="true" outlineLevel="0" collapsed="false">
      <c r="A453" s="34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customFormat="false" ht="21.75" hidden="false" customHeight="true" outlineLevel="0" collapsed="false">
      <c r="A454" s="34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customFormat="false" ht="21.75" hidden="false" customHeight="true" outlineLevel="0" collapsed="false">
      <c r="A455" s="34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customFormat="false" ht="21.75" hidden="false" customHeight="true" outlineLevel="0" collapsed="false">
      <c r="A456" s="34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customFormat="false" ht="21.75" hidden="false" customHeight="true" outlineLevel="0" collapsed="false">
      <c r="A457" s="34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customFormat="false" ht="21.75" hidden="false" customHeight="true" outlineLevel="0" collapsed="false">
      <c r="A458" s="34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customFormat="false" ht="21.75" hidden="false" customHeight="true" outlineLevel="0" collapsed="false">
      <c r="A459" s="34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customFormat="false" ht="21.75" hidden="false" customHeight="true" outlineLevel="0" collapsed="false">
      <c r="A460" s="34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customFormat="false" ht="21.75" hidden="false" customHeight="true" outlineLevel="0" collapsed="false">
      <c r="A461" s="34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customFormat="false" ht="21.75" hidden="false" customHeight="true" outlineLevel="0" collapsed="false">
      <c r="A462" s="34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customFormat="false" ht="21.75" hidden="false" customHeight="true" outlineLevel="0" collapsed="false">
      <c r="A463" s="34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customFormat="false" ht="21.75" hidden="false" customHeight="true" outlineLevel="0" collapsed="false">
      <c r="A464" s="34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customFormat="false" ht="21.75" hidden="false" customHeight="true" outlineLevel="0" collapsed="false">
      <c r="A465" s="34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customFormat="false" ht="21.75" hidden="false" customHeight="true" outlineLevel="0" collapsed="false">
      <c r="A466" s="34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customFormat="false" ht="21.75" hidden="false" customHeight="true" outlineLevel="0" collapsed="false">
      <c r="A467" s="34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customFormat="false" ht="21.75" hidden="false" customHeight="true" outlineLevel="0" collapsed="false">
      <c r="A468" s="34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customFormat="false" ht="21.75" hidden="false" customHeight="true" outlineLevel="0" collapsed="false">
      <c r="A469" s="34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customFormat="false" ht="21.75" hidden="false" customHeight="true" outlineLevel="0" collapsed="false">
      <c r="A470" s="34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customFormat="false" ht="21.75" hidden="false" customHeight="true" outlineLevel="0" collapsed="false">
      <c r="A471" s="34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customFormat="false" ht="21.75" hidden="false" customHeight="true" outlineLevel="0" collapsed="false">
      <c r="A472" s="34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customFormat="false" ht="21.75" hidden="false" customHeight="true" outlineLevel="0" collapsed="false">
      <c r="A473" s="34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customFormat="false" ht="21.75" hidden="false" customHeight="true" outlineLevel="0" collapsed="false">
      <c r="A474" s="34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customFormat="false" ht="21.75" hidden="false" customHeight="true" outlineLevel="0" collapsed="false">
      <c r="A475" s="34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customFormat="false" ht="21.75" hidden="false" customHeight="true" outlineLevel="0" collapsed="false">
      <c r="A476" s="34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customFormat="false" ht="21.75" hidden="false" customHeight="true" outlineLevel="0" collapsed="false">
      <c r="A477" s="34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customFormat="false" ht="21.75" hidden="false" customHeight="true" outlineLevel="0" collapsed="false">
      <c r="A478" s="34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customFormat="false" ht="21.75" hidden="false" customHeight="true" outlineLevel="0" collapsed="false">
      <c r="A479" s="34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customFormat="false" ht="21.75" hidden="false" customHeight="true" outlineLevel="0" collapsed="false">
      <c r="A480" s="34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customFormat="false" ht="21.75" hidden="false" customHeight="true" outlineLevel="0" collapsed="false">
      <c r="A481" s="34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customFormat="false" ht="21.75" hidden="false" customHeight="true" outlineLevel="0" collapsed="false">
      <c r="A482" s="34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customFormat="false" ht="21.75" hidden="false" customHeight="true" outlineLevel="0" collapsed="false">
      <c r="A483" s="34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customFormat="false" ht="21.75" hidden="false" customHeight="true" outlineLevel="0" collapsed="false">
      <c r="A484" s="34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customFormat="false" ht="21.75" hidden="false" customHeight="true" outlineLevel="0" collapsed="false">
      <c r="A485" s="34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customFormat="false" ht="21.75" hidden="false" customHeight="true" outlineLevel="0" collapsed="false">
      <c r="A486" s="34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customFormat="false" ht="21.75" hidden="false" customHeight="true" outlineLevel="0" collapsed="false">
      <c r="A487" s="34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customFormat="false" ht="21.75" hidden="false" customHeight="true" outlineLevel="0" collapsed="false">
      <c r="A488" s="34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customFormat="false" ht="21.75" hidden="false" customHeight="true" outlineLevel="0" collapsed="false">
      <c r="A489" s="34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customFormat="false" ht="21.75" hidden="false" customHeight="true" outlineLevel="0" collapsed="false">
      <c r="A490" s="34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customFormat="false" ht="21.75" hidden="false" customHeight="true" outlineLevel="0" collapsed="false">
      <c r="A491" s="34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customFormat="false" ht="21.75" hidden="false" customHeight="true" outlineLevel="0" collapsed="false">
      <c r="A492" s="34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customFormat="false" ht="21.75" hidden="false" customHeight="true" outlineLevel="0" collapsed="false">
      <c r="A493" s="34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customFormat="false" ht="21.75" hidden="false" customHeight="true" outlineLevel="0" collapsed="false">
      <c r="A494" s="34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customFormat="false" ht="21.75" hidden="false" customHeight="true" outlineLevel="0" collapsed="false">
      <c r="A495" s="34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customFormat="false" ht="21.75" hidden="false" customHeight="true" outlineLevel="0" collapsed="false">
      <c r="A496" s="34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customFormat="false" ht="21.75" hidden="false" customHeight="true" outlineLevel="0" collapsed="false">
      <c r="A497" s="34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customFormat="false" ht="21.75" hidden="false" customHeight="true" outlineLevel="0" collapsed="false">
      <c r="A498" s="34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customFormat="false" ht="21.75" hidden="false" customHeight="true" outlineLevel="0" collapsed="false">
      <c r="A499" s="34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customFormat="false" ht="21.75" hidden="false" customHeight="true" outlineLevel="0" collapsed="false">
      <c r="A500" s="34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customFormat="false" ht="21.75" hidden="false" customHeight="true" outlineLevel="0" collapsed="false">
      <c r="A501" s="34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customFormat="false" ht="21.75" hidden="false" customHeight="true" outlineLevel="0" collapsed="false">
      <c r="A502" s="34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customFormat="false" ht="21.75" hidden="false" customHeight="true" outlineLevel="0" collapsed="false">
      <c r="A503" s="34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customFormat="false" ht="21.75" hidden="false" customHeight="true" outlineLevel="0" collapsed="false">
      <c r="A504" s="34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customFormat="false" ht="21.75" hidden="false" customHeight="true" outlineLevel="0" collapsed="false">
      <c r="A505" s="34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customFormat="false" ht="21.75" hidden="false" customHeight="true" outlineLevel="0" collapsed="false">
      <c r="A506" s="34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customFormat="false" ht="21.75" hidden="false" customHeight="true" outlineLevel="0" collapsed="false">
      <c r="A507" s="34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customFormat="false" ht="21.75" hidden="false" customHeight="true" outlineLevel="0" collapsed="false">
      <c r="A508" s="34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customFormat="false" ht="21.75" hidden="false" customHeight="true" outlineLevel="0" collapsed="false">
      <c r="A509" s="34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customFormat="false" ht="21.75" hidden="false" customHeight="true" outlineLevel="0" collapsed="false">
      <c r="A510" s="34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customFormat="false" ht="21.75" hidden="false" customHeight="true" outlineLevel="0" collapsed="false">
      <c r="A511" s="34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customFormat="false" ht="21.75" hidden="false" customHeight="true" outlineLevel="0" collapsed="false">
      <c r="A512" s="34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customFormat="false" ht="21.75" hidden="false" customHeight="true" outlineLevel="0" collapsed="false">
      <c r="A513" s="34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customFormat="false" ht="21.75" hidden="false" customHeight="true" outlineLevel="0" collapsed="false">
      <c r="A514" s="34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customFormat="false" ht="21.75" hidden="false" customHeight="true" outlineLevel="0" collapsed="false">
      <c r="A515" s="34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customFormat="false" ht="21.75" hidden="false" customHeight="true" outlineLevel="0" collapsed="false">
      <c r="A516" s="34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customFormat="false" ht="21.75" hidden="false" customHeight="true" outlineLevel="0" collapsed="false">
      <c r="A517" s="34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customFormat="false" ht="21.75" hidden="false" customHeight="true" outlineLevel="0" collapsed="false">
      <c r="A518" s="34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customFormat="false" ht="21.75" hidden="false" customHeight="true" outlineLevel="0" collapsed="false">
      <c r="A519" s="34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customFormat="false" ht="21.75" hidden="false" customHeight="true" outlineLevel="0" collapsed="false">
      <c r="A520" s="34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customFormat="false" ht="21.75" hidden="false" customHeight="true" outlineLevel="0" collapsed="false">
      <c r="A521" s="34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customFormat="false" ht="21.75" hidden="false" customHeight="true" outlineLevel="0" collapsed="false">
      <c r="A522" s="34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customFormat="false" ht="21.75" hidden="false" customHeight="true" outlineLevel="0" collapsed="false">
      <c r="A523" s="34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customFormat="false" ht="21.75" hidden="false" customHeight="true" outlineLevel="0" collapsed="false">
      <c r="A524" s="34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customFormat="false" ht="21.75" hidden="false" customHeight="true" outlineLevel="0" collapsed="false">
      <c r="A525" s="34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customFormat="false" ht="21.75" hidden="false" customHeight="true" outlineLevel="0" collapsed="false">
      <c r="A526" s="34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customFormat="false" ht="21.75" hidden="false" customHeight="true" outlineLevel="0" collapsed="false">
      <c r="A527" s="34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customFormat="false" ht="21.75" hidden="false" customHeight="true" outlineLevel="0" collapsed="false">
      <c r="A528" s="34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customFormat="false" ht="21.75" hidden="false" customHeight="true" outlineLevel="0" collapsed="false">
      <c r="A529" s="34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customFormat="false" ht="21.75" hidden="false" customHeight="true" outlineLevel="0" collapsed="false">
      <c r="A530" s="34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customFormat="false" ht="21.75" hidden="false" customHeight="true" outlineLevel="0" collapsed="false">
      <c r="A531" s="34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customFormat="false" ht="21.75" hidden="false" customHeight="true" outlineLevel="0" collapsed="false">
      <c r="A532" s="34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customFormat="false" ht="21.75" hidden="false" customHeight="true" outlineLevel="0" collapsed="false">
      <c r="A533" s="34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customFormat="false" ht="21.75" hidden="false" customHeight="true" outlineLevel="0" collapsed="false">
      <c r="A534" s="34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customFormat="false" ht="21.75" hidden="false" customHeight="true" outlineLevel="0" collapsed="false">
      <c r="A535" s="34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customFormat="false" ht="21.75" hidden="false" customHeight="true" outlineLevel="0" collapsed="false">
      <c r="A536" s="34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customFormat="false" ht="21.75" hidden="false" customHeight="true" outlineLevel="0" collapsed="false">
      <c r="A537" s="34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customFormat="false" ht="21.75" hidden="false" customHeight="true" outlineLevel="0" collapsed="false">
      <c r="A538" s="34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customFormat="false" ht="21.75" hidden="false" customHeight="true" outlineLevel="0" collapsed="false">
      <c r="A539" s="34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customFormat="false" ht="21.75" hidden="false" customHeight="true" outlineLevel="0" collapsed="false">
      <c r="A540" s="34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customFormat="false" ht="21.75" hidden="false" customHeight="true" outlineLevel="0" collapsed="false">
      <c r="A541" s="34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customFormat="false" ht="21.75" hidden="false" customHeight="true" outlineLevel="0" collapsed="false">
      <c r="A542" s="34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customFormat="false" ht="21.75" hidden="false" customHeight="true" outlineLevel="0" collapsed="false">
      <c r="A543" s="34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customFormat="false" ht="21.75" hidden="false" customHeight="true" outlineLevel="0" collapsed="false">
      <c r="A544" s="34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customFormat="false" ht="21.75" hidden="false" customHeight="true" outlineLevel="0" collapsed="false">
      <c r="A545" s="34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customFormat="false" ht="21.75" hidden="false" customHeight="true" outlineLevel="0" collapsed="false">
      <c r="A546" s="34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customFormat="false" ht="21.75" hidden="false" customHeight="true" outlineLevel="0" collapsed="false">
      <c r="A547" s="34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customFormat="false" ht="21.75" hidden="false" customHeight="true" outlineLevel="0" collapsed="false">
      <c r="A548" s="34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customFormat="false" ht="21.75" hidden="false" customHeight="true" outlineLevel="0" collapsed="false">
      <c r="A549" s="34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customFormat="false" ht="21.75" hidden="false" customHeight="true" outlineLevel="0" collapsed="false">
      <c r="A550" s="34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customFormat="false" ht="21.75" hidden="false" customHeight="true" outlineLevel="0" collapsed="false">
      <c r="A551" s="34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customFormat="false" ht="21.75" hidden="false" customHeight="true" outlineLevel="0" collapsed="false">
      <c r="A552" s="34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customFormat="false" ht="21.75" hidden="false" customHeight="true" outlineLevel="0" collapsed="false">
      <c r="A553" s="34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customFormat="false" ht="21.75" hidden="false" customHeight="true" outlineLevel="0" collapsed="false">
      <c r="A554" s="34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customFormat="false" ht="21.75" hidden="false" customHeight="true" outlineLevel="0" collapsed="false">
      <c r="A555" s="34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customFormat="false" ht="21.75" hidden="false" customHeight="true" outlineLevel="0" collapsed="false">
      <c r="A556" s="34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customFormat="false" ht="21.75" hidden="false" customHeight="true" outlineLevel="0" collapsed="false">
      <c r="A557" s="34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customFormat="false" ht="21.75" hidden="false" customHeight="true" outlineLevel="0" collapsed="false">
      <c r="A558" s="34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customFormat="false" ht="21.75" hidden="false" customHeight="true" outlineLevel="0" collapsed="false">
      <c r="A559" s="34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customFormat="false" ht="21.75" hidden="false" customHeight="true" outlineLevel="0" collapsed="false">
      <c r="A560" s="34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customFormat="false" ht="21.75" hidden="false" customHeight="true" outlineLevel="0" collapsed="false">
      <c r="A561" s="34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customFormat="false" ht="21.75" hidden="false" customHeight="true" outlineLevel="0" collapsed="false">
      <c r="A562" s="34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customFormat="false" ht="21.75" hidden="false" customHeight="true" outlineLevel="0" collapsed="false">
      <c r="A563" s="34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customFormat="false" ht="21.75" hidden="false" customHeight="true" outlineLevel="0" collapsed="false">
      <c r="A564" s="34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customFormat="false" ht="21.75" hidden="false" customHeight="true" outlineLevel="0" collapsed="false">
      <c r="A565" s="34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customFormat="false" ht="21.75" hidden="false" customHeight="true" outlineLevel="0" collapsed="false">
      <c r="A566" s="34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customFormat="false" ht="21.75" hidden="false" customHeight="true" outlineLevel="0" collapsed="false">
      <c r="A567" s="34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customFormat="false" ht="21.75" hidden="false" customHeight="true" outlineLevel="0" collapsed="false">
      <c r="A568" s="34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customFormat="false" ht="21.75" hidden="false" customHeight="true" outlineLevel="0" collapsed="false">
      <c r="A569" s="34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customFormat="false" ht="21.75" hidden="false" customHeight="true" outlineLevel="0" collapsed="false">
      <c r="A570" s="34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customFormat="false" ht="21.75" hidden="false" customHeight="true" outlineLevel="0" collapsed="false">
      <c r="A571" s="34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customFormat="false" ht="21.75" hidden="false" customHeight="true" outlineLevel="0" collapsed="false">
      <c r="A572" s="34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customFormat="false" ht="21.75" hidden="false" customHeight="true" outlineLevel="0" collapsed="false">
      <c r="A573" s="34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customFormat="false" ht="21.75" hidden="false" customHeight="true" outlineLevel="0" collapsed="false">
      <c r="A574" s="34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customFormat="false" ht="21.75" hidden="false" customHeight="true" outlineLevel="0" collapsed="false">
      <c r="A575" s="34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customFormat="false" ht="21.75" hidden="false" customHeight="true" outlineLevel="0" collapsed="false">
      <c r="A576" s="34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customFormat="false" ht="21.75" hidden="false" customHeight="true" outlineLevel="0" collapsed="false">
      <c r="A577" s="34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customFormat="false" ht="21.75" hidden="false" customHeight="true" outlineLevel="0" collapsed="false">
      <c r="A578" s="34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customFormat="false" ht="21.75" hidden="false" customHeight="true" outlineLevel="0" collapsed="false">
      <c r="A579" s="34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customFormat="false" ht="21.75" hidden="false" customHeight="true" outlineLevel="0" collapsed="false">
      <c r="A580" s="34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customFormat="false" ht="21.75" hidden="false" customHeight="true" outlineLevel="0" collapsed="false">
      <c r="A581" s="34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customFormat="false" ht="21.75" hidden="false" customHeight="true" outlineLevel="0" collapsed="false">
      <c r="A582" s="34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customFormat="false" ht="21.75" hidden="false" customHeight="true" outlineLevel="0" collapsed="false">
      <c r="A583" s="34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customFormat="false" ht="21.75" hidden="false" customHeight="true" outlineLevel="0" collapsed="false">
      <c r="A584" s="34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customFormat="false" ht="21.75" hidden="false" customHeight="true" outlineLevel="0" collapsed="false">
      <c r="A585" s="34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customFormat="false" ht="21.75" hidden="false" customHeight="true" outlineLevel="0" collapsed="false">
      <c r="A586" s="34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customFormat="false" ht="21.75" hidden="false" customHeight="true" outlineLevel="0" collapsed="false">
      <c r="A587" s="34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customFormat="false" ht="21.75" hidden="false" customHeight="true" outlineLevel="0" collapsed="false">
      <c r="A588" s="34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customFormat="false" ht="21.75" hidden="false" customHeight="true" outlineLevel="0" collapsed="false">
      <c r="A589" s="34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customFormat="false" ht="21.75" hidden="false" customHeight="true" outlineLevel="0" collapsed="false">
      <c r="A590" s="34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customFormat="false" ht="21.75" hidden="false" customHeight="true" outlineLevel="0" collapsed="false">
      <c r="A591" s="34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customFormat="false" ht="21.75" hidden="false" customHeight="true" outlineLevel="0" collapsed="false">
      <c r="A592" s="34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customFormat="false" ht="21.75" hidden="false" customHeight="true" outlineLevel="0" collapsed="false">
      <c r="A593" s="34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customFormat="false" ht="21.75" hidden="false" customHeight="true" outlineLevel="0" collapsed="false">
      <c r="A594" s="34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customFormat="false" ht="21.75" hidden="false" customHeight="true" outlineLevel="0" collapsed="false">
      <c r="A595" s="34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customFormat="false" ht="21.75" hidden="false" customHeight="true" outlineLevel="0" collapsed="false">
      <c r="A596" s="34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customFormat="false" ht="21.75" hidden="false" customHeight="true" outlineLevel="0" collapsed="false">
      <c r="A597" s="34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customFormat="false" ht="21.75" hidden="false" customHeight="true" outlineLevel="0" collapsed="false">
      <c r="A598" s="34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customFormat="false" ht="21.75" hidden="false" customHeight="true" outlineLevel="0" collapsed="false">
      <c r="A599" s="34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customFormat="false" ht="21.75" hidden="false" customHeight="true" outlineLevel="0" collapsed="false">
      <c r="A600" s="34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customFormat="false" ht="21.75" hidden="false" customHeight="true" outlineLevel="0" collapsed="false">
      <c r="A601" s="34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customFormat="false" ht="21.75" hidden="false" customHeight="true" outlineLevel="0" collapsed="false">
      <c r="A602" s="34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customFormat="false" ht="21.75" hidden="false" customHeight="true" outlineLevel="0" collapsed="false">
      <c r="A603" s="34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customFormat="false" ht="21.75" hidden="false" customHeight="true" outlineLevel="0" collapsed="false">
      <c r="A604" s="34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customFormat="false" ht="21.75" hidden="false" customHeight="true" outlineLevel="0" collapsed="false">
      <c r="A605" s="34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customFormat="false" ht="21.75" hidden="false" customHeight="true" outlineLevel="0" collapsed="false">
      <c r="A606" s="34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customFormat="false" ht="21.75" hidden="false" customHeight="true" outlineLevel="0" collapsed="false">
      <c r="A607" s="34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customFormat="false" ht="21.75" hidden="false" customHeight="true" outlineLevel="0" collapsed="false">
      <c r="A608" s="34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customFormat="false" ht="21.75" hidden="false" customHeight="true" outlineLevel="0" collapsed="false">
      <c r="A609" s="34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customFormat="false" ht="21.75" hidden="false" customHeight="true" outlineLevel="0" collapsed="false">
      <c r="A610" s="34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customFormat="false" ht="21.75" hidden="false" customHeight="true" outlineLevel="0" collapsed="false">
      <c r="A611" s="34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customFormat="false" ht="21.75" hidden="false" customHeight="true" outlineLevel="0" collapsed="false">
      <c r="A612" s="34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customFormat="false" ht="21.75" hidden="false" customHeight="true" outlineLevel="0" collapsed="false">
      <c r="A613" s="34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customFormat="false" ht="21.75" hidden="false" customHeight="true" outlineLevel="0" collapsed="false">
      <c r="A614" s="34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customFormat="false" ht="21.75" hidden="false" customHeight="true" outlineLevel="0" collapsed="false">
      <c r="A615" s="34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customFormat="false" ht="21.75" hidden="false" customHeight="true" outlineLevel="0" collapsed="false">
      <c r="A616" s="34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customFormat="false" ht="21.75" hidden="false" customHeight="true" outlineLevel="0" collapsed="false">
      <c r="A617" s="34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customFormat="false" ht="21.75" hidden="false" customHeight="true" outlineLevel="0" collapsed="false">
      <c r="A618" s="34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customFormat="false" ht="21.75" hidden="false" customHeight="true" outlineLevel="0" collapsed="false">
      <c r="A619" s="34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customFormat="false" ht="21.75" hidden="false" customHeight="true" outlineLevel="0" collapsed="false">
      <c r="A620" s="34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customFormat="false" ht="21.75" hidden="false" customHeight="true" outlineLevel="0" collapsed="false">
      <c r="A621" s="34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customFormat="false" ht="21.75" hidden="false" customHeight="true" outlineLevel="0" collapsed="false">
      <c r="A622" s="34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customFormat="false" ht="21.75" hidden="false" customHeight="true" outlineLevel="0" collapsed="false">
      <c r="A623" s="34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customFormat="false" ht="21.75" hidden="false" customHeight="true" outlineLevel="0" collapsed="false">
      <c r="A624" s="34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customFormat="false" ht="21.75" hidden="false" customHeight="true" outlineLevel="0" collapsed="false">
      <c r="A625" s="34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customFormat="false" ht="21.75" hidden="false" customHeight="true" outlineLevel="0" collapsed="false">
      <c r="A626" s="34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customFormat="false" ht="21.75" hidden="false" customHeight="true" outlineLevel="0" collapsed="false">
      <c r="A627" s="34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customFormat="false" ht="21.75" hidden="false" customHeight="true" outlineLevel="0" collapsed="false">
      <c r="A628" s="34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customFormat="false" ht="21.75" hidden="false" customHeight="true" outlineLevel="0" collapsed="false">
      <c r="A629" s="34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customFormat="false" ht="21.75" hidden="false" customHeight="true" outlineLevel="0" collapsed="false">
      <c r="A630" s="34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customFormat="false" ht="21.75" hidden="false" customHeight="true" outlineLevel="0" collapsed="false">
      <c r="A631" s="34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customFormat="false" ht="21.75" hidden="false" customHeight="true" outlineLevel="0" collapsed="false">
      <c r="A632" s="34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customFormat="false" ht="21.75" hidden="false" customHeight="true" outlineLevel="0" collapsed="false">
      <c r="A633" s="34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customFormat="false" ht="21.75" hidden="false" customHeight="true" outlineLevel="0" collapsed="false">
      <c r="A634" s="34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customFormat="false" ht="21.75" hidden="false" customHeight="true" outlineLevel="0" collapsed="false">
      <c r="A635" s="34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customFormat="false" ht="21.75" hidden="false" customHeight="true" outlineLevel="0" collapsed="false">
      <c r="A636" s="34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customFormat="false" ht="21.75" hidden="false" customHeight="true" outlineLevel="0" collapsed="false">
      <c r="A637" s="34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customFormat="false" ht="21.75" hidden="false" customHeight="true" outlineLevel="0" collapsed="false">
      <c r="A638" s="34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customFormat="false" ht="21.75" hidden="false" customHeight="true" outlineLevel="0" collapsed="false">
      <c r="A639" s="34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customFormat="false" ht="21.75" hidden="false" customHeight="true" outlineLevel="0" collapsed="false">
      <c r="A640" s="34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customFormat="false" ht="21.75" hidden="false" customHeight="true" outlineLevel="0" collapsed="false">
      <c r="A641" s="34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customFormat="false" ht="21.75" hidden="false" customHeight="true" outlineLevel="0" collapsed="false">
      <c r="A642" s="34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customFormat="false" ht="21.75" hidden="false" customHeight="true" outlineLevel="0" collapsed="false">
      <c r="A643" s="34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customFormat="false" ht="21.75" hidden="false" customHeight="true" outlineLevel="0" collapsed="false">
      <c r="A644" s="34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customFormat="false" ht="21.75" hidden="false" customHeight="true" outlineLevel="0" collapsed="false">
      <c r="A645" s="34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customFormat="false" ht="21.75" hidden="false" customHeight="true" outlineLevel="0" collapsed="false">
      <c r="A646" s="34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customFormat="false" ht="21.75" hidden="false" customHeight="true" outlineLevel="0" collapsed="false">
      <c r="A647" s="34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customFormat="false" ht="21.75" hidden="false" customHeight="true" outlineLevel="0" collapsed="false">
      <c r="A648" s="34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customFormat="false" ht="21.75" hidden="false" customHeight="true" outlineLevel="0" collapsed="false">
      <c r="A649" s="34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customFormat="false" ht="21.75" hidden="false" customHeight="true" outlineLevel="0" collapsed="false">
      <c r="A650" s="34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customFormat="false" ht="21.75" hidden="false" customHeight="true" outlineLevel="0" collapsed="false">
      <c r="A651" s="34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customFormat="false" ht="21.75" hidden="false" customHeight="true" outlineLevel="0" collapsed="false">
      <c r="A652" s="34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customFormat="false" ht="21.75" hidden="false" customHeight="true" outlineLevel="0" collapsed="false">
      <c r="A653" s="34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customFormat="false" ht="21.75" hidden="false" customHeight="true" outlineLevel="0" collapsed="false">
      <c r="A654" s="34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customFormat="false" ht="21.75" hidden="false" customHeight="true" outlineLevel="0" collapsed="false">
      <c r="A655" s="34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customFormat="false" ht="21.75" hidden="false" customHeight="true" outlineLevel="0" collapsed="false">
      <c r="A656" s="34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customFormat="false" ht="21.75" hidden="false" customHeight="true" outlineLevel="0" collapsed="false">
      <c r="A657" s="34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customFormat="false" ht="21.75" hidden="false" customHeight="true" outlineLevel="0" collapsed="false">
      <c r="A658" s="34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customFormat="false" ht="21.75" hidden="false" customHeight="true" outlineLevel="0" collapsed="false">
      <c r="A659" s="34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customFormat="false" ht="21.75" hidden="false" customHeight="true" outlineLevel="0" collapsed="false">
      <c r="A660" s="34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customFormat="false" ht="21.75" hidden="false" customHeight="true" outlineLevel="0" collapsed="false">
      <c r="A661" s="34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customFormat="false" ht="21.75" hidden="false" customHeight="true" outlineLevel="0" collapsed="false">
      <c r="A662" s="34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customFormat="false" ht="21.75" hidden="false" customHeight="true" outlineLevel="0" collapsed="false">
      <c r="A663" s="34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customFormat="false" ht="21.75" hidden="false" customHeight="true" outlineLevel="0" collapsed="false">
      <c r="A664" s="34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customFormat="false" ht="21.75" hidden="false" customHeight="true" outlineLevel="0" collapsed="false">
      <c r="A665" s="34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customFormat="false" ht="21.75" hidden="false" customHeight="true" outlineLevel="0" collapsed="false">
      <c r="A666" s="34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customFormat="false" ht="21.75" hidden="false" customHeight="true" outlineLevel="0" collapsed="false">
      <c r="A667" s="34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customFormat="false" ht="21.75" hidden="false" customHeight="true" outlineLevel="0" collapsed="false">
      <c r="A668" s="34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customFormat="false" ht="21.75" hidden="false" customHeight="true" outlineLevel="0" collapsed="false">
      <c r="A669" s="34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customFormat="false" ht="21.75" hidden="false" customHeight="true" outlineLevel="0" collapsed="false">
      <c r="A670" s="34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customFormat="false" ht="21.75" hidden="false" customHeight="true" outlineLevel="0" collapsed="false">
      <c r="A671" s="34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customFormat="false" ht="21.75" hidden="false" customHeight="true" outlineLevel="0" collapsed="false">
      <c r="A672" s="34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customFormat="false" ht="21.75" hidden="false" customHeight="true" outlineLevel="0" collapsed="false">
      <c r="A673" s="34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customFormat="false" ht="21.75" hidden="false" customHeight="true" outlineLevel="0" collapsed="false">
      <c r="A674" s="34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customFormat="false" ht="21.75" hidden="false" customHeight="true" outlineLevel="0" collapsed="false">
      <c r="A675" s="34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customFormat="false" ht="21.75" hidden="false" customHeight="true" outlineLevel="0" collapsed="false">
      <c r="A676" s="34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customFormat="false" ht="21.75" hidden="false" customHeight="true" outlineLevel="0" collapsed="false">
      <c r="A677" s="34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customFormat="false" ht="21.75" hidden="false" customHeight="true" outlineLevel="0" collapsed="false">
      <c r="A678" s="34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customFormat="false" ht="21.75" hidden="false" customHeight="true" outlineLevel="0" collapsed="false">
      <c r="A679" s="34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customFormat="false" ht="21.75" hidden="false" customHeight="true" outlineLevel="0" collapsed="false">
      <c r="A680" s="34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customFormat="false" ht="21.75" hidden="false" customHeight="true" outlineLevel="0" collapsed="false">
      <c r="A681" s="34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customFormat="false" ht="21.75" hidden="false" customHeight="true" outlineLevel="0" collapsed="false">
      <c r="A682" s="34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customFormat="false" ht="21.75" hidden="false" customHeight="true" outlineLevel="0" collapsed="false">
      <c r="A683" s="34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customFormat="false" ht="21.75" hidden="false" customHeight="true" outlineLevel="0" collapsed="false">
      <c r="A684" s="34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customFormat="false" ht="21.75" hidden="false" customHeight="true" outlineLevel="0" collapsed="false">
      <c r="A685" s="34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customFormat="false" ht="21.75" hidden="false" customHeight="true" outlineLevel="0" collapsed="false">
      <c r="A686" s="34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customFormat="false" ht="21.75" hidden="false" customHeight="true" outlineLevel="0" collapsed="false">
      <c r="A687" s="34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customFormat="false" ht="21.75" hidden="false" customHeight="true" outlineLevel="0" collapsed="false">
      <c r="A688" s="34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customFormat="false" ht="21.75" hidden="false" customHeight="true" outlineLevel="0" collapsed="false">
      <c r="A689" s="34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customFormat="false" ht="21.75" hidden="false" customHeight="true" outlineLevel="0" collapsed="false">
      <c r="A690" s="34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customFormat="false" ht="21.75" hidden="false" customHeight="true" outlineLevel="0" collapsed="false">
      <c r="A691" s="34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customFormat="false" ht="21.75" hidden="false" customHeight="true" outlineLevel="0" collapsed="false">
      <c r="A692" s="34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customFormat="false" ht="21.75" hidden="false" customHeight="true" outlineLevel="0" collapsed="false">
      <c r="A693" s="34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customFormat="false" ht="21.75" hidden="false" customHeight="true" outlineLevel="0" collapsed="false">
      <c r="A694" s="34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customFormat="false" ht="21.75" hidden="false" customHeight="true" outlineLevel="0" collapsed="false">
      <c r="A695" s="34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customFormat="false" ht="21.75" hidden="false" customHeight="true" outlineLevel="0" collapsed="false">
      <c r="A696" s="34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customFormat="false" ht="21.75" hidden="false" customHeight="true" outlineLevel="0" collapsed="false">
      <c r="A697" s="34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customFormat="false" ht="21.75" hidden="false" customHeight="true" outlineLevel="0" collapsed="false">
      <c r="A698" s="34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customFormat="false" ht="21.75" hidden="false" customHeight="true" outlineLevel="0" collapsed="false">
      <c r="A699" s="34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customFormat="false" ht="21.75" hidden="false" customHeight="true" outlineLevel="0" collapsed="false">
      <c r="A700" s="34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customFormat="false" ht="21.75" hidden="false" customHeight="true" outlineLevel="0" collapsed="false">
      <c r="A701" s="34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customFormat="false" ht="21.75" hidden="false" customHeight="true" outlineLevel="0" collapsed="false">
      <c r="A702" s="34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customFormat="false" ht="21.75" hidden="false" customHeight="true" outlineLevel="0" collapsed="false">
      <c r="A703" s="34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customFormat="false" ht="21.75" hidden="false" customHeight="true" outlineLevel="0" collapsed="false">
      <c r="A704" s="34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customFormat="false" ht="21.75" hidden="false" customHeight="true" outlineLevel="0" collapsed="false">
      <c r="A705" s="34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customFormat="false" ht="21.75" hidden="false" customHeight="true" outlineLevel="0" collapsed="false">
      <c r="A706" s="34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customFormat="false" ht="21.75" hidden="false" customHeight="true" outlineLevel="0" collapsed="false">
      <c r="A707" s="34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customFormat="false" ht="21.75" hidden="false" customHeight="true" outlineLevel="0" collapsed="false">
      <c r="A708" s="34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customFormat="false" ht="21.75" hidden="false" customHeight="true" outlineLevel="0" collapsed="false">
      <c r="A709" s="34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customFormat="false" ht="21.75" hidden="false" customHeight="true" outlineLevel="0" collapsed="false">
      <c r="A710" s="34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customFormat="false" ht="21.75" hidden="false" customHeight="true" outlineLevel="0" collapsed="false">
      <c r="A711" s="34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customFormat="false" ht="21.75" hidden="false" customHeight="true" outlineLevel="0" collapsed="false">
      <c r="A712" s="34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customFormat="false" ht="21.75" hidden="false" customHeight="true" outlineLevel="0" collapsed="false">
      <c r="A713" s="34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customFormat="false" ht="21.75" hidden="false" customHeight="true" outlineLevel="0" collapsed="false">
      <c r="A714" s="34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customFormat="false" ht="21.75" hidden="false" customHeight="true" outlineLevel="0" collapsed="false">
      <c r="A715" s="34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customFormat="false" ht="21.75" hidden="false" customHeight="true" outlineLevel="0" collapsed="false">
      <c r="A716" s="34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customFormat="false" ht="21.75" hidden="false" customHeight="true" outlineLevel="0" collapsed="false">
      <c r="A717" s="34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customFormat="false" ht="21.75" hidden="false" customHeight="true" outlineLevel="0" collapsed="false">
      <c r="A718" s="34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customFormat="false" ht="21.75" hidden="false" customHeight="true" outlineLevel="0" collapsed="false">
      <c r="A719" s="34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customFormat="false" ht="21.75" hidden="false" customHeight="true" outlineLevel="0" collapsed="false">
      <c r="A720" s="34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customFormat="false" ht="21.75" hidden="false" customHeight="true" outlineLevel="0" collapsed="false">
      <c r="A721" s="34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customFormat="false" ht="21.75" hidden="false" customHeight="true" outlineLevel="0" collapsed="false">
      <c r="A722" s="34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customFormat="false" ht="21.75" hidden="false" customHeight="true" outlineLevel="0" collapsed="false">
      <c r="A723" s="34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customFormat="false" ht="21.75" hidden="false" customHeight="true" outlineLevel="0" collapsed="false">
      <c r="A724" s="34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customFormat="false" ht="21.75" hidden="false" customHeight="true" outlineLevel="0" collapsed="false">
      <c r="A725" s="34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customFormat="false" ht="21.75" hidden="false" customHeight="true" outlineLevel="0" collapsed="false">
      <c r="A726" s="34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customFormat="false" ht="21.75" hidden="false" customHeight="true" outlineLevel="0" collapsed="false">
      <c r="A727" s="34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customFormat="false" ht="21.75" hidden="false" customHeight="true" outlineLevel="0" collapsed="false">
      <c r="A728" s="34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customFormat="false" ht="21.75" hidden="false" customHeight="true" outlineLevel="0" collapsed="false">
      <c r="A729" s="34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customFormat="false" ht="21.75" hidden="false" customHeight="true" outlineLevel="0" collapsed="false">
      <c r="A730" s="34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customFormat="false" ht="21.75" hidden="false" customHeight="true" outlineLevel="0" collapsed="false">
      <c r="A731" s="34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customFormat="false" ht="21.75" hidden="false" customHeight="true" outlineLevel="0" collapsed="false">
      <c r="A732" s="34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customFormat="false" ht="21.75" hidden="false" customHeight="true" outlineLevel="0" collapsed="false">
      <c r="A733" s="34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customFormat="false" ht="21.75" hidden="false" customHeight="true" outlineLevel="0" collapsed="false">
      <c r="A734" s="34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customFormat="false" ht="21.75" hidden="false" customHeight="true" outlineLevel="0" collapsed="false">
      <c r="A735" s="34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customFormat="false" ht="21.75" hidden="false" customHeight="true" outlineLevel="0" collapsed="false">
      <c r="A736" s="34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customFormat="false" ht="21.75" hidden="false" customHeight="true" outlineLevel="0" collapsed="false">
      <c r="A737" s="34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customFormat="false" ht="21.75" hidden="false" customHeight="true" outlineLevel="0" collapsed="false">
      <c r="A738" s="34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customFormat="false" ht="21.75" hidden="false" customHeight="true" outlineLevel="0" collapsed="false">
      <c r="A739" s="34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customFormat="false" ht="21.75" hidden="false" customHeight="true" outlineLevel="0" collapsed="false">
      <c r="A740" s="34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customFormat="false" ht="21.75" hidden="false" customHeight="true" outlineLevel="0" collapsed="false">
      <c r="A741" s="34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customFormat="false" ht="21.75" hidden="false" customHeight="true" outlineLevel="0" collapsed="false">
      <c r="A742" s="34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customFormat="false" ht="21.75" hidden="false" customHeight="true" outlineLevel="0" collapsed="false">
      <c r="A743" s="34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customFormat="false" ht="21.75" hidden="false" customHeight="true" outlineLevel="0" collapsed="false">
      <c r="A744" s="34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customFormat="false" ht="21.75" hidden="false" customHeight="true" outlineLevel="0" collapsed="false">
      <c r="A745" s="34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customFormat="false" ht="21.75" hidden="false" customHeight="true" outlineLevel="0" collapsed="false">
      <c r="A746" s="34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customFormat="false" ht="21.75" hidden="false" customHeight="true" outlineLevel="0" collapsed="false">
      <c r="A747" s="34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customFormat="false" ht="21.75" hidden="false" customHeight="true" outlineLevel="0" collapsed="false">
      <c r="A748" s="34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customFormat="false" ht="21.75" hidden="false" customHeight="true" outlineLevel="0" collapsed="false">
      <c r="A749" s="34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customFormat="false" ht="21.75" hidden="false" customHeight="true" outlineLevel="0" collapsed="false">
      <c r="A750" s="34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customFormat="false" ht="21.75" hidden="false" customHeight="true" outlineLevel="0" collapsed="false">
      <c r="A751" s="34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customFormat="false" ht="21.75" hidden="false" customHeight="true" outlineLevel="0" collapsed="false">
      <c r="A752" s="34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customFormat="false" ht="21.75" hidden="false" customHeight="true" outlineLevel="0" collapsed="false">
      <c r="A753" s="34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customFormat="false" ht="21.75" hidden="false" customHeight="true" outlineLevel="0" collapsed="false">
      <c r="A754" s="34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customFormat="false" ht="21.75" hidden="false" customHeight="true" outlineLevel="0" collapsed="false">
      <c r="A755" s="34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customFormat="false" ht="21.75" hidden="false" customHeight="true" outlineLevel="0" collapsed="false">
      <c r="A756" s="34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customFormat="false" ht="21.75" hidden="false" customHeight="true" outlineLevel="0" collapsed="false">
      <c r="A757" s="34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customFormat="false" ht="21.75" hidden="false" customHeight="true" outlineLevel="0" collapsed="false">
      <c r="A758" s="34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customFormat="false" ht="21.75" hidden="false" customHeight="true" outlineLevel="0" collapsed="false">
      <c r="A759" s="34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customFormat="false" ht="21.75" hidden="false" customHeight="true" outlineLevel="0" collapsed="false">
      <c r="A760" s="34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customFormat="false" ht="21.75" hidden="false" customHeight="true" outlineLevel="0" collapsed="false">
      <c r="A761" s="34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customFormat="false" ht="21.75" hidden="false" customHeight="true" outlineLevel="0" collapsed="false">
      <c r="A762" s="34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customFormat="false" ht="21.75" hidden="false" customHeight="true" outlineLevel="0" collapsed="false">
      <c r="A763" s="34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customFormat="false" ht="21.75" hidden="false" customHeight="true" outlineLevel="0" collapsed="false">
      <c r="A764" s="34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customFormat="false" ht="21.75" hidden="false" customHeight="true" outlineLevel="0" collapsed="false">
      <c r="A765" s="34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customFormat="false" ht="21.75" hidden="false" customHeight="true" outlineLevel="0" collapsed="false">
      <c r="A766" s="34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customFormat="false" ht="21.75" hidden="false" customHeight="true" outlineLevel="0" collapsed="false">
      <c r="A767" s="34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customFormat="false" ht="21.75" hidden="false" customHeight="true" outlineLevel="0" collapsed="false">
      <c r="A768" s="34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customFormat="false" ht="21.75" hidden="false" customHeight="true" outlineLevel="0" collapsed="false">
      <c r="A769" s="34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customFormat="false" ht="21.75" hidden="false" customHeight="true" outlineLevel="0" collapsed="false">
      <c r="A770" s="34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customFormat="false" ht="21.75" hidden="false" customHeight="true" outlineLevel="0" collapsed="false">
      <c r="A771" s="34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customFormat="false" ht="21.75" hidden="false" customHeight="true" outlineLevel="0" collapsed="false">
      <c r="A772" s="34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customFormat="false" ht="21.75" hidden="false" customHeight="true" outlineLevel="0" collapsed="false">
      <c r="A773" s="34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customFormat="false" ht="21.75" hidden="false" customHeight="true" outlineLevel="0" collapsed="false">
      <c r="A774" s="34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customFormat="false" ht="21.75" hidden="false" customHeight="true" outlineLevel="0" collapsed="false">
      <c r="A775" s="34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customFormat="false" ht="21.75" hidden="false" customHeight="true" outlineLevel="0" collapsed="false">
      <c r="A776" s="34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customFormat="false" ht="21.75" hidden="false" customHeight="true" outlineLevel="0" collapsed="false">
      <c r="A777" s="34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customFormat="false" ht="21.75" hidden="false" customHeight="true" outlineLevel="0" collapsed="false">
      <c r="A778" s="34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customFormat="false" ht="21.75" hidden="false" customHeight="true" outlineLevel="0" collapsed="false">
      <c r="A779" s="34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customFormat="false" ht="21.75" hidden="false" customHeight="true" outlineLevel="0" collapsed="false">
      <c r="A780" s="34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customFormat="false" ht="21.75" hidden="false" customHeight="true" outlineLevel="0" collapsed="false">
      <c r="A781" s="34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customFormat="false" ht="21.75" hidden="false" customHeight="true" outlineLevel="0" collapsed="false">
      <c r="A782" s="34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customFormat="false" ht="21.75" hidden="false" customHeight="true" outlineLevel="0" collapsed="false">
      <c r="A783" s="34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customFormat="false" ht="21.75" hidden="false" customHeight="true" outlineLevel="0" collapsed="false">
      <c r="A784" s="34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customFormat="false" ht="21.75" hidden="false" customHeight="true" outlineLevel="0" collapsed="false">
      <c r="A785" s="34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customFormat="false" ht="21.75" hidden="false" customHeight="true" outlineLevel="0" collapsed="false">
      <c r="A786" s="34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customFormat="false" ht="21.75" hidden="false" customHeight="true" outlineLevel="0" collapsed="false">
      <c r="A787" s="34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customFormat="false" ht="21.75" hidden="false" customHeight="true" outlineLevel="0" collapsed="false">
      <c r="A788" s="34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customFormat="false" ht="21.75" hidden="false" customHeight="true" outlineLevel="0" collapsed="false">
      <c r="A789" s="34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customFormat="false" ht="21.75" hidden="false" customHeight="true" outlineLevel="0" collapsed="false">
      <c r="A790" s="34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customFormat="false" ht="21.75" hidden="false" customHeight="true" outlineLevel="0" collapsed="false">
      <c r="A791" s="34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customFormat="false" ht="21.75" hidden="false" customHeight="true" outlineLevel="0" collapsed="false">
      <c r="A792" s="34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customFormat="false" ht="21.75" hidden="false" customHeight="true" outlineLevel="0" collapsed="false">
      <c r="A793" s="34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customFormat="false" ht="21.75" hidden="false" customHeight="true" outlineLevel="0" collapsed="false">
      <c r="A794" s="34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customFormat="false" ht="21.75" hidden="false" customHeight="true" outlineLevel="0" collapsed="false">
      <c r="A795" s="34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customFormat="false" ht="21.75" hidden="false" customHeight="true" outlineLevel="0" collapsed="false">
      <c r="A796" s="34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customFormat="false" ht="21.75" hidden="false" customHeight="true" outlineLevel="0" collapsed="false">
      <c r="A797" s="34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customFormat="false" ht="21.75" hidden="false" customHeight="true" outlineLevel="0" collapsed="false">
      <c r="A798" s="34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customFormat="false" ht="21.75" hidden="false" customHeight="true" outlineLevel="0" collapsed="false">
      <c r="A799" s="34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customFormat="false" ht="21.75" hidden="false" customHeight="true" outlineLevel="0" collapsed="false">
      <c r="A800" s="34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customFormat="false" ht="21.75" hidden="false" customHeight="true" outlineLevel="0" collapsed="false">
      <c r="A801" s="34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customFormat="false" ht="21.75" hidden="false" customHeight="true" outlineLevel="0" collapsed="false">
      <c r="A802" s="34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customFormat="false" ht="21.75" hidden="false" customHeight="true" outlineLevel="0" collapsed="false">
      <c r="A803" s="34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customFormat="false" ht="21.75" hidden="false" customHeight="true" outlineLevel="0" collapsed="false">
      <c r="A804" s="34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customFormat="false" ht="21.75" hidden="false" customHeight="true" outlineLevel="0" collapsed="false">
      <c r="A805" s="34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customFormat="false" ht="21.75" hidden="false" customHeight="true" outlineLevel="0" collapsed="false">
      <c r="A806" s="34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customFormat="false" ht="21.75" hidden="false" customHeight="true" outlineLevel="0" collapsed="false">
      <c r="A807" s="34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customFormat="false" ht="21.75" hidden="false" customHeight="true" outlineLevel="0" collapsed="false">
      <c r="A808" s="34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customFormat="false" ht="21.75" hidden="false" customHeight="true" outlineLevel="0" collapsed="false">
      <c r="A809" s="34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customFormat="false" ht="21.75" hidden="false" customHeight="true" outlineLevel="0" collapsed="false">
      <c r="A810" s="34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customFormat="false" ht="21.75" hidden="false" customHeight="true" outlineLevel="0" collapsed="false">
      <c r="A811" s="34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customFormat="false" ht="21.75" hidden="false" customHeight="true" outlineLevel="0" collapsed="false">
      <c r="A812" s="34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customFormat="false" ht="21.75" hidden="false" customHeight="true" outlineLevel="0" collapsed="false">
      <c r="A813" s="34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customFormat="false" ht="21.75" hidden="false" customHeight="true" outlineLevel="0" collapsed="false">
      <c r="A814" s="34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customFormat="false" ht="21.75" hidden="false" customHeight="true" outlineLevel="0" collapsed="false">
      <c r="A815" s="34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customFormat="false" ht="21.75" hidden="false" customHeight="true" outlineLevel="0" collapsed="false">
      <c r="A816" s="34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customFormat="false" ht="21.75" hidden="false" customHeight="true" outlineLevel="0" collapsed="false">
      <c r="A817" s="34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customFormat="false" ht="21.75" hidden="false" customHeight="true" outlineLevel="0" collapsed="false">
      <c r="A818" s="34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customFormat="false" ht="21.75" hidden="false" customHeight="true" outlineLevel="0" collapsed="false">
      <c r="A819" s="34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customFormat="false" ht="21.75" hidden="false" customHeight="true" outlineLevel="0" collapsed="false">
      <c r="A820" s="34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customFormat="false" ht="21.75" hidden="false" customHeight="true" outlineLevel="0" collapsed="false">
      <c r="A821" s="34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customFormat="false" ht="21.75" hidden="false" customHeight="true" outlineLevel="0" collapsed="false">
      <c r="A822" s="34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customFormat="false" ht="21.75" hidden="false" customHeight="true" outlineLevel="0" collapsed="false">
      <c r="A823" s="34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customFormat="false" ht="21.75" hidden="false" customHeight="true" outlineLevel="0" collapsed="false">
      <c r="A824" s="34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customFormat="false" ht="21.75" hidden="false" customHeight="true" outlineLevel="0" collapsed="false">
      <c r="A825" s="34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customFormat="false" ht="21.75" hidden="false" customHeight="true" outlineLevel="0" collapsed="false">
      <c r="A826" s="34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customFormat="false" ht="21.75" hidden="false" customHeight="true" outlineLevel="0" collapsed="false">
      <c r="A827" s="34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customFormat="false" ht="21.75" hidden="false" customHeight="true" outlineLevel="0" collapsed="false">
      <c r="A828" s="34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customFormat="false" ht="21.75" hidden="false" customHeight="true" outlineLevel="0" collapsed="false">
      <c r="A829" s="34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customFormat="false" ht="21.75" hidden="false" customHeight="true" outlineLevel="0" collapsed="false">
      <c r="A830" s="34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customFormat="false" ht="21.75" hidden="false" customHeight="true" outlineLevel="0" collapsed="false">
      <c r="A831" s="34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customFormat="false" ht="21.75" hidden="false" customHeight="true" outlineLevel="0" collapsed="false">
      <c r="A832" s="34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customFormat="false" ht="21.75" hidden="false" customHeight="true" outlineLevel="0" collapsed="false">
      <c r="A833" s="34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customFormat="false" ht="21.75" hidden="false" customHeight="true" outlineLevel="0" collapsed="false">
      <c r="A834" s="34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customFormat="false" ht="21.75" hidden="false" customHeight="true" outlineLevel="0" collapsed="false">
      <c r="A835" s="34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customFormat="false" ht="21.75" hidden="false" customHeight="true" outlineLevel="0" collapsed="false">
      <c r="A836" s="34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customFormat="false" ht="21.75" hidden="false" customHeight="true" outlineLevel="0" collapsed="false">
      <c r="A837" s="34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customFormat="false" ht="21.75" hidden="false" customHeight="true" outlineLevel="0" collapsed="false">
      <c r="A838" s="34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customFormat="false" ht="21.75" hidden="false" customHeight="true" outlineLevel="0" collapsed="false">
      <c r="A839" s="34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customFormat="false" ht="21.75" hidden="false" customHeight="true" outlineLevel="0" collapsed="false">
      <c r="A840" s="34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customFormat="false" ht="21.75" hidden="false" customHeight="true" outlineLevel="0" collapsed="false">
      <c r="A841" s="34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customFormat="false" ht="21.75" hidden="false" customHeight="true" outlineLevel="0" collapsed="false">
      <c r="A842" s="34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customFormat="false" ht="21.75" hidden="false" customHeight="true" outlineLevel="0" collapsed="false">
      <c r="A843" s="34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customFormat="false" ht="21.75" hidden="false" customHeight="true" outlineLevel="0" collapsed="false">
      <c r="A844" s="34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customFormat="false" ht="21.75" hidden="false" customHeight="true" outlineLevel="0" collapsed="false">
      <c r="A845" s="34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customFormat="false" ht="21.75" hidden="false" customHeight="true" outlineLevel="0" collapsed="false">
      <c r="A846" s="34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customFormat="false" ht="21.75" hidden="false" customHeight="true" outlineLevel="0" collapsed="false">
      <c r="A847" s="34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customFormat="false" ht="21.75" hidden="false" customHeight="true" outlineLevel="0" collapsed="false">
      <c r="A848" s="34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customFormat="false" ht="21.75" hidden="false" customHeight="true" outlineLevel="0" collapsed="false">
      <c r="A849" s="34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customFormat="false" ht="21.75" hidden="false" customHeight="true" outlineLevel="0" collapsed="false">
      <c r="A850" s="34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customFormat="false" ht="21.75" hidden="false" customHeight="true" outlineLevel="0" collapsed="false">
      <c r="A851" s="34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customFormat="false" ht="21.75" hidden="false" customHeight="true" outlineLevel="0" collapsed="false">
      <c r="A852" s="34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customFormat="false" ht="21.75" hidden="false" customHeight="true" outlineLevel="0" collapsed="false">
      <c r="A853" s="34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customFormat="false" ht="21.75" hidden="false" customHeight="true" outlineLevel="0" collapsed="false">
      <c r="A854" s="34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customFormat="false" ht="21.75" hidden="false" customHeight="true" outlineLevel="0" collapsed="false">
      <c r="A855" s="34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customFormat="false" ht="21.75" hidden="false" customHeight="true" outlineLevel="0" collapsed="false">
      <c r="A856" s="34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customFormat="false" ht="21.75" hidden="false" customHeight="true" outlineLevel="0" collapsed="false">
      <c r="A857" s="34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customFormat="false" ht="21.75" hidden="false" customHeight="true" outlineLevel="0" collapsed="false">
      <c r="A858" s="34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customFormat="false" ht="21.75" hidden="false" customHeight="true" outlineLevel="0" collapsed="false">
      <c r="A859" s="34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customFormat="false" ht="21.75" hidden="false" customHeight="true" outlineLevel="0" collapsed="false">
      <c r="A860" s="34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customFormat="false" ht="21.75" hidden="false" customHeight="true" outlineLevel="0" collapsed="false">
      <c r="A861" s="34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customFormat="false" ht="21.75" hidden="false" customHeight="true" outlineLevel="0" collapsed="false">
      <c r="A862" s="34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customFormat="false" ht="21.75" hidden="false" customHeight="true" outlineLevel="0" collapsed="false">
      <c r="A863" s="34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customFormat="false" ht="21.75" hidden="false" customHeight="true" outlineLevel="0" collapsed="false">
      <c r="A864" s="34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customFormat="false" ht="21.75" hidden="false" customHeight="true" outlineLevel="0" collapsed="false">
      <c r="A865" s="34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customFormat="false" ht="21.75" hidden="false" customHeight="true" outlineLevel="0" collapsed="false">
      <c r="A866" s="34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customFormat="false" ht="21.75" hidden="false" customHeight="true" outlineLevel="0" collapsed="false">
      <c r="A867" s="34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customFormat="false" ht="21.75" hidden="false" customHeight="true" outlineLevel="0" collapsed="false">
      <c r="A868" s="34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customFormat="false" ht="21.75" hidden="false" customHeight="true" outlineLevel="0" collapsed="false">
      <c r="A869" s="34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customFormat="false" ht="21.75" hidden="false" customHeight="true" outlineLevel="0" collapsed="false">
      <c r="A870" s="34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customFormat="false" ht="21.75" hidden="false" customHeight="true" outlineLevel="0" collapsed="false">
      <c r="A871" s="34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customFormat="false" ht="21.75" hidden="false" customHeight="true" outlineLevel="0" collapsed="false">
      <c r="A872" s="34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customFormat="false" ht="21.75" hidden="false" customHeight="true" outlineLevel="0" collapsed="false">
      <c r="A873" s="34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customFormat="false" ht="21.75" hidden="false" customHeight="true" outlineLevel="0" collapsed="false">
      <c r="A874" s="34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customFormat="false" ht="21.75" hidden="false" customHeight="true" outlineLevel="0" collapsed="false">
      <c r="A875" s="34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customFormat="false" ht="21.75" hidden="false" customHeight="true" outlineLevel="0" collapsed="false">
      <c r="A876" s="34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customFormat="false" ht="21.75" hidden="false" customHeight="true" outlineLevel="0" collapsed="false">
      <c r="A877" s="34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customFormat="false" ht="21.75" hidden="false" customHeight="true" outlineLevel="0" collapsed="false">
      <c r="A878" s="34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customFormat="false" ht="21.75" hidden="false" customHeight="true" outlineLevel="0" collapsed="false">
      <c r="A879" s="34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customFormat="false" ht="21.75" hidden="false" customHeight="true" outlineLevel="0" collapsed="false">
      <c r="A880" s="34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customFormat="false" ht="21.75" hidden="false" customHeight="true" outlineLevel="0" collapsed="false">
      <c r="A881" s="34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customFormat="false" ht="21.75" hidden="false" customHeight="true" outlineLevel="0" collapsed="false">
      <c r="A882" s="34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customFormat="false" ht="21.75" hidden="false" customHeight="true" outlineLevel="0" collapsed="false">
      <c r="A883" s="34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customFormat="false" ht="21.75" hidden="false" customHeight="true" outlineLevel="0" collapsed="false">
      <c r="A884" s="34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customFormat="false" ht="21.75" hidden="false" customHeight="true" outlineLevel="0" collapsed="false">
      <c r="A885" s="34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customFormat="false" ht="21.75" hidden="false" customHeight="true" outlineLevel="0" collapsed="false">
      <c r="A886" s="34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customFormat="false" ht="21.75" hidden="false" customHeight="true" outlineLevel="0" collapsed="false">
      <c r="A887" s="34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customFormat="false" ht="21.75" hidden="false" customHeight="true" outlineLevel="0" collapsed="false">
      <c r="A888" s="34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customFormat="false" ht="21.75" hidden="false" customHeight="true" outlineLevel="0" collapsed="false">
      <c r="A889" s="34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customFormat="false" ht="21.75" hidden="false" customHeight="true" outlineLevel="0" collapsed="false">
      <c r="A890" s="34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customFormat="false" ht="21.75" hidden="false" customHeight="true" outlineLevel="0" collapsed="false">
      <c r="A891" s="34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customFormat="false" ht="21.75" hidden="false" customHeight="true" outlineLevel="0" collapsed="false">
      <c r="A892" s="34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customFormat="false" ht="21.75" hidden="false" customHeight="true" outlineLevel="0" collapsed="false">
      <c r="A893" s="34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customFormat="false" ht="21.75" hidden="false" customHeight="true" outlineLevel="0" collapsed="false">
      <c r="A894" s="34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customFormat="false" ht="21.75" hidden="false" customHeight="true" outlineLevel="0" collapsed="false">
      <c r="A895" s="34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customFormat="false" ht="21.75" hidden="false" customHeight="true" outlineLevel="0" collapsed="false">
      <c r="A896" s="34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customFormat="false" ht="21.75" hidden="false" customHeight="true" outlineLevel="0" collapsed="false">
      <c r="A897" s="34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customFormat="false" ht="21.75" hidden="false" customHeight="true" outlineLevel="0" collapsed="false">
      <c r="A898" s="34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customFormat="false" ht="21.75" hidden="false" customHeight="true" outlineLevel="0" collapsed="false">
      <c r="A899" s="34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customFormat="false" ht="21.75" hidden="false" customHeight="true" outlineLevel="0" collapsed="false">
      <c r="A900" s="34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customFormat="false" ht="21.75" hidden="false" customHeight="true" outlineLevel="0" collapsed="false">
      <c r="A901" s="34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customFormat="false" ht="21.75" hidden="false" customHeight="true" outlineLevel="0" collapsed="false">
      <c r="A902" s="34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customFormat="false" ht="21.75" hidden="false" customHeight="true" outlineLevel="0" collapsed="false">
      <c r="A903" s="34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customFormat="false" ht="21.75" hidden="false" customHeight="true" outlineLevel="0" collapsed="false">
      <c r="A904" s="34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customFormat="false" ht="21.75" hidden="false" customHeight="true" outlineLevel="0" collapsed="false">
      <c r="A905" s="34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customFormat="false" ht="21.75" hidden="false" customHeight="true" outlineLevel="0" collapsed="false">
      <c r="A906" s="34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customFormat="false" ht="21.75" hidden="false" customHeight="true" outlineLevel="0" collapsed="false">
      <c r="A907" s="34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customFormat="false" ht="21.75" hidden="false" customHeight="true" outlineLevel="0" collapsed="false">
      <c r="A908" s="34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customFormat="false" ht="21.75" hidden="false" customHeight="true" outlineLevel="0" collapsed="false">
      <c r="A909" s="34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customFormat="false" ht="21.75" hidden="false" customHeight="true" outlineLevel="0" collapsed="false">
      <c r="A910" s="34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customFormat="false" ht="21.75" hidden="false" customHeight="true" outlineLevel="0" collapsed="false">
      <c r="A911" s="34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customFormat="false" ht="21.75" hidden="false" customHeight="true" outlineLevel="0" collapsed="false">
      <c r="A912" s="34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customFormat="false" ht="21.75" hidden="false" customHeight="true" outlineLevel="0" collapsed="false">
      <c r="A913" s="34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customFormat="false" ht="21.75" hidden="false" customHeight="true" outlineLevel="0" collapsed="false">
      <c r="A914" s="34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customFormat="false" ht="21.75" hidden="false" customHeight="true" outlineLevel="0" collapsed="false">
      <c r="A915" s="34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customFormat="false" ht="21.75" hidden="false" customHeight="true" outlineLevel="0" collapsed="false">
      <c r="A916" s="34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customFormat="false" ht="21.75" hidden="false" customHeight="true" outlineLevel="0" collapsed="false">
      <c r="A917" s="34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customFormat="false" ht="21.75" hidden="false" customHeight="true" outlineLevel="0" collapsed="false">
      <c r="A918" s="34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customFormat="false" ht="21.75" hidden="false" customHeight="true" outlineLevel="0" collapsed="false">
      <c r="A919" s="34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customFormat="false" ht="21.75" hidden="false" customHeight="true" outlineLevel="0" collapsed="false">
      <c r="A920" s="34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customFormat="false" ht="21.75" hidden="false" customHeight="true" outlineLevel="0" collapsed="false">
      <c r="A921" s="34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customFormat="false" ht="21.75" hidden="false" customHeight="true" outlineLevel="0" collapsed="false">
      <c r="A922" s="34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customFormat="false" ht="21.75" hidden="false" customHeight="true" outlineLevel="0" collapsed="false">
      <c r="A923" s="34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customFormat="false" ht="21.75" hidden="false" customHeight="true" outlineLevel="0" collapsed="false">
      <c r="A924" s="34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customFormat="false" ht="21.75" hidden="false" customHeight="true" outlineLevel="0" collapsed="false">
      <c r="A925" s="34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customFormat="false" ht="21.75" hidden="false" customHeight="true" outlineLevel="0" collapsed="false">
      <c r="A926" s="34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customFormat="false" ht="21.75" hidden="false" customHeight="true" outlineLevel="0" collapsed="false">
      <c r="A927" s="34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customFormat="false" ht="21.75" hidden="false" customHeight="true" outlineLevel="0" collapsed="false">
      <c r="A928" s="34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customFormat="false" ht="21.75" hidden="false" customHeight="true" outlineLevel="0" collapsed="false">
      <c r="A929" s="34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customFormat="false" ht="21.75" hidden="false" customHeight="true" outlineLevel="0" collapsed="false">
      <c r="A930" s="34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customFormat="false" ht="21.75" hidden="false" customHeight="true" outlineLevel="0" collapsed="false">
      <c r="A931" s="34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customFormat="false" ht="21.75" hidden="false" customHeight="true" outlineLevel="0" collapsed="false">
      <c r="A932" s="34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customFormat="false" ht="21.75" hidden="false" customHeight="true" outlineLevel="0" collapsed="false">
      <c r="A933" s="34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customFormat="false" ht="21.75" hidden="false" customHeight="true" outlineLevel="0" collapsed="false">
      <c r="A934" s="34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customFormat="false" ht="21.75" hidden="false" customHeight="true" outlineLevel="0" collapsed="false">
      <c r="A935" s="34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customFormat="false" ht="21.75" hidden="false" customHeight="true" outlineLevel="0" collapsed="false">
      <c r="A936" s="34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customFormat="false" ht="21.75" hidden="false" customHeight="true" outlineLevel="0" collapsed="false">
      <c r="A937" s="34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customFormat="false" ht="21.75" hidden="false" customHeight="true" outlineLevel="0" collapsed="false">
      <c r="A938" s="34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customFormat="false" ht="21.75" hidden="false" customHeight="true" outlineLevel="0" collapsed="false">
      <c r="A939" s="34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customFormat="false" ht="21.75" hidden="false" customHeight="true" outlineLevel="0" collapsed="false">
      <c r="A940" s="34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customFormat="false" ht="21.75" hidden="false" customHeight="true" outlineLevel="0" collapsed="false">
      <c r="A941" s="34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customFormat="false" ht="21.75" hidden="false" customHeight="true" outlineLevel="0" collapsed="false">
      <c r="A942" s="34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customFormat="false" ht="21.75" hidden="false" customHeight="true" outlineLevel="0" collapsed="false">
      <c r="A943" s="34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customFormat="false" ht="21.75" hidden="false" customHeight="true" outlineLevel="0" collapsed="false">
      <c r="A944" s="34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customFormat="false" ht="21.75" hidden="false" customHeight="true" outlineLevel="0" collapsed="false">
      <c r="A945" s="34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customFormat="false" ht="21.75" hidden="false" customHeight="true" outlineLevel="0" collapsed="false">
      <c r="A946" s="34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customFormat="false" ht="21.75" hidden="false" customHeight="true" outlineLevel="0" collapsed="false">
      <c r="A947" s="34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customFormat="false" ht="21.75" hidden="false" customHeight="true" outlineLevel="0" collapsed="false">
      <c r="A948" s="34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customFormat="false" ht="21.75" hidden="false" customHeight="true" outlineLevel="0" collapsed="false">
      <c r="A949" s="34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customFormat="false" ht="21.75" hidden="false" customHeight="true" outlineLevel="0" collapsed="false">
      <c r="A950" s="34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customFormat="false" ht="21.75" hidden="false" customHeight="true" outlineLevel="0" collapsed="false">
      <c r="A951" s="34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customFormat="false" ht="21.75" hidden="false" customHeight="true" outlineLevel="0" collapsed="false">
      <c r="A952" s="34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customFormat="false" ht="21.75" hidden="false" customHeight="true" outlineLevel="0" collapsed="false">
      <c r="A953" s="34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customFormat="false" ht="21.75" hidden="false" customHeight="true" outlineLevel="0" collapsed="false">
      <c r="A954" s="34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customFormat="false" ht="21.75" hidden="false" customHeight="true" outlineLevel="0" collapsed="false">
      <c r="A955" s="34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customFormat="false" ht="21.75" hidden="false" customHeight="true" outlineLevel="0" collapsed="false">
      <c r="A956" s="34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customFormat="false" ht="21.75" hidden="false" customHeight="true" outlineLevel="0" collapsed="false">
      <c r="A957" s="34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customFormat="false" ht="21.75" hidden="false" customHeight="true" outlineLevel="0" collapsed="false">
      <c r="A958" s="34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customFormat="false" ht="21.75" hidden="false" customHeight="true" outlineLevel="0" collapsed="false">
      <c r="A959" s="34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customFormat="false" ht="21.75" hidden="false" customHeight="true" outlineLevel="0" collapsed="false">
      <c r="A960" s="34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customFormat="false" ht="21.75" hidden="false" customHeight="true" outlineLevel="0" collapsed="false">
      <c r="A961" s="34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customFormat="false" ht="21.75" hidden="false" customHeight="true" outlineLevel="0" collapsed="false">
      <c r="A962" s="34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customFormat="false" ht="21.75" hidden="false" customHeight="true" outlineLevel="0" collapsed="false">
      <c r="A963" s="34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customFormat="false" ht="21.75" hidden="false" customHeight="true" outlineLevel="0" collapsed="false">
      <c r="A964" s="34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customFormat="false" ht="21.75" hidden="false" customHeight="true" outlineLevel="0" collapsed="false">
      <c r="A965" s="34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customFormat="false" ht="21.75" hidden="false" customHeight="true" outlineLevel="0" collapsed="false">
      <c r="A966" s="34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customFormat="false" ht="21.75" hidden="false" customHeight="true" outlineLevel="0" collapsed="false">
      <c r="A967" s="34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customFormat="false" ht="21.75" hidden="false" customHeight="true" outlineLevel="0" collapsed="false">
      <c r="A968" s="34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customFormat="false" ht="21.75" hidden="false" customHeight="true" outlineLevel="0" collapsed="false">
      <c r="A969" s="34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customFormat="false" ht="21.75" hidden="false" customHeight="true" outlineLevel="0" collapsed="false">
      <c r="A970" s="34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customFormat="false" ht="21.75" hidden="false" customHeight="true" outlineLevel="0" collapsed="false">
      <c r="A971" s="34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customFormat="false" ht="21.75" hidden="false" customHeight="true" outlineLevel="0" collapsed="false">
      <c r="A972" s="34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customFormat="false" ht="21.75" hidden="false" customHeight="true" outlineLevel="0" collapsed="false">
      <c r="A973" s="34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customFormat="false" ht="21.75" hidden="false" customHeight="true" outlineLevel="0" collapsed="false">
      <c r="A974" s="34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customFormat="false" ht="21.75" hidden="false" customHeight="true" outlineLevel="0" collapsed="false">
      <c r="A975" s="34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customFormat="false" ht="21.75" hidden="false" customHeight="true" outlineLevel="0" collapsed="false">
      <c r="A976" s="34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customFormat="false" ht="21.75" hidden="false" customHeight="true" outlineLevel="0" collapsed="false">
      <c r="A977" s="34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customFormat="false" ht="21.75" hidden="false" customHeight="true" outlineLevel="0" collapsed="false">
      <c r="A978" s="34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customFormat="false" ht="21.75" hidden="false" customHeight="true" outlineLevel="0" collapsed="false">
      <c r="A979" s="34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customFormat="false" ht="21.75" hidden="false" customHeight="true" outlineLevel="0" collapsed="false">
      <c r="A980" s="34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customFormat="false" ht="21.75" hidden="false" customHeight="true" outlineLevel="0" collapsed="false">
      <c r="A981" s="34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customFormat="false" ht="21.75" hidden="false" customHeight="true" outlineLevel="0" collapsed="false">
      <c r="A982" s="34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customFormat="false" ht="21.75" hidden="false" customHeight="true" outlineLevel="0" collapsed="false">
      <c r="A983" s="34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customFormat="false" ht="21.75" hidden="false" customHeight="true" outlineLevel="0" collapsed="false">
      <c r="A984" s="34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customFormat="false" ht="21.75" hidden="false" customHeight="true" outlineLevel="0" collapsed="false">
      <c r="A985" s="34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customFormat="false" ht="21.75" hidden="false" customHeight="true" outlineLevel="0" collapsed="false">
      <c r="A986" s="34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customFormat="false" ht="21.75" hidden="false" customHeight="true" outlineLevel="0" collapsed="false">
      <c r="A987" s="34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customFormat="false" ht="21.75" hidden="false" customHeight="true" outlineLevel="0" collapsed="false">
      <c r="A988" s="34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customFormat="false" ht="21.75" hidden="false" customHeight="true" outlineLevel="0" collapsed="false">
      <c r="A989" s="34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customFormat="false" ht="21.75" hidden="false" customHeight="true" outlineLevel="0" collapsed="false">
      <c r="A990" s="34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customFormat="false" ht="21.75" hidden="false" customHeight="true" outlineLevel="0" collapsed="false">
      <c r="A991" s="34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customFormat="false" ht="21.75" hidden="false" customHeight="true" outlineLevel="0" collapsed="false">
      <c r="A992" s="34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customFormat="false" ht="21.75" hidden="false" customHeight="true" outlineLevel="0" collapsed="false">
      <c r="A993" s="34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customFormat="false" ht="21.75" hidden="false" customHeight="true" outlineLevel="0" collapsed="false">
      <c r="A994" s="34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customFormat="false" ht="21.75" hidden="false" customHeight="true" outlineLevel="0" collapsed="false">
      <c r="A995" s="34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customFormat="false" ht="21.75" hidden="false" customHeight="true" outlineLevel="0" collapsed="false">
      <c r="A996" s="34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customFormat="false" ht="21.75" hidden="false" customHeight="true" outlineLevel="0" collapsed="false">
      <c r="A997" s="34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customFormat="false" ht="21.75" hidden="false" customHeight="true" outlineLevel="0" collapsed="false">
      <c r="A998" s="34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customFormat="false" ht="21.75" hidden="false" customHeight="true" outlineLevel="0" collapsed="false">
      <c r="A999" s="34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customFormat="false" ht="21.75" hidden="false" customHeight="true" outlineLevel="0" collapsed="false">
      <c r="A1000" s="34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 customFormat="false" ht="21.75" hidden="false" customHeight="true" outlineLevel="0" collapsed="false">
      <c r="A1001" s="34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  <row r="1002" customFormat="false" ht="21.75" hidden="false" customHeight="true" outlineLevel="0" collapsed="false">
      <c r="A1002" s="34"/>
      <c r="B1002" s="33"/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</row>
  </sheetData>
  <mergeCells count="3">
    <mergeCell ref="B1:F1"/>
    <mergeCell ref="G1:J1"/>
    <mergeCell ref="K1:L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true" outlineLevel="0" max="1" min="1" style="8" width="33"/>
    <col collapsed="false" customWidth="true" hidden="false" outlineLevel="0" max="2" min="2" style="8" width="37.25"/>
    <col collapsed="false" customWidth="true" hidden="false" outlineLevel="0" max="3" min="3" style="8" width="9.88"/>
    <col collapsed="false" customWidth="true" hidden="false" outlineLevel="0" max="4" min="4" style="8" width="10.88"/>
    <col collapsed="false" customWidth="true" hidden="false" outlineLevel="0" max="5" min="5" style="8" width="17.63"/>
    <col collapsed="false" customWidth="true" hidden="false" outlineLevel="0" max="26" min="6" style="8" width="17.38"/>
  </cols>
  <sheetData>
    <row r="1" customFormat="false" ht="19.5" hidden="false" customHeight="true" outlineLevel="0" collapsed="false">
      <c r="A1" s="35" t="s">
        <v>338</v>
      </c>
      <c r="B1" s="32" t="s">
        <v>338</v>
      </c>
      <c r="C1" s="32" t="s">
        <v>339</v>
      </c>
      <c r="D1" s="32" t="s">
        <v>340</v>
      </c>
      <c r="E1" s="32" t="s">
        <v>341</v>
      </c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customFormat="false" ht="19.5" hidden="false" customHeight="true" outlineLevel="0" collapsed="false">
      <c r="A2" s="35" t="s">
        <v>49</v>
      </c>
      <c r="B2" s="32" t="s">
        <v>49</v>
      </c>
      <c r="C2" s="32" t="s">
        <v>342</v>
      </c>
      <c r="D2" s="32" t="s">
        <v>20</v>
      </c>
      <c r="E2" s="30" t="b">
        <f aca="false">FALSE()</f>
        <v>0</v>
      </c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customFormat="false" ht="19.5" hidden="false" customHeight="true" outlineLevel="0" collapsed="false">
      <c r="A3" s="35" t="s">
        <v>147</v>
      </c>
      <c r="B3" s="32" t="s">
        <v>147</v>
      </c>
      <c r="C3" s="32" t="s">
        <v>343</v>
      </c>
      <c r="D3" s="32" t="s">
        <v>20</v>
      </c>
      <c r="E3" s="30" t="b">
        <f aca="false">FALSE()</f>
        <v>0</v>
      </c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customFormat="false" ht="19.5" hidden="false" customHeight="true" outlineLevel="0" collapsed="false">
      <c r="A4" s="35" t="s">
        <v>123</v>
      </c>
      <c r="B4" s="32" t="s">
        <v>123</v>
      </c>
      <c r="C4" s="32" t="s">
        <v>343</v>
      </c>
      <c r="D4" s="32" t="s">
        <v>20</v>
      </c>
      <c r="E4" s="30" t="b">
        <f aca="false">FALSE()</f>
        <v>0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customFormat="false" ht="19.5" hidden="false" customHeight="true" outlineLevel="0" collapsed="false">
      <c r="A5" s="35" t="s">
        <v>217</v>
      </c>
      <c r="B5" s="32" t="s">
        <v>217</v>
      </c>
      <c r="C5" s="32" t="s">
        <v>343</v>
      </c>
      <c r="D5" s="32" t="s">
        <v>21</v>
      </c>
      <c r="E5" s="30" t="b">
        <f aca="false">FALSE()</f>
        <v>0</v>
      </c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customFormat="false" ht="19.5" hidden="false" customHeight="true" outlineLevel="0" collapsed="false">
      <c r="A6" s="35" t="s">
        <v>148</v>
      </c>
      <c r="B6" s="32" t="s">
        <v>148</v>
      </c>
      <c r="C6" s="32" t="s">
        <v>343</v>
      </c>
      <c r="D6" s="32" t="s">
        <v>23</v>
      </c>
      <c r="E6" s="30" t="b">
        <f aca="false">FALSE()</f>
        <v>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customFormat="false" ht="19.5" hidden="false" customHeight="true" outlineLevel="0" collapsed="false">
      <c r="A7" s="35" t="s">
        <v>92</v>
      </c>
      <c r="B7" s="32" t="s">
        <v>92</v>
      </c>
      <c r="C7" s="32" t="s">
        <v>342</v>
      </c>
      <c r="D7" s="32" t="s">
        <v>21</v>
      </c>
      <c r="E7" s="30" t="b">
        <f aca="false">FALSE()</f>
        <v>0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customFormat="false" ht="19.5" hidden="false" customHeight="true" outlineLevel="0" collapsed="false">
      <c r="A8" s="35" t="s">
        <v>76</v>
      </c>
      <c r="B8" s="32" t="s">
        <v>76</v>
      </c>
      <c r="C8" s="32" t="s">
        <v>343</v>
      </c>
      <c r="D8" s="32" t="s">
        <v>25</v>
      </c>
      <c r="E8" s="30" t="b">
        <f aca="false">FALSE()</f>
        <v>0</v>
      </c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customFormat="false" ht="19.5" hidden="false" customHeight="true" outlineLevel="0" collapsed="false">
      <c r="A9" s="35" t="s">
        <v>93</v>
      </c>
      <c r="B9" s="32" t="s">
        <v>93</v>
      </c>
      <c r="C9" s="32" t="s">
        <v>343</v>
      </c>
      <c r="D9" s="32" t="s">
        <v>25</v>
      </c>
      <c r="E9" s="30" t="b">
        <f aca="false">FALSE()</f>
        <v>0</v>
      </c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customFormat="false" ht="19.5" hidden="false" customHeight="true" outlineLevel="0" collapsed="false">
      <c r="A10" s="35" t="s">
        <v>179</v>
      </c>
      <c r="B10" s="32" t="s">
        <v>179</v>
      </c>
      <c r="C10" s="32" t="s">
        <v>342</v>
      </c>
      <c r="D10" s="32" t="s">
        <v>23</v>
      </c>
      <c r="E10" s="30" t="b">
        <f aca="false">FALSE()</f>
        <v>0</v>
      </c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customFormat="false" ht="19.5" hidden="false" customHeight="true" outlineLevel="0" collapsed="false">
      <c r="A11" s="35" t="s">
        <v>124</v>
      </c>
      <c r="B11" s="32" t="s">
        <v>124</v>
      </c>
      <c r="C11" s="32" t="s">
        <v>342</v>
      </c>
      <c r="D11" s="32" t="s">
        <v>21</v>
      </c>
      <c r="E11" s="30" t="b">
        <f aca="false">FALSE()</f>
        <v>0</v>
      </c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customFormat="false" ht="19.5" hidden="false" customHeight="true" outlineLevel="0" collapsed="false">
      <c r="A12" s="35" t="s">
        <v>180</v>
      </c>
      <c r="B12" s="32" t="s">
        <v>180</v>
      </c>
      <c r="C12" s="32" t="s">
        <v>343</v>
      </c>
      <c r="D12" s="32" t="s">
        <v>20</v>
      </c>
      <c r="E12" s="30" t="b">
        <f aca="false">FALSE()</f>
        <v>0</v>
      </c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customFormat="false" ht="19.5" hidden="false" customHeight="true" outlineLevel="0" collapsed="false">
      <c r="A13" s="35" t="s">
        <v>146</v>
      </c>
      <c r="B13" s="32" t="s">
        <v>146</v>
      </c>
      <c r="C13" s="32" t="s">
        <v>342</v>
      </c>
      <c r="D13" s="32" t="s">
        <v>23</v>
      </c>
      <c r="E13" s="30" t="b">
        <f aca="false">FALSE()</f>
        <v>0</v>
      </c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customFormat="false" ht="19.5" hidden="false" customHeight="true" outlineLevel="0" collapsed="false">
      <c r="A14" s="35" t="s">
        <v>77</v>
      </c>
      <c r="B14" s="32" t="s">
        <v>77</v>
      </c>
      <c r="C14" s="32" t="s">
        <v>342</v>
      </c>
      <c r="D14" s="32" t="s">
        <v>20</v>
      </c>
      <c r="E14" s="30" t="b">
        <f aca="false">FALSE()</f>
        <v>0</v>
      </c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customFormat="false" ht="19.5" hidden="false" customHeight="true" outlineLevel="0" collapsed="false">
      <c r="A15" s="35" t="s">
        <v>54</v>
      </c>
      <c r="B15" s="32" t="s">
        <v>54</v>
      </c>
      <c r="C15" s="32" t="s">
        <v>342</v>
      </c>
      <c r="D15" s="32" t="s">
        <v>20</v>
      </c>
      <c r="E15" s="30" t="b">
        <f aca="false">TRUE()</f>
        <v>1</v>
      </c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customFormat="false" ht="19.5" hidden="false" customHeight="true" outlineLevel="0" collapsed="false">
      <c r="A16" s="35" t="s">
        <v>255</v>
      </c>
      <c r="B16" s="32" t="s">
        <v>255</v>
      </c>
      <c r="C16" s="32" t="s">
        <v>342</v>
      </c>
      <c r="D16" s="32" t="s">
        <v>23</v>
      </c>
      <c r="E16" s="30" t="b">
        <f aca="false">FALSE()</f>
        <v>0</v>
      </c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customFormat="false" ht="19.5" hidden="false" customHeight="true" outlineLevel="0" collapsed="false">
      <c r="A17" s="35" t="s">
        <v>94</v>
      </c>
      <c r="B17" s="32" t="s">
        <v>94</v>
      </c>
      <c r="C17" s="32" t="s">
        <v>342</v>
      </c>
      <c r="D17" s="32" t="s">
        <v>23</v>
      </c>
      <c r="E17" s="30" t="b">
        <f aca="false">FALSE()</f>
        <v>0</v>
      </c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customFormat="false" ht="19.5" hidden="false" customHeight="true" outlineLevel="0" collapsed="false">
      <c r="A18" s="35" t="s">
        <v>181</v>
      </c>
      <c r="B18" s="32" t="s">
        <v>181</v>
      </c>
      <c r="C18" s="32" t="s">
        <v>343</v>
      </c>
      <c r="D18" s="32" t="s">
        <v>20</v>
      </c>
      <c r="E18" s="30" t="b">
        <f aca="false">FALSE()</f>
        <v>0</v>
      </c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customFormat="false" ht="19.5" hidden="false" customHeight="true" outlineLevel="0" collapsed="false">
      <c r="A19" s="35" t="s">
        <v>256</v>
      </c>
      <c r="B19" s="32" t="s">
        <v>256</v>
      </c>
      <c r="C19" s="32" t="s">
        <v>343</v>
      </c>
      <c r="D19" s="32" t="s">
        <v>23</v>
      </c>
      <c r="E19" s="30" t="b">
        <f aca="false">FALSE()</f>
        <v>0</v>
      </c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customFormat="false" ht="19.5" hidden="false" customHeight="true" outlineLevel="0" collapsed="false">
      <c r="A20" s="35" t="s">
        <v>125</v>
      </c>
      <c r="B20" s="32" t="s">
        <v>125</v>
      </c>
      <c r="C20" s="32" t="s">
        <v>343</v>
      </c>
      <c r="D20" s="32" t="s">
        <v>20</v>
      </c>
      <c r="E20" s="30" t="b">
        <f aca="false">FALSE()</f>
        <v>0</v>
      </c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customFormat="false" ht="19.5" hidden="false" customHeight="true" outlineLevel="0" collapsed="false">
      <c r="A21" s="35" t="s">
        <v>149</v>
      </c>
      <c r="B21" s="32" t="s">
        <v>149</v>
      </c>
      <c r="C21" s="32" t="s">
        <v>342</v>
      </c>
      <c r="D21" s="32" t="s">
        <v>20</v>
      </c>
      <c r="E21" s="30" t="b">
        <f aca="false">FALSE()</f>
        <v>0</v>
      </c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customFormat="false" ht="19.5" hidden="false" customHeight="true" outlineLevel="0" collapsed="false">
      <c r="A22" s="35" t="s">
        <v>55</v>
      </c>
      <c r="B22" s="32" t="s">
        <v>55</v>
      </c>
      <c r="C22" s="32" t="s">
        <v>342</v>
      </c>
      <c r="D22" s="32" t="s">
        <v>23</v>
      </c>
      <c r="E22" s="30" t="b">
        <f aca="false">FALSE()</f>
        <v>0</v>
      </c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customFormat="false" ht="19.5" hidden="false" customHeight="true" outlineLevel="0" collapsed="false">
      <c r="A23" s="35" t="s">
        <v>218</v>
      </c>
      <c r="B23" s="32" t="s">
        <v>218</v>
      </c>
      <c r="C23" s="32" t="s">
        <v>343</v>
      </c>
      <c r="D23" s="32" t="s">
        <v>23</v>
      </c>
      <c r="E23" s="30" t="b">
        <f aca="false">FALSE()</f>
        <v>0</v>
      </c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customFormat="false" ht="19.5" hidden="false" customHeight="true" outlineLevel="0" collapsed="false">
      <c r="A24" s="35" t="s">
        <v>182</v>
      </c>
      <c r="B24" s="32" t="s">
        <v>182</v>
      </c>
      <c r="C24" s="32" t="s">
        <v>342</v>
      </c>
      <c r="D24" s="32" t="s">
        <v>20</v>
      </c>
      <c r="E24" s="30" t="b">
        <f aca="false">FALSE()</f>
        <v>0</v>
      </c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customFormat="false" ht="19.5" hidden="false" customHeight="true" outlineLevel="0" collapsed="false">
      <c r="A25" s="35" t="s">
        <v>95</v>
      </c>
      <c r="B25" s="32" t="s">
        <v>95</v>
      </c>
      <c r="C25" s="32" t="s">
        <v>342</v>
      </c>
      <c r="D25" s="32" t="s">
        <v>23</v>
      </c>
      <c r="E25" s="30" t="b">
        <f aca="false">FALSE()</f>
        <v>0</v>
      </c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customFormat="false" ht="19.5" hidden="false" customHeight="true" outlineLevel="0" collapsed="false">
      <c r="A26" s="35" t="s">
        <v>183</v>
      </c>
      <c r="B26" s="32" t="s">
        <v>183</v>
      </c>
      <c r="C26" s="32" t="s">
        <v>343</v>
      </c>
      <c r="D26" s="32" t="s">
        <v>23</v>
      </c>
      <c r="E26" s="30" t="b">
        <f aca="false">FALSE()</f>
        <v>0</v>
      </c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customFormat="false" ht="19.5" hidden="false" customHeight="true" outlineLevel="0" collapsed="false">
      <c r="A27" s="35" t="s">
        <v>184</v>
      </c>
      <c r="B27" s="32" t="s">
        <v>184</v>
      </c>
      <c r="C27" s="32" t="s">
        <v>343</v>
      </c>
      <c r="D27" s="32" t="s">
        <v>21</v>
      </c>
      <c r="E27" s="30" t="b">
        <f aca="false">FALSE()</f>
        <v>0</v>
      </c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customFormat="false" ht="19.5" hidden="false" customHeight="true" outlineLevel="0" collapsed="false">
      <c r="A28" s="35" t="s">
        <v>185</v>
      </c>
      <c r="B28" s="32" t="s">
        <v>185</v>
      </c>
      <c r="C28" s="32" t="s">
        <v>342</v>
      </c>
      <c r="D28" s="32" t="s">
        <v>25</v>
      </c>
      <c r="E28" s="30" t="b">
        <f aca="false">FALSE()</f>
        <v>0</v>
      </c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customFormat="false" ht="19.5" hidden="false" customHeight="true" outlineLevel="0" collapsed="false">
      <c r="A29" s="35" t="s">
        <v>150</v>
      </c>
      <c r="B29" s="32" t="s">
        <v>150</v>
      </c>
      <c r="C29" s="32" t="s">
        <v>343</v>
      </c>
      <c r="D29" s="32" t="s">
        <v>20</v>
      </c>
      <c r="E29" s="30" t="b">
        <f aca="false">FALSE()</f>
        <v>0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customFormat="false" ht="19.5" hidden="false" customHeight="true" outlineLevel="0" collapsed="false">
      <c r="A30" s="35" t="s">
        <v>219</v>
      </c>
      <c r="B30" s="32" t="s">
        <v>219</v>
      </c>
      <c r="C30" s="32" t="s">
        <v>342</v>
      </c>
      <c r="D30" s="32" t="s">
        <v>21</v>
      </c>
      <c r="E30" s="30" t="b">
        <f aca="false">FALSE()</f>
        <v>0</v>
      </c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customFormat="false" ht="19.5" hidden="false" customHeight="true" outlineLevel="0" collapsed="false">
      <c r="A31" s="35" t="s">
        <v>61</v>
      </c>
      <c r="B31" s="32" t="s">
        <v>61</v>
      </c>
      <c r="C31" s="32" t="s">
        <v>342</v>
      </c>
      <c r="D31" s="32" t="s">
        <v>20</v>
      </c>
      <c r="E31" s="30" t="b">
        <f aca="false">TRUE()</f>
        <v>1</v>
      </c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customFormat="false" ht="19.5" hidden="false" customHeight="true" outlineLevel="0" collapsed="false">
      <c r="A32" s="35" t="s">
        <v>220</v>
      </c>
      <c r="B32" s="32" t="s">
        <v>220</v>
      </c>
      <c r="C32" s="32" t="s">
        <v>343</v>
      </c>
      <c r="D32" s="32" t="s">
        <v>22</v>
      </c>
      <c r="E32" s="30" t="b">
        <f aca="false">FALSE()</f>
        <v>0</v>
      </c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customFormat="false" ht="19.5" hidden="false" customHeight="true" outlineLevel="0" collapsed="false">
      <c r="A33" s="35" t="s">
        <v>291</v>
      </c>
      <c r="B33" s="32" t="s">
        <v>291</v>
      </c>
      <c r="C33" s="32" t="s">
        <v>342</v>
      </c>
      <c r="D33" s="32" t="s">
        <v>23</v>
      </c>
      <c r="E33" s="30" t="b">
        <f aca="false">FALSE()</f>
        <v>0</v>
      </c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customFormat="false" ht="19.5" hidden="false" customHeight="true" outlineLevel="0" collapsed="false">
      <c r="A34" s="35" t="s">
        <v>257</v>
      </c>
      <c r="B34" s="32" t="s">
        <v>257</v>
      </c>
      <c r="C34" s="32" t="s">
        <v>343</v>
      </c>
      <c r="D34" s="32" t="s">
        <v>26</v>
      </c>
      <c r="E34" s="30" t="b">
        <f aca="false">FALSE()</f>
        <v>0</v>
      </c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customFormat="false" ht="19.5" hidden="false" customHeight="true" outlineLevel="0" collapsed="false">
      <c r="A35" s="35" t="s">
        <v>96</v>
      </c>
      <c r="B35" s="32" t="s">
        <v>96</v>
      </c>
      <c r="C35" s="32" t="s">
        <v>343</v>
      </c>
      <c r="D35" s="32" t="s">
        <v>25</v>
      </c>
      <c r="E35" s="30" t="b">
        <f aca="false">FALSE()</f>
        <v>0</v>
      </c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customFormat="false" ht="19.5" hidden="false" customHeight="true" outlineLevel="0" collapsed="false">
      <c r="A36" s="35" t="s">
        <v>258</v>
      </c>
      <c r="B36" s="32" t="s">
        <v>258</v>
      </c>
      <c r="C36" s="32" t="s">
        <v>343</v>
      </c>
      <c r="D36" s="32" t="s">
        <v>21</v>
      </c>
      <c r="E36" s="30" t="b">
        <f aca="false">FALSE()</f>
        <v>0</v>
      </c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customFormat="false" ht="19.5" hidden="false" customHeight="true" outlineLevel="0" collapsed="false">
      <c r="A37" s="35" t="s">
        <v>292</v>
      </c>
      <c r="B37" s="32" t="s">
        <v>292</v>
      </c>
      <c r="C37" s="32" t="s">
        <v>342</v>
      </c>
      <c r="D37" s="32" t="s">
        <v>22</v>
      </c>
      <c r="E37" s="30" t="b">
        <f aca="false">FALSE()</f>
        <v>0</v>
      </c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customFormat="false" ht="19.5" hidden="false" customHeight="true" outlineLevel="0" collapsed="false">
      <c r="A38" s="35" t="s">
        <v>151</v>
      </c>
      <c r="B38" s="32" t="s">
        <v>151</v>
      </c>
      <c r="C38" s="32" t="s">
        <v>342</v>
      </c>
      <c r="D38" s="32" t="s">
        <v>21</v>
      </c>
      <c r="E38" s="30" t="b">
        <f aca="false">FALSE()</f>
        <v>0</v>
      </c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customFormat="false" ht="19.5" hidden="false" customHeight="true" outlineLevel="0" collapsed="false">
      <c r="A39" s="35" t="s">
        <v>221</v>
      </c>
      <c r="B39" s="32" t="s">
        <v>221</v>
      </c>
      <c r="C39" s="32" t="s">
        <v>342</v>
      </c>
      <c r="D39" s="32" t="s">
        <v>21</v>
      </c>
      <c r="E39" s="30" t="b">
        <f aca="false">FALSE()</f>
        <v>0</v>
      </c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customFormat="false" ht="19.5" hidden="false" customHeight="true" outlineLevel="0" collapsed="false">
      <c r="A40" s="35" t="s">
        <v>259</v>
      </c>
      <c r="B40" s="32" t="s">
        <v>259</v>
      </c>
      <c r="C40" s="32" t="s">
        <v>342</v>
      </c>
      <c r="D40" s="32" t="s">
        <v>25</v>
      </c>
      <c r="E40" s="30" t="b">
        <f aca="false">FALSE()</f>
        <v>0</v>
      </c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customFormat="false" ht="19.5" hidden="false" customHeight="true" outlineLevel="0" collapsed="false">
      <c r="A41" s="35" t="s">
        <v>97</v>
      </c>
      <c r="B41" s="32" t="s">
        <v>97</v>
      </c>
      <c r="C41" s="32" t="s">
        <v>342</v>
      </c>
      <c r="D41" s="32" t="s">
        <v>25</v>
      </c>
      <c r="E41" s="30" t="b">
        <f aca="false">FALSE()</f>
        <v>0</v>
      </c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customFormat="false" ht="19.5" hidden="false" customHeight="true" outlineLevel="0" collapsed="false">
      <c r="A42" s="35" t="s">
        <v>98</v>
      </c>
      <c r="B42" s="32" t="s">
        <v>98</v>
      </c>
      <c r="C42" s="32" t="s">
        <v>342</v>
      </c>
      <c r="D42" s="32" t="s">
        <v>21</v>
      </c>
      <c r="E42" s="30" t="b">
        <f aca="false">FALSE()</f>
        <v>0</v>
      </c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customFormat="false" ht="19.5" hidden="false" customHeight="true" outlineLevel="0" collapsed="false">
      <c r="A43" s="35" t="s">
        <v>260</v>
      </c>
      <c r="B43" s="32" t="s">
        <v>260</v>
      </c>
      <c r="C43" s="32" t="s">
        <v>342</v>
      </c>
      <c r="D43" s="32" t="s">
        <v>23</v>
      </c>
      <c r="E43" s="30" t="b">
        <f aca="false">FALSE()</f>
        <v>0</v>
      </c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customFormat="false" ht="19.5" hidden="false" customHeight="true" outlineLevel="0" collapsed="false">
      <c r="A44" s="35" t="s">
        <v>126</v>
      </c>
      <c r="B44" s="32" t="s">
        <v>126</v>
      </c>
      <c r="C44" s="32" t="s">
        <v>343</v>
      </c>
      <c r="D44" s="32" t="s">
        <v>23</v>
      </c>
      <c r="E44" s="30" t="b">
        <f aca="false">FALSE()</f>
        <v>0</v>
      </c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customFormat="false" ht="19.5" hidden="false" customHeight="true" outlineLevel="0" collapsed="false">
      <c r="A45" s="35" t="s">
        <v>62</v>
      </c>
      <c r="B45" s="32" t="s">
        <v>62</v>
      </c>
      <c r="C45" s="32" t="s">
        <v>342</v>
      </c>
      <c r="D45" s="32" t="s">
        <v>23</v>
      </c>
      <c r="E45" s="30" t="b">
        <f aca="false">FALSE()</f>
        <v>0</v>
      </c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customFormat="false" ht="19.5" hidden="false" customHeight="true" outlineLevel="0" collapsed="false">
      <c r="A46" s="35" t="s">
        <v>152</v>
      </c>
      <c r="B46" s="32" t="s">
        <v>152</v>
      </c>
      <c r="C46" s="32" t="s">
        <v>343</v>
      </c>
      <c r="D46" s="32" t="s">
        <v>20</v>
      </c>
      <c r="E46" s="30" t="b">
        <f aca="false">FALSE()</f>
        <v>0</v>
      </c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customFormat="false" ht="19.5" hidden="false" customHeight="true" outlineLevel="0" collapsed="false">
      <c r="A47" s="35" t="s">
        <v>222</v>
      </c>
      <c r="B47" s="32" t="s">
        <v>222</v>
      </c>
      <c r="C47" s="32" t="s">
        <v>343</v>
      </c>
      <c r="D47" s="32" t="s">
        <v>21</v>
      </c>
      <c r="E47" s="30" t="b">
        <f aca="false">FALSE()</f>
        <v>0</v>
      </c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customFormat="false" ht="19.5" hidden="false" customHeight="true" outlineLevel="0" collapsed="false">
      <c r="A48" s="35" t="s">
        <v>127</v>
      </c>
      <c r="B48" s="32" t="s">
        <v>127</v>
      </c>
      <c r="C48" s="32" t="s">
        <v>342</v>
      </c>
      <c r="D48" s="32" t="s">
        <v>25</v>
      </c>
      <c r="E48" s="30" t="b">
        <f aca="false">FALSE()</f>
        <v>0</v>
      </c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customFormat="false" ht="19.5" hidden="false" customHeight="true" outlineLevel="0" collapsed="false">
      <c r="A49" s="35" t="s">
        <v>99</v>
      </c>
      <c r="B49" s="32" t="s">
        <v>99</v>
      </c>
      <c r="C49" s="32" t="s">
        <v>343</v>
      </c>
      <c r="D49" s="32" t="s">
        <v>21</v>
      </c>
      <c r="E49" s="30" t="b">
        <f aca="false">FALSE()</f>
        <v>0</v>
      </c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customFormat="false" ht="19.5" hidden="false" customHeight="true" outlineLevel="0" collapsed="false">
      <c r="A50" s="35" t="s">
        <v>223</v>
      </c>
      <c r="B50" s="32" t="s">
        <v>223</v>
      </c>
      <c r="C50" s="32" t="s">
        <v>343</v>
      </c>
      <c r="D50" s="32" t="s">
        <v>25</v>
      </c>
      <c r="E50" s="30" t="b">
        <f aca="false">FALSE()</f>
        <v>0</v>
      </c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customFormat="false" ht="19.5" hidden="false" customHeight="true" outlineLevel="0" collapsed="false">
      <c r="A51" s="35" t="s">
        <v>128</v>
      </c>
      <c r="B51" s="32" t="s">
        <v>128</v>
      </c>
      <c r="C51" s="32" t="s">
        <v>343</v>
      </c>
      <c r="D51" s="32" t="s">
        <v>23</v>
      </c>
      <c r="E51" s="30" t="b">
        <f aca="false">FALSE()</f>
        <v>0</v>
      </c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customFormat="false" ht="19.5" hidden="false" customHeight="true" outlineLevel="0" collapsed="false">
      <c r="A52" s="35" t="s">
        <v>100</v>
      </c>
      <c r="B52" s="32" t="s">
        <v>100</v>
      </c>
      <c r="C52" s="32" t="s">
        <v>343</v>
      </c>
      <c r="D52" s="32" t="s">
        <v>26</v>
      </c>
      <c r="E52" s="30" t="b">
        <f aca="false">FALSE()</f>
        <v>0</v>
      </c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customFormat="false" ht="19.5" hidden="false" customHeight="true" outlineLevel="0" collapsed="false">
      <c r="A53" s="35" t="s">
        <v>261</v>
      </c>
      <c r="B53" s="32" t="s">
        <v>261</v>
      </c>
      <c r="C53" s="32" t="s">
        <v>343</v>
      </c>
      <c r="D53" s="32" t="s">
        <v>25</v>
      </c>
      <c r="E53" s="30" t="b">
        <f aca="false">FALSE()</f>
        <v>0</v>
      </c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customFormat="false" ht="19.5" hidden="false" customHeight="true" outlineLevel="0" collapsed="false">
      <c r="A54" s="35" t="s">
        <v>186</v>
      </c>
      <c r="B54" s="32" t="s">
        <v>186</v>
      </c>
      <c r="C54" s="32" t="s">
        <v>343</v>
      </c>
      <c r="D54" s="32" t="s">
        <v>25</v>
      </c>
      <c r="E54" s="30" t="b">
        <f aca="false">FALSE()</f>
        <v>0</v>
      </c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customFormat="false" ht="19.5" hidden="false" customHeight="true" outlineLevel="0" collapsed="false">
      <c r="A55" s="35" t="s">
        <v>262</v>
      </c>
      <c r="B55" s="32" t="s">
        <v>262</v>
      </c>
      <c r="C55" s="32" t="s">
        <v>343</v>
      </c>
      <c r="D55" s="32" t="s">
        <v>21</v>
      </c>
      <c r="E55" s="30" t="b">
        <f aca="false">FALSE()</f>
        <v>0</v>
      </c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customFormat="false" ht="19.5" hidden="false" customHeight="true" outlineLevel="0" collapsed="false">
      <c r="A56" s="35" t="s">
        <v>101</v>
      </c>
      <c r="B56" s="32" t="s">
        <v>101</v>
      </c>
      <c r="C56" s="32" t="s">
        <v>342</v>
      </c>
      <c r="D56" s="32" t="s">
        <v>25</v>
      </c>
      <c r="E56" s="30" t="b">
        <f aca="false">FALSE()</f>
        <v>0</v>
      </c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customFormat="false" ht="19.5" hidden="false" customHeight="true" outlineLevel="0" collapsed="false">
      <c r="A57" s="35" t="s">
        <v>153</v>
      </c>
      <c r="B57" s="32" t="s">
        <v>153</v>
      </c>
      <c r="C57" s="32" t="s">
        <v>342</v>
      </c>
      <c r="D57" s="32" t="s">
        <v>21</v>
      </c>
      <c r="E57" s="30" t="b">
        <f aca="false">FALSE()</f>
        <v>0</v>
      </c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customFormat="false" ht="19.5" hidden="false" customHeight="true" outlineLevel="0" collapsed="false">
      <c r="A58" s="35" t="s">
        <v>187</v>
      </c>
      <c r="B58" s="32" t="s">
        <v>187</v>
      </c>
      <c r="C58" s="32" t="s">
        <v>342</v>
      </c>
      <c r="D58" s="32" t="s">
        <v>25</v>
      </c>
      <c r="E58" s="30" t="b">
        <f aca="false">FALSE()</f>
        <v>0</v>
      </c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customFormat="false" ht="19.5" hidden="false" customHeight="true" outlineLevel="0" collapsed="false">
      <c r="A59" s="35" t="s">
        <v>293</v>
      </c>
      <c r="B59" s="32" t="s">
        <v>293</v>
      </c>
      <c r="C59" s="32" t="s">
        <v>342</v>
      </c>
      <c r="D59" s="32" t="s">
        <v>23</v>
      </c>
      <c r="E59" s="30" t="b">
        <f aca="false">FALSE()</f>
        <v>0</v>
      </c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customFormat="false" ht="19.5" hidden="false" customHeight="true" outlineLevel="0" collapsed="false">
      <c r="A60" s="35" t="s">
        <v>263</v>
      </c>
      <c r="B60" s="32" t="s">
        <v>263</v>
      </c>
      <c r="C60" s="32" t="s">
        <v>342</v>
      </c>
      <c r="D60" s="32" t="s">
        <v>19</v>
      </c>
      <c r="E60" s="30" t="b">
        <f aca="false">FALSE()</f>
        <v>0</v>
      </c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customFormat="false" ht="19.5" hidden="false" customHeight="true" outlineLevel="0" collapsed="false">
      <c r="A61" s="35" t="s">
        <v>264</v>
      </c>
      <c r="B61" s="32" t="s">
        <v>264</v>
      </c>
      <c r="C61" s="32" t="s">
        <v>343</v>
      </c>
      <c r="D61" s="32" t="s">
        <v>23</v>
      </c>
      <c r="E61" s="30" t="b">
        <f aca="false">FALSE()</f>
        <v>0</v>
      </c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customFormat="false" ht="19.5" hidden="false" customHeight="true" outlineLevel="0" collapsed="false">
      <c r="A62" s="35" t="s">
        <v>154</v>
      </c>
      <c r="B62" s="32" t="s">
        <v>154</v>
      </c>
      <c r="C62" s="32" t="s">
        <v>342</v>
      </c>
      <c r="D62" s="32" t="s">
        <v>23</v>
      </c>
      <c r="E62" s="30" t="b">
        <f aca="false">FALSE()</f>
        <v>0</v>
      </c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customFormat="false" ht="19.5" hidden="false" customHeight="true" outlineLevel="0" collapsed="false">
      <c r="A63" s="35" t="s">
        <v>63</v>
      </c>
      <c r="B63" s="32" t="s">
        <v>63</v>
      </c>
      <c r="C63" s="32" t="s">
        <v>343</v>
      </c>
      <c r="D63" s="32" t="s">
        <v>20</v>
      </c>
      <c r="E63" s="30" t="b">
        <f aca="false">FALSE()</f>
        <v>0</v>
      </c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customFormat="false" ht="19.5" hidden="false" customHeight="true" outlineLevel="0" collapsed="false">
      <c r="A64" s="35" t="s">
        <v>64</v>
      </c>
      <c r="B64" s="32" t="s">
        <v>64</v>
      </c>
      <c r="C64" s="32" t="s">
        <v>343</v>
      </c>
      <c r="D64" s="32" t="s">
        <v>21</v>
      </c>
      <c r="E64" s="30" t="b">
        <f aca="false">FALSE()</f>
        <v>0</v>
      </c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customFormat="false" ht="19.5" hidden="false" customHeight="true" outlineLevel="0" collapsed="false">
      <c r="A65" s="35" t="s">
        <v>50</v>
      </c>
      <c r="B65" s="32" t="s">
        <v>50</v>
      </c>
      <c r="C65" s="32" t="s">
        <v>342</v>
      </c>
      <c r="D65" s="32" t="s">
        <v>23</v>
      </c>
      <c r="E65" s="30" t="b">
        <f aca="false">FALSE()</f>
        <v>0</v>
      </c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customFormat="false" ht="19.5" hidden="false" customHeight="true" outlineLevel="0" collapsed="false">
      <c r="A66" s="35" t="s">
        <v>188</v>
      </c>
      <c r="B66" s="32" t="s">
        <v>188</v>
      </c>
      <c r="C66" s="32" t="s">
        <v>343</v>
      </c>
      <c r="D66" s="32" t="s">
        <v>23</v>
      </c>
      <c r="E66" s="30" t="b">
        <f aca="false">FALSE()</f>
        <v>0</v>
      </c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customFormat="false" ht="19.5" hidden="false" customHeight="true" outlineLevel="0" collapsed="false">
      <c r="A67" s="35" t="s">
        <v>294</v>
      </c>
      <c r="B67" s="32" t="s">
        <v>294</v>
      </c>
      <c r="C67" s="32" t="s">
        <v>343</v>
      </c>
      <c r="D67" s="32" t="s">
        <v>21</v>
      </c>
      <c r="E67" s="30" t="b">
        <f aca="false">FALSE()</f>
        <v>0</v>
      </c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customFormat="false" ht="19.5" hidden="false" customHeight="true" outlineLevel="0" collapsed="false">
      <c r="A68" s="35" t="s">
        <v>129</v>
      </c>
      <c r="B68" s="32" t="s">
        <v>129</v>
      </c>
      <c r="C68" s="32" t="s">
        <v>342</v>
      </c>
      <c r="D68" s="32" t="s">
        <v>20</v>
      </c>
      <c r="E68" s="30" t="b">
        <f aca="false">FALSE()</f>
        <v>0</v>
      </c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customFormat="false" ht="19.5" hidden="false" customHeight="true" outlineLevel="0" collapsed="false">
      <c r="A69" s="35" t="s">
        <v>156</v>
      </c>
      <c r="B69" s="32" t="s">
        <v>156</v>
      </c>
      <c r="C69" s="32" t="s">
        <v>343</v>
      </c>
      <c r="D69" s="32" t="s">
        <v>26</v>
      </c>
      <c r="E69" s="30" t="b">
        <f aca="false">FALSE()</f>
        <v>0</v>
      </c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customFormat="false" ht="19.5" hidden="false" customHeight="true" outlineLevel="0" collapsed="false">
      <c r="A70" s="35" t="s">
        <v>130</v>
      </c>
      <c r="B70" s="32" t="s">
        <v>130</v>
      </c>
      <c r="C70" s="32" t="s">
        <v>342</v>
      </c>
      <c r="D70" s="32" t="s">
        <v>23</v>
      </c>
      <c r="E70" s="30" t="b">
        <f aca="false">FALSE()</f>
        <v>0</v>
      </c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customFormat="false" ht="19.5" hidden="false" customHeight="true" outlineLevel="0" collapsed="false">
      <c r="A71" s="35" t="s">
        <v>155</v>
      </c>
      <c r="B71" s="32" t="s">
        <v>155</v>
      </c>
      <c r="C71" s="32" t="s">
        <v>342</v>
      </c>
      <c r="D71" s="32" t="s">
        <v>27</v>
      </c>
      <c r="E71" s="30" t="b">
        <f aca="false">FALSE()</f>
        <v>0</v>
      </c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customFormat="false" ht="19.5" hidden="false" customHeight="true" outlineLevel="0" collapsed="false">
      <c r="A72" s="35" t="s">
        <v>295</v>
      </c>
      <c r="B72" s="32" t="s">
        <v>295</v>
      </c>
      <c r="C72" s="32" t="s">
        <v>342</v>
      </c>
      <c r="D72" s="32" t="s">
        <v>23</v>
      </c>
      <c r="E72" s="30" t="b">
        <f aca="false">FALSE()</f>
        <v>0</v>
      </c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customFormat="false" ht="19.5" hidden="false" customHeight="true" outlineLevel="0" collapsed="false">
      <c r="A73" s="35" t="s">
        <v>78</v>
      </c>
      <c r="B73" s="32" t="s">
        <v>78</v>
      </c>
      <c r="C73" s="32" t="s">
        <v>343</v>
      </c>
      <c r="D73" s="32" t="s">
        <v>21</v>
      </c>
      <c r="E73" s="30" t="b">
        <f aca="false">FALSE()</f>
        <v>0</v>
      </c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customFormat="false" ht="19.5" hidden="false" customHeight="true" outlineLevel="0" collapsed="false">
      <c r="A74" s="35" t="s">
        <v>65</v>
      </c>
      <c r="B74" s="32" t="s">
        <v>65</v>
      </c>
      <c r="C74" s="32" t="s">
        <v>342</v>
      </c>
      <c r="D74" s="32" t="s">
        <v>25</v>
      </c>
      <c r="E74" s="30" t="b">
        <f aca="false">FALSE()</f>
        <v>0</v>
      </c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customFormat="false" ht="19.5" hidden="false" customHeight="true" outlineLevel="0" collapsed="false">
      <c r="A75" s="35" t="s">
        <v>224</v>
      </c>
      <c r="B75" s="32" t="s">
        <v>224</v>
      </c>
      <c r="C75" s="32" t="s">
        <v>342</v>
      </c>
      <c r="D75" s="32" t="s">
        <v>23</v>
      </c>
      <c r="E75" s="30" t="b">
        <f aca="false">FALSE()</f>
        <v>0</v>
      </c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customFormat="false" ht="19.5" hidden="false" customHeight="true" outlineLevel="0" collapsed="false">
      <c r="A76" s="35" t="s">
        <v>131</v>
      </c>
      <c r="B76" s="32" t="s">
        <v>131</v>
      </c>
      <c r="C76" s="32" t="s">
        <v>342</v>
      </c>
      <c r="D76" s="32" t="s">
        <v>25</v>
      </c>
      <c r="E76" s="30" t="b">
        <f aca="false">FALSE()</f>
        <v>0</v>
      </c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customFormat="false" ht="19.5" hidden="false" customHeight="true" outlineLevel="0" collapsed="false">
      <c r="A77" s="35" t="s">
        <v>225</v>
      </c>
      <c r="B77" s="32" t="s">
        <v>225</v>
      </c>
      <c r="C77" s="32" t="s">
        <v>343</v>
      </c>
      <c r="D77" s="32" t="s">
        <v>23</v>
      </c>
      <c r="E77" s="30" t="b">
        <f aca="false">FALSE()</f>
        <v>0</v>
      </c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customFormat="false" ht="19.5" hidden="false" customHeight="true" outlineLevel="0" collapsed="false">
      <c r="A78" s="35" t="s">
        <v>102</v>
      </c>
      <c r="B78" s="32" t="s">
        <v>102</v>
      </c>
      <c r="C78" s="32" t="s">
        <v>342</v>
      </c>
      <c r="D78" s="32" t="s">
        <v>23</v>
      </c>
      <c r="E78" s="30" t="b">
        <f aca="false">FALSE()</f>
        <v>0</v>
      </c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customFormat="false" ht="19.5" hidden="false" customHeight="true" outlineLevel="0" collapsed="false">
      <c r="A79" s="35" t="s">
        <v>66</v>
      </c>
      <c r="B79" s="32" t="s">
        <v>66</v>
      </c>
      <c r="C79" s="32" t="s">
        <v>342</v>
      </c>
      <c r="D79" s="32" t="s">
        <v>20</v>
      </c>
      <c r="E79" s="30" t="b">
        <f aca="false">FALSE()</f>
        <v>0</v>
      </c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customFormat="false" ht="19.5" hidden="false" customHeight="true" outlineLevel="0" collapsed="false">
      <c r="A80" s="35" t="s">
        <v>265</v>
      </c>
      <c r="B80" s="32" t="s">
        <v>265</v>
      </c>
      <c r="C80" s="32" t="s">
        <v>342</v>
      </c>
      <c r="D80" s="32" t="s">
        <v>21</v>
      </c>
      <c r="E80" s="30" t="b">
        <f aca="false">FALSE()</f>
        <v>0</v>
      </c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customFormat="false" ht="19.5" hidden="false" customHeight="true" outlineLevel="0" collapsed="false">
      <c r="A81" s="35" t="s">
        <v>132</v>
      </c>
      <c r="B81" s="32" t="s">
        <v>132</v>
      </c>
      <c r="C81" s="32" t="s">
        <v>342</v>
      </c>
      <c r="D81" s="32" t="s">
        <v>23</v>
      </c>
      <c r="E81" s="30" t="b">
        <f aca="false">TRUE()</f>
        <v>1</v>
      </c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customFormat="false" ht="19.5" hidden="false" customHeight="true" outlineLevel="0" collapsed="false">
      <c r="A82" s="35" t="s">
        <v>157</v>
      </c>
      <c r="B82" s="32" t="s">
        <v>157</v>
      </c>
      <c r="C82" s="32" t="s">
        <v>342</v>
      </c>
      <c r="D82" s="32" t="s">
        <v>23</v>
      </c>
      <c r="E82" s="30" t="b">
        <f aca="false">FALSE()</f>
        <v>0</v>
      </c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customFormat="false" ht="19.5" hidden="false" customHeight="true" outlineLevel="0" collapsed="false">
      <c r="A83" s="35" t="s">
        <v>189</v>
      </c>
      <c r="B83" s="32" t="s">
        <v>189</v>
      </c>
      <c r="C83" s="32" t="s">
        <v>342</v>
      </c>
      <c r="D83" s="32" t="s">
        <v>25</v>
      </c>
      <c r="E83" s="30" t="b">
        <f aca="false">FALSE()</f>
        <v>0</v>
      </c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customFormat="false" ht="19.5" hidden="false" customHeight="true" outlineLevel="0" collapsed="false">
      <c r="A84" s="35" t="s">
        <v>133</v>
      </c>
      <c r="B84" s="32" t="s">
        <v>133</v>
      </c>
      <c r="C84" s="32" t="s">
        <v>343</v>
      </c>
      <c r="D84" s="32" t="s">
        <v>21</v>
      </c>
      <c r="E84" s="30" t="b">
        <f aca="false">FALSE()</f>
        <v>0</v>
      </c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customFormat="false" ht="19.5" hidden="false" customHeight="true" outlineLevel="0" collapsed="false">
      <c r="A85" s="35" t="s">
        <v>79</v>
      </c>
      <c r="B85" s="32" t="s">
        <v>79</v>
      </c>
      <c r="C85" s="32" t="s">
        <v>342</v>
      </c>
      <c r="D85" s="32" t="s">
        <v>23</v>
      </c>
      <c r="E85" s="30" t="b">
        <f aca="false">FALSE()</f>
        <v>0</v>
      </c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customFormat="false" ht="19.5" hidden="false" customHeight="true" outlineLevel="0" collapsed="false">
      <c r="A86" s="35" t="s">
        <v>57</v>
      </c>
      <c r="B86" s="32" t="s">
        <v>57</v>
      </c>
      <c r="C86" s="32" t="s">
        <v>343</v>
      </c>
      <c r="D86" s="32" t="s">
        <v>23</v>
      </c>
      <c r="E86" s="30" t="b">
        <f aca="false">FALSE()</f>
        <v>0</v>
      </c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customFormat="false" ht="19.5" hidden="false" customHeight="true" outlineLevel="0" collapsed="false">
      <c r="A87" s="35" t="s">
        <v>56</v>
      </c>
      <c r="B87" s="32" t="s">
        <v>56</v>
      </c>
      <c r="C87" s="32" t="s">
        <v>342</v>
      </c>
      <c r="D87" s="32" t="s">
        <v>20</v>
      </c>
      <c r="E87" s="30" t="b">
        <f aca="false">TRUE()</f>
        <v>1</v>
      </c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customFormat="false" ht="19.5" hidden="false" customHeight="true" outlineLevel="0" collapsed="false">
      <c r="A88" s="35" t="s">
        <v>190</v>
      </c>
      <c r="B88" s="32" t="s">
        <v>190</v>
      </c>
      <c r="C88" s="32" t="s">
        <v>343</v>
      </c>
      <c r="D88" s="32" t="s">
        <v>21</v>
      </c>
      <c r="E88" s="30" t="b">
        <f aca="false">FALSE()</f>
        <v>0</v>
      </c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customFormat="false" ht="19.5" hidden="false" customHeight="true" outlineLevel="0" collapsed="false">
      <c r="A89" s="35" t="s">
        <v>103</v>
      </c>
      <c r="B89" s="32" t="s">
        <v>103</v>
      </c>
      <c r="C89" s="32" t="s">
        <v>342</v>
      </c>
      <c r="D89" s="32" t="s">
        <v>21</v>
      </c>
      <c r="E89" s="30" t="b">
        <f aca="false">FALSE()</f>
        <v>0</v>
      </c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customFormat="false" ht="19.5" hidden="false" customHeight="true" outlineLevel="0" collapsed="false">
      <c r="A90" s="35" t="s">
        <v>191</v>
      </c>
      <c r="B90" s="32" t="s">
        <v>191</v>
      </c>
      <c r="C90" s="32" t="s">
        <v>343</v>
      </c>
      <c r="D90" s="32" t="s">
        <v>25</v>
      </c>
      <c r="E90" s="30" t="b">
        <f aca="false">FALSE()</f>
        <v>0</v>
      </c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customFormat="false" ht="19.5" hidden="false" customHeight="true" outlineLevel="0" collapsed="false">
      <c r="A91" s="35" t="s">
        <v>266</v>
      </c>
      <c r="B91" s="32" t="s">
        <v>266</v>
      </c>
      <c r="C91" s="32" t="s">
        <v>343</v>
      </c>
      <c r="D91" s="32" t="s">
        <v>25</v>
      </c>
      <c r="E91" s="30" t="b">
        <f aca="false">FALSE()</f>
        <v>0</v>
      </c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customFormat="false" ht="19.5" hidden="false" customHeight="true" outlineLevel="0" collapsed="false">
      <c r="A92" s="35" t="s">
        <v>192</v>
      </c>
      <c r="B92" s="32" t="s">
        <v>192</v>
      </c>
      <c r="C92" s="32" t="s">
        <v>343</v>
      </c>
      <c r="D92" s="32" t="s">
        <v>21</v>
      </c>
      <c r="E92" s="30" t="b">
        <f aca="false">FALSE()</f>
        <v>0</v>
      </c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customFormat="false" ht="19.5" hidden="false" customHeight="true" outlineLevel="0" collapsed="false">
      <c r="A93" s="35" t="s">
        <v>226</v>
      </c>
      <c r="B93" s="32" t="s">
        <v>226</v>
      </c>
      <c r="C93" s="32" t="s">
        <v>343</v>
      </c>
      <c r="D93" s="32" t="s">
        <v>25</v>
      </c>
      <c r="E93" s="30" t="b">
        <f aca="false">FALSE()</f>
        <v>0</v>
      </c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customFormat="false" ht="19.5" hidden="false" customHeight="true" outlineLevel="0" collapsed="false">
      <c r="A94" s="35" t="s">
        <v>227</v>
      </c>
      <c r="B94" s="32" t="s">
        <v>227</v>
      </c>
      <c r="C94" s="32" t="s">
        <v>342</v>
      </c>
      <c r="D94" s="32" t="s">
        <v>22</v>
      </c>
      <c r="E94" s="30" t="b">
        <f aca="false">FALSE()</f>
        <v>0</v>
      </c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customFormat="false" ht="19.5" hidden="false" customHeight="true" outlineLevel="0" collapsed="false">
      <c r="A95" s="35" t="s">
        <v>158</v>
      </c>
      <c r="B95" s="32" t="s">
        <v>158</v>
      </c>
      <c r="C95" s="32" t="s">
        <v>342</v>
      </c>
      <c r="D95" s="32" t="s">
        <v>25</v>
      </c>
      <c r="E95" s="30" t="b">
        <f aca="false">FALSE()</f>
        <v>0</v>
      </c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customFormat="false" ht="19.5" hidden="false" customHeight="true" outlineLevel="0" collapsed="false">
      <c r="A96" s="35" t="s">
        <v>267</v>
      </c>
      <c r="B96" s="32" t="s">
        <v>267</v>
      </c>
      <c r="C96" s="32" t="s">
        <v>342</v>
      </c>
      <c r="D96" s="32" t="s">
        <v>21</v>
      </c>
      <c r="E96" s="30" t="b">
        <f aca="false">FALSE()</f>
        <v>0</v>
      </c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customFormat="false" ht="19.5" hidden="false" customHeight="true" outlineLevel="0" collapsed="false">
      <c r="A97" s="35" t="s">
        <v>193</v>
      </c>
      <c r="B97" s="32" t="s">
        <v>193</v>
      </c>
      <c r="C97" s="32" t="s">
        <v>342</v>
      </c>
      <c r="D97" s="32" t="s">
        <v>21</v>
      </c>
      <c r="E97" s="30" t="b">
        <f aca="false">FALSE()</f>
        <v>0</v>
      </c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customFormat="false" ht="19.5" hidden="false" customHeight="true" outlineLevel="0" collapsed="false">
      <c r="A98" s="35" t="s">
        <v>194</v>
      </c>
      <c r="B98" s="32" t="s">
        <v>194</v>
      </c>
      <c r="C98" s="32" t="s">
        <v>342</v>
      </c>
      <c r="D98" s="32" t="s">
        <v>25</v>
      </c>
      <c r="E98" s="30" t="b">
        <f aca="false">FALSE()</f>
        <v>0</v>
      </c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customFormat="false" ht="19.5" hidden="false" customHeight="true" outlineLevel="0" collapsed="false">
      <c r="A99" s="35" t="s">
        <v>268</v>
      </c>
      <c r="B99" s="32" t="s">
        <v>268</v>
      </c>
      <c r="C99" s="32" t="s">
        <v>342</v>
      </c>
      <c r="D99" s="32" t="s">
        <v>26</v>
      </c>
      <c r="E99" s="30" t="b">
        <f aca="false">FALSE()</f>
        <v>0</v>
      </c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customFormat="false" ht="19.5" hidden="false" customHeight="true" outlineLevel="0" collapsed="false">
      <c r="A100" s="35" t="s">
        <v>159</v>
      </c>
      <c r="B100" s="32" t="s">
        <v>159</v>
      </c>
      <c r="C100" s="32" t="s">
        <v>342</v>
      </c>
      <c r="D100" s="32" t="s">
        <v>20</v>
      </c>
      <c r="E100" s="30" t="b">
        <f aca="false">FALSE()</f>
        <v>0</v>
      </c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customFormat="false" ht="19.5" hidden="false" customHeight="true" outlineLevel="0" collapsed="false">
      <c r="A101" s="35" t="s">
        <v>160</v>
      </c>
      <c r="B101" s="32" t="s">
        <v>160</v>
      </c>
      <c r="C101" s="32" t="s">
        <v>342</v>
      </c>
      <c r="D101" s="32" t="s">
        <v>21</v>
      </c>
      <c r="E101" s="30" t="b">
        <f aca="false">FALSE()</f>
        <v>0</v>
      </c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customFormat="false" ht="19.5" hidden="false" customHeight="true" outlineLevel="0" collapsed="false">
      <c r="A102" s="35" t="s">
        <v>269</v>
      </c>
      <c r="B102" s="32" t="s">
        <v>269</v>
      </c>
      <c r="C102" s="32" t="s">
        <v>343</v>
      </c>
      <c r="D102" s="32" t="s">
        <v>25</v>
      </c>
      <c r="E102" s="30" t="b">
        <f aca="false">FALSE()</f>
        <v>0</v>
      </c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customFormat="false" ht="19.5" hidden="false" customHeight="true" outlineLevel="0" collapsed="false">
      <c r="A103" s="35" t="s">
        <v>80</v>
      </c>
      <c r="B103" s="32" t="s">
        <v>80</v>
      </c>
      <c r="C103" s="32" t="s">
        <v>343</v>
      </c>
      <c r="D103" s="32" t="s">
        <v>25</v>
      </c>
      <c r="E103" s="30" t="b">
        <f aca="false">FALSE()</f>
        <v>0</v>
      </c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customFormat="false" ht="19.5" hidden="false" customHeight="true" outlineLevel="0" collapsed="false">
      <c r="A104" s="35" t="s">
        <v>104</v>
      </c>
      <c r="B104" s="32" t="s">
        <v>104</v>
      </c>
      <c r="C104" s="32" t="s">
        <v>342</v>
      </c>
      <c r="D104" s="32" t="s">
        <v>20</v>
      </c>
      <c r="E104" s="30" t="b">
        <f aca="false">FALSE()</f>
        <v>0</v>
      </c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customFormat="false" ht="19.5" hidden="false" customHeight="true" outlineLevel="0" collapsed="false">
      <c r="A105" s="35" t="s">
        <v>161</v>
      </c>
      <c r="B105" s="32" t="s">
        <v>161</v>
      </c>
      <c r="C105" s="32" t="s">
        <v>342</v>
      </c>
      <c r="D105" s="32" t="s">
        <v>23</v>
      </c>
      <c r="E105" s="30" t="b">
        <f aca="false">FALSE()</f>
        <v>0</v>
      </c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customFormat="false" ht="19.5" hidden="false" customHeight="true" outlineLevel="0" collapsed="false">
      <c r="A106" s="35" t="s">
        <v>134</v>
      </c>
      <c r="B106" s="32" t="s">
        <v>134</v>
      </c>
      <c r="C106" s="32" t="s">
        <v>343</v>
      </c>
      <c r="D106" s="32" t="s">
        <v>21</v>
      </c>
      <c r="E106" s="30" t="b">
        <f aca="false">FALSE()</f>
        <v>0</v>
      </c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customFormat="false" ht="19.5" hidden="false" customHeight="true" outlineLevel="0" collapsed="false">
      <c r="A107" s="35" t="s">
        <v>270</v>
      </c>
      <c r="B107" s="32" t="s">
        <v>270</v>
      </c>
      <c r="C107" s="32" t="s">
        <v>343</v>
      </c>
      <c r="D107" s="32" t="s">
        <v>23</v>
      </c>
      <c r="E107" s="30" t="b">
        <f aca="false">FALSE()</f>
        <v>0</v>
      </c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customFormat="false" ht="19.5" hidden="false" customHeight="true" outlineLevel="0" collapsed="false">
      <c r="A108" s="35" t="s">
        <v>67</v>
      </c>
      <c r="B108" s="32" t="s">
        <v>67</v>
      </c>
      <c r="C108" s="32" t="s">
        <v>342</v>
      </c>
      <c r="D108" s="32" t="s">
        <v>25</v>
      </c>
      <c r="E108" s="30" t="b">
        <f aca="false">FALSE()</f>
        <v>0</v>
      </c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customFormat="false" ht="19.5" hidden="false" customHeight="true" outlineLevel="0" collapsed="false">
      <c r="A109" s="35" t="s">
        <v>195</v>
      </c>
      <c r="B109" s="32" t="s">
        <v>195</v>
      </c>
      <c r="C109" s="32" t="s">
        <v>342</v>
      </c>
      <c r="D109" s="32" t="s">
        <v>25</v>
      </c>
      <c r="E109" s="30" t="b">
        <f aca="false">FALSE()</f>
        <v>0</v>
      </c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customFormat="false" ht="19.5" hidden="false" customHeight="true" outlineLevel="0" collapsed="false">
      <c r="A110" s="35" t="s">
        <v>271</v>
      </c>
      <c r="B110" s="32" t="s">
        <v>271</v>
      </c>
      <c r="C110" s="32" t="s">
        <v>343</v>
      </c>
      <c r="D110" s="32" t="s">
        <v>26</v>
      </c>
      <c r="E110" s="30" t="b">
        <f aca="false">FALSE()</f>
        <v>0</v>
      </c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customFormat="false" ht="19.5" hidden="false" customHeight="true" outlineLevel="0" collapsed="false">
      <c r="A111" s="35" t="s">
        <v>272</v>
      </c>
      <c r="B111" s="32" t="s">
        <v>272</v>
      </c>
      <c r="C111" s="32" t="s">
        <v>343</v>
      </c>
      <c r="D111" s="32" t="s">
        <v>25</v>
      </c>
      <c r="E111" s="30" t="b">
        <f aca="false">FALSE()</f>
        <v>0</v>
      </c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customFormat="false" ht="19.5" hidden="false" customHeight="true" outlineLevel="0" collapsed="false">
      <c r="A112" s="35" t="s">
        <v>196</v>
      </c>
      <c r="B112" s="32" t="s">
        <v>196</v>
      </c>
      <c r="C112" s="32" t="s">
        <v>342</v>
      </c>
      <c r="D112" s="32" t="s">
        <v>23</v>
      </c>
      <c r="E112" s="30" t="b">
        <f aca="false">FALSE()</f>
        <v>0</v>
      </c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customFormat="false" ht="19.5" hidden="false" customHeight="true" outlineLevel="0" collapsed="false">
      <c r="A113" s="35" t="s">
        <v>296</v>
      </c>
      <c r="B113" s="32" t="s">
        <v>296</v>
      </c>
      <c r="C113" s="32" t="s">
        <v>343</v>
      </c>
      <c r="D113" s="32" t="s">
        <v>25</v>
      </c>
      <c r="E113" s="30" t="b">
        <f aca="false">FALSE()</f>
        <v>0</v>
      </c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customFormat="false" ht="19.5" hidden="false" customHeight="true" outlineLevel="0" collapsed="false">
      <c r="A114" s="35" t="s">
        <v>297</v>
      </c>
      <c r="B114" s="32" t="s">
        <v>297</v>
      </c>
      <c r="C114" s="32" t="s">
        <v>342</v>
      </c>
      <c r="D114" s="32" t="s">
        <v>25</v>
      </c>
      <c r="E114" s="30" t="b">
        <f aca="false">FALSE()</f>
        <v>0</v>
      </c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customFormat="false" ht="19.5" hidden="false" customHeight="true" outlineLevel="0" collapsed="false">
      <c r="A115" s="35" t="s">
        <v>273</v>
      </c>
      <c r="B115" s="32" t="s">
        <v>273</v>
      </c>
      <c r="C115" s="32" t="s">
        <v>342</v>
      </c>
      <c r="D115" s="32" t="s">
        <v>25</v>
      </c>
      <c r="E115" s="30" t="b">
        <f aca="false">FALSE()</f>
        <v>0</v>
      </c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customFormat="false" ht="19.5" hidden="false" customHeight="true" outlineLevel="0" collapsed="false">
      <c r="A116" s="35" t="s">
        <v>228</v>
      </c>
      <c r="B116" s="32" t="s">
        <v>228</v>
      </c>
      <c r="C116" s="32" t="s">
        <v>343</v>
      </c>
      <c r="D116" s="32" t="s">
        <v>21</v>
      </c>
      <c r="E116" s="30" t="b">
        <f aca="false">FALSE()</f>
        <v>0</v>
      </c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customFormat="false" ht="19.5" hidden="false" customHeight="true" outlineLevel="0" collapsed="false">
      <c r="A117" s="35" t="s">
        <v>274</v>
      </c>
      <c r="B117" s="32" t="s">
        <v>274</v>
      </c>
      <c r="C117" s="32" t="s">
        <v>342</v>
      </c>
      <c r="D117" s="32" t="s">
        <v>23</v>
      </c>
      <c r="E117" s="30" t="b">
        <f aca="false">FALSE()</f>
        <v>0</v>
      </c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customFormat="false" ht="19.5" hidden="false" customHeight="true" outlineLevel="0" collapsed="false">
      <c r="A118" s="35" t="s">
        <v>68</v>
      </c>
      <c r="B118" s="32" t="s">
        <v>68</v>
      </c>
      <c r="C118" s="32" t="s">
        <v>343</v>
      </c>
      <c r="D118" s="32" t="s">
        <v>21</v>
      </c>
      <c r="E118" s="30" t="b">
        <f aca="false">TRUE()</f>
        <v>1</v>
      </c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customFormat="false" ht="19.5" hidden="false" customHeight="true" outlineLevel="0" collapsed="false">
      <c r="A119" s="35" t="s">
        <v>229</v>
      </c>
      <c r="B119" s="32" t="s">
        <v>229</v>
      </c>
      <c r="C119" s="32" t="s">
        <v>342</v>
      </c>
      <c r="D119" s="32" t="s">
        <v>26</v>
      </c>
      <c r="E119" s="30" t="b">
        <f aca="false">FALSE()</f>
        <v>0</v>
      </c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customFormat="false" ht="19.5" hidden="false" customHeight="true" outlineLevel="0" collapsed="false">
      <c r="A120" s="35" t="s">
        <v>105</v>
      </c>
      <c r="B120" s="32" t="s">
        <v>105</v>
      </c>
      <c r="C120" s="32" t="s">
        <v>343</v>
      </c>
      <c r="D120" s="32" t="s">
        <v>25</v>
      </c>
      <c r="E120" s="30" t="b">
        <f aca="false">FALSE()</f>
        <v>0</v>
      </c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customFormat="false" ht="19.5" hidden="false" customHeight="true" outlineLevel="0" collapsed="false">
      <c r="A121" s="35" t="s">
        <v>81</v>
      </c>
      <c r="B121" s="32" t="s">
        <v>81</v>
      </c>
      <c r="C121" s="32" t="s">
        <v>342</v>
      </c>
      <c r="D121" s="32" t="s">
        <v>25</v>
      </c>
      <c r="E121" s="30" t="b">
        <f aca="false">FALSE()</f>
        <v>0</v>
      </c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customFormat="false" ht="19.5" hidden="false" customHeight="true" outlineLevel="0" collapsed="false">
      <c r="A122" s="35" t="s">
        <v>197</v>
      </c>
      <c r="B122" s="32" t="s">
        <v>197</v>
      </c>
      <c r="C122" s="32" t="s">
        <v>342</v>
      </c>
      <c r="D122" s="32" t="s">
        <v>20</v>
      </c>
      <c r="E122" s="30" t="b">
        <f aca="false">FALSE()</f>
        <v>0</v>
      </c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customFormat="false" ht="19.5" hidden="false" customHeight="true" outlineLevel="0" collapsed="false">
      <c r="A123" s="35" t="s">
        <v>230</v>
      </c>
      <c r="B123" s="32" t="s">
        <v>230</v>
      </c>
      <c r="C123" s="32" t="s">
        <v>343</v>
      </c>
      <c r="D123" s="32" t="s">
        <v>23</v>
      </c>
      <c r="E123" s="30" t="b">
        <f aca="false">FALSE()</f>
        <v>0</v>
      </c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customFormat="false" ht="19.5" hidden="false" customHeight="true" outlineLevel="0" collapsed="false">
      <c r="A124" s="35" t="s">
        <v>106</v>
      </c>
      <c r="B124" s="32" t="s">
        <v>106</v>
      </c>
      <c r="C124" s="32" t="s">
        <v>343</v>
      </c>
      <c r="D124" s="32" t="s">
        <v>25</v>
      </c>
      <c r="E124" s="30" t="b">
        <f aca="false">FALSE()</f>
        <v>0</v>
      </c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customFormat="false" ht="19.5" hidden="false" customHeight="true" outlineLevel="0" collapsed="false">
      <c r="A125" s="35" t="s">
        <v>162</v>
      </c>
      <c r="B125" s="32" t="s">
        <v>162</v>
      </c>
      <c r="C125" s="32" t="s">
        <v>342</v>
      </c>
      <c r="D125" s="32" t="s">
        <v>25</v>
      </c>
      <c r="E125" s="30" t="b">
        <f aca="false">FALSE()</f>
        <v>0</v>
      </c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customFormat="false" ht="19.5" hidden="false" customHeight="true" outlineLevel="0" collapsed="false">
      <c r="A126" s="35" t="s">
        <v>51</v>
      </c>
      <c r="B126" s="32" t="s">
        <v>51</v>
      </c>
      <c r="C126" s="32" t="s">
        <v>343</v>
      </c>
      <c r="D126" s="32" t="s">
        <v>20</v>
      </c>
      <c r="E126" s="30" t="b">
        <f aca="false">TRUE()</f>
        <v>1</v>
      </c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customFormat="false" ht="19.5" hidden="false" customHeight="true" outlineLevel="0" collapsed="false">
      <c r="A127" s="35" t="s">
        <v>52</v>
      </c>
      <c r="B127" s="32" t="s">
        <v>52</v>
      </c>
      <c r="C127" s="32" t="s">
        <v>343</v>
      </c>
      <c r="D127" s="32" t="s">
        <v>20</v>
      </c>
      <c r="E127" s="30" t="b">
        <f aca="false">FALSE()</f>
        <v>0</v>
      </c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customFormat="false" ht="19.5" hidden="false" customHeight="true" outlineLevel="0" collapsed="false">
      <c r="A128" s="35" t="s">
        <v>231</v>
      </c>
      <c r="B128" s="32" t="s">
        <v>231</v>
      </c>
      <c r="C128" s="32" t="s">
        <v>342</v>
      </c>
      <c r="D128" s="32" t="s">
        <v>21</v>
      </c>
      <c r="E128" s="30" t="b">
        <f aca="false">FALSE()</f>
        <v>0</v>
      </c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customFormat="false" ht="19.5" hidden="false" customHeight="true" outlineLevel="0" collapsed="false">
      <c r="A129" s="35" t="s">
        <v>298</v>
      </c>
      <c r="B129" s="32" t="s">
        <v>298</v>
      </c>
      <c r="C129" s="32" t="s">
        <v>343</v>
      </c>
      <c r="D129" s="32" t="s">
        <v>25</v>
      </c>
      <c r="E129" s="30" t="b">
        <f aca="false">FALSE()</f>
        <v>0</v>
      </c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customFormat="false" ht="19.5" hidden="false" customHeight="true" outlineLevel="0" collapsed="false">
      <c r="A130" s="35" t="s">
        <v>107</v>
      </c>
      <c r="B130" s="32" t="s">
        <v>107</v>
      </c>
      <c r="C130" s="32" t="s">
        <v>342</v>
      </c>
      <c r="D130" s="32" t="s">
        <v>21</v>
      </c>
      <c r="E130" s="30" t="b">
        <f aca="false">FALSE()</f>
        <v>0</v>
      </c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customFormat="false" ht="19.5" hidden="false" customHeight="true" outlineLevel="0" collapsed="false">
      <c r="A131" s="35" t="s">
        <v>82</v>
      </c>
      <c r="B131" s="32" t="s">
        <v>82</v>
      </c>
      <c r="C131" s="32" t="s">
        <v>343</v>
      </c>
      <c r="D131" s="32" t="s">
        <v>23</v>
      </c>
      <c r="E131" s="30" t="b">
        <f aca="false">FALSE()</f>
        <v>0</v>
      </c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customFormat="false" ht="19.5" hidden="false" customHeight="true" outlineLevel="0" collapsed="false">
      <c r="A132" s="35" t="s">
        <v>300</v>
      </c>
      <c r="B132" s="32" t="s">
        <v>300</v>
      </c>
      <c r="C132" s="32" t="s">
        <v>343</v>
      </c>
      <c r="D132" s="32" t="s">
        <v>23</v>
      </c>
      <c r="E132" s="30" t="b">
        <f aca="false">FALSE()</f>
        <v>0</v>
      </c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customFormat="false" ht="19.5" hidden="false" customHeight="true" outlineLevel="0" collapsed="false">
      <c r="A133" s="35" t="s">
        <v>83</v>
      </c>
      <c r="B133" s="32" t="s">
        <v>83</v>
      </c>
      <c r="C133" s="32" t="s">
        <v>342</v>
      </c>
      <c r="D133" s="32" t="s">
        <v>21</v>
      </c>
      <c r="E133" s="30" t="b">
        <f aca="false">FALSE()</f>
        <v>0</v>
      </c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customFormat="false" ht="19.5" hidden="false" customHeight="true" outlineLevel="0" collapsed="false">
      <c r="A134" s="35" t="s">
        <v>165</v>
      </c>
      <c r="B134" s="32" t="s">
        <v>165</v>
      </c>
      <c r="C134" s="32" t="s">
        <v>342</v>
      </c>
      <c r="D134" s="32" t="s">
        <v>21</v>
      </c>
      <c r="E134" s="30" t="b">
        <f aca="false">FALSE()</f>
        <v>0</v>
      </c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customFormat="false" ht="19.5" hidden="false" customHeight="true" outlineLevel="0" collapsed="false">
      <c r="A135" s="35" t="s">
        <v>275</v>
      </c>
      <c r="B135" s="32" t="s">
        <v>275</v>
      </c>
      <c r="C135" s="32" t="s">
        <v>342</v>
      </c>
      <c r="D135" s="32" t="s">
        <v>25</v>
      </c>
      <c r="E135" s="30" t="b">
        <f aca="false">FALSE()</f>
        <v>0</v>
      </c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customFormat="false" ht="19.5" hidden="false" customHeight="true" outlineLevel="0" collapsed="false">
      <c r="A136" s="35" t="s">
        <v>301</v>
      </c>
      <c r="B136" s="32" t="s">
        <v>301</v>
      </c>
      <c r="C136" s="32" t="s">
        <v>342</v>
      </c>
      <c r="D136" s="32" t="s">
        <v>23</v>
      </c>
      <c r="E136" s="30" t="b">
        <f aca="false">FALSE()</f>
        <v>0</v>
      </c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customFormat="false" ht="19.5" hidden="false" customHeight="true" outlineLevel="0" collapsed="false">
      <c r="A137" s="35" t="s">
        <v>58</v>
      </c>
      <c r="B137" s="32" t="s">
        <v>58</v>
      </c>
      <c r="C137" s="32" t="s">
        <v>343</v>
      </c>
      <c r="D137" s="32" t="s">
        <v>21</v>
      </c>
      <c r="E137" s="30" t="b">
        <f aca="false">FALSE()</f>
        <v>0</v>
      </c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customFormat="false" ht="19.5" hidden="false" customHeight="true" outlineLevel="0" collapsed="false">
      <c r="A138" s="35" t="s">
        <v>198</v>
      </c>
      <c r="B138" s="32" t="s">
        <v>198</v>
      </c>
      <c r="C138" s="32" t="s">
        <v>342</v>
      </c>
      <c r="D138" s="32" t="s">
        <v>23</v>
      </c>
      <c r="E138" s="30" t="b">
        <f aca="false">FALSE()</f>
        <v>0</v>
      </c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customFormat="false" ht="19.5" hidden="false" customHeight="true" outlineLevel="0" collapsed="false">
      <c r="A139" s="35" t="s">
        <v>135</v>
      </c>
      <c r="B139" s="32" t="s">
        <v>135</v>
      </c>
      <c r="C139" s="32" t="s">
        <v>343</v>
      </c>
      <c r="D139" s="32" t="s">
        <v>20</v>
      </c>
      <c r="E139" s="30" t="b">
        <f aca="false">FALSE()</f>
        <v>0</v>
      </c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customFormat="false" ht="19.5" hidden="false" customHeight="true" outlineLevel="0" collapsed="false">
      <c r="A140" s="35" t="s">
        <v>232</v>
      </c>
      <c r="B140" s="32" t="s">
        <v>232</v>
      </c>
      <c r="C140" s="32" t="s">
        <v>342</v>
      </c>
      <c r="D140" s="32" t="s">
        <v>22</v>
      </c>
      <c r="E140" s="30" t="b">
        <f aca="false">FALSE()</f>
        <v>0</v>
      </c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customFormat="false" ht="19.5" hidden="false" customHeight="true" outlineLevel="0" collapsed="false">
      <c r="A141" s="35" t="s">
        <v>69</v>
      </c>
      <c r="B141" s="32" t="s">
        <v>69</v>
      </c>
      <c r="C141" s="32" t="s">
        <v>342</v>
      </c>
      <c r="D141" s="32" t="s">
        <v>20</v>
      </c>
      <c r="E141" s="30" t="b">
        <f aca="false">FALSE()</f>
        <v>0</v>
      </c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customFormat="false" ht="19.5" hidden="false" customHeight="true" outlineLevel="0" collapsed="false">
      <c r="A142" s="35" t="s">
        <v>163</v>
      </c>
      <c r="B142" s="32" t="s">
        <v>163</v>
      </c>
      <c r="C142" s="32" t="s">
        <v>342</v>
      </c>
      <c r="D142" s="32" t="s">
        <v>23</v>
      </c>
      <c r="E142" s="30" t="b">
        <f aca="false">FALSE()</f>
        <v>0</v>
      </c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customFormat="false" ht="19.5" hidden="false" customHeight="true" outlineLevel="0" collapsed="false">
      <c r="A143" s="35" t="s">
        <v>164</v>
      </c>
      <c r="B143" s="32" t="s">
        <v>164</v>
      </c>
      <c r="C143" s="32" t="s">
        <v>343</v>
      </c>
      <c r="D143" s="32" t="s">
        <v>23</v>
      </c>
      <c r="E143" s="30" t="b">
        <f aca="false">FALSE()</f>
        <v>0</v>
      </c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customFormat="false" ht="19.5" hidden="false" customHeight="true" outlineLevel="0" collapsed="false">
      <c r="A144" s="35" t="s">
        <v>302</v>
      </c>
      <c r="B144" s="32" t="s">
        <v>302</v>
      </c>
      <c r="C144" s="32" t="s">
        <v>343</v>
      </c>
      <c r="D144" s="32" t="s">
        <v>22</v>
      </c>
      <c r="E144" s="30" t="b">
        <f aca="false">FALSE()</f>
        <v>0</v>
      </c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customFormat="false" ht="19.5" hidden="false" customHeight="true" outlineLevel="0" collapsed="false">
      <c r="A145" s="35" t="s">
        <v>70</v>
      </c>
      <c r="B145" s="32" t="s">
        <v>70</v>
      </c>
      <c r="C145" s="32" t="s">
        <v>342</v>
      </c>
      <c r="D145" s="32" t="s">
        <v>25</v>
      </c>
      <c r="E145" s="30" t="b">
        <f aca="false">FALSE()</f>
        <v>0</v>
      </c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customFormat="false" ht="19.5" hidden="false" customHeight="true" outlineLevel="0" collapsed="false">
      <c r="A146" s="35" t="s">
        <v>299</v>
      </c>
      <c r="B146" s="32" t="s">
        <v>299</v>
      </c>
      <c r="C146" s="32" t="s">
        <v>343</v>
      </c>
      <c r="D146" s="32" t="s">
        <v>23</v>
      </c>
      <c r="E146" s="30" t="b">
        <f aca="false">FALSE()</f>
        <v>0</v>
      </c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customFormat="false" ht="19.5" hidden="false" customHeight="true" outlineLevel="0" collapsed="false">
      <c r="A147" s="35" t="s">
        <v>199</v>
      </c>
      <c r="B147" s="32" t="s">
        <v>199</v>
      </c>
      <c r="C147" s="32" t="s">
        <v>342</v>
      </c>
      <c r="D147" s="32" t="s">
        <v>26</v>
      </c>
      <c r="E147" s="30" t="b">
        <f aca="false">FALSE()</f>
        <v>0</v>
      </c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customFormat="false" ht="19.5" hidden="false" customHeight="true" outlineLevel="0" collapsed="false">
      <c r="A148" s="35" t="s">
        <v>84</v>
      </c>
      <c r="B148" s="32" t="s">
        <v>84</v>
      </c>
      <c r="C148" s="32" t="s">
        <v>343</v>
      </c>
      <c r="D148" s="32" t="s">
        <v>21</v>
      </c>
      <c r="E148" s="30" t="b">
        <f aca="false">FALSE()</f>
        <v>0</v>
      </c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customFormat="false" ht="19.5" hidden="false" customHeight="true" outlineLevel="0" collapsed="false">
      <c r="A149" s="35" t="s">
        <v>200</v>
      </c>
      <c r="B149" s="32" t="s">
        <v>200</v>
      </c>
      <c r="C149" s="32" t="s">
        <v>342</v>
      </c>
      <c r="D149" s="32" t="s">
        <v>25</v>
      </c>
      <c r="E149" s="30" t="b">
        <f aca="false">FALSE()</f>
        <v>0</v>
      </c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customFormat="false" ht="19.5" hidden="false" customHeight="true" outlineLevel="0" collapsed="false">
      <c r="A150" s="35" t="s">
        <v>71</v>
      </c>
      <c r="B150" s="32" t="s">
        <v>71</v>
      </c>
      <c r="C150" s="32" t="s">
        <v>343</v>
      </c>
      <c r="D150" s="32" t="s">
        <v>23</v>
      </c>
      <c r="E150" s="30" t="b">
        <f aca="false">FALSE()</f>
        <v>0</v>
      </c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customFormat="false" ht="19.5" hidden="false" customHeight="true" outlineLevel="0" collapsed="false">
      <c r="A151" s="35" t="s">
        <v>108</v>
      </c>
      <c r="B151" s="32" t="s">
        <v>108</v>
      </c>
      <c r="C151" s="32" t="s">
        <v>342</v>
      </c>
      <c r="D151" s="32" t="s">
        <v>25</v>
      </c>
      <c r="E151" s="30" t="b">
        <f aca="false">FALSE()</f>
        <v>0</v>
      </c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customFormat="false" ht="19.5" hidden="false" customHeight="true" outlineLevel="0" collapsed="false">
      <c r="A152" s="35" t="s">
        <v>233</v>
      </c>
      <c r="B152" s="32" t="s">
        <v>233</v>
      </c>
      <c r="C152" s="32" t="s">
        <v>343</v>
      </c>
      <c r="D152" s="32" t="s">
        <v>20</v>
      </c>
      <c r="E152" s="30" t="b">
        <f aca="false">FALSE()</f>
        <v>0</v>
      </c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customFormat="false" ht="19.5" hidden="false" customHeight="true" outlineLevel="0" collapsed="false">
      <c r="A153" s="35" t="s">
        <v>166</v>
      </c>
      <c r="B153" s="32" t="s">
        <v>166</v>
      </c>
      <c r="C153" s="32" t="s">
        <v>343</v>
      </c>
      <c r="D153" s="32" t="s">
        <v>20</v>
      </c>
      <c r="E153" s="30" t="b">
        <f aca="false">FALSE()</f>
        <v>0</v>
      </c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customFormat="false" ht="19.5" hidden="false" customHeight="true" outlineLevel="0" collapsed="false">
      <c r="A154" s="35" t="s">
        <v>303</v>
      </c>
      <c r="B154" s="32" t="s">
        <v>303</v>
      </c>
      <c r="C154" s="32" t="s">
        <v>343</v>
      </c>
      <c r="D154" s="32" t="s">
        <v>23</v>
      </c>
      <c r="E154" s="30" t="b">
        <f aca="false">FALSE()</f>
        <v>0</v>
      </c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customFormat="false" ht="19.5" hidden="false" customHeight="true" outlineLevel="0" collapsed="false">
      <c r="A155" s="35" t="s">
        <v>234</v>
      </c>
      <c r="B155" s="32" t="s">
        <v>234</v>
      </c>
      <c r="C155" s="32" t="s">
        <v>343</v>
      </c>
      <c r="D155" s="32" t="s">
        <v>21</v>
      </c>
      <c r="E155" s="30" t="b">
        <f aca="false">FALSE()</f>
        <v>0</v>
      </c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customFormat="false" ht="19.5" hidden="false" customHeight="true" outlineLevel="0" collapsed="false">
      <c r="A156" s="35" t="s">
        <v>235</v>
      </c>
      <c r="B156" s="32" t="s">
        <v>235</v>
      </c>
      <c r="C156" s="32" t="s">
        <v>343</v>
      </c>
      <c r="D156" s="32" t="s">
        <v>22</v>
      </c>
      <c r="E156" s="30" t="b">
        <f aca="false">FALSE()</f>
        <v>0</v>
      </c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customFormat="false" ht="19.5" hidden="false" customHeight="true" outlineLevel="0" collapsed="false">
      <c r="A157" s="35" t="s">
        <v>85</v>
      </c>
      <c r="B157" s="32" t="s">
        <v>85</v>
      </c>
      <c r="C157" s="32" t="s">
        <v>342</v>
      </c>
      <c r="D157" s="32" t="s">
        <v>21</v>
      </c>
      <c r="E157" s="30" t="b">
        <f aca="false">TRUE()</f>
        <v>1</v>
      </c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customFormat="false" ht="19.5" hidden="false" customHeight="true" outlineLevel="0" collapsed="false">
      <c r="A158" s="35" t="s">
        <v>276</v>
      </c>
      <c r="B158" s="32" t="s">
        <v>276</v>
      </c>
      <c r="C158" s="32" t="s">
        <v>342</v>
      </c>
      <c r="D158" s="32" t="s">
        <v>26</v>
      </c>
      <c r="E158" s="30" t="b">
        <f aca="false">FALSE()</f>
        <v>0</v>
      </c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customFormat="false" ht="19.5" hidden="false" customHeight="true" outlineLevel="0" collapsed="false">
      <c r="A159" s="35" t="s">
        <v>201</v>
      </c>
      <c r="B159" s="32" t="s">
        <v>201</v>
      </c>
      <c r="C159" s="32" t="s">
        <v>342</v>
      </c>
      <c r="D159" s="32" t="s">
        <v>23</v>
      </c>
      <c r="E159" s="30" t="b">
        <f aca="false">FALSE()</f>
        <v>0</v>
      </c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customFormat="false" ht="19.5" hidden="false" customHeight="true" outlineLevel="0" collapsed="false">
      <c r="A160" s="35" t="s">
        <v>109</v>
      </c>
      <c r="B160" s="32" t="s">
        <v>109</v>
      </c>
      <c r="C160" s="32" t="s">
        <v>343</v>
      </c>
      <c r="D160" s="32" t="s">
        <v>23</v>
      </c>
      <c r="E160" s="30" t="b">
        <f aca="false">FALSE()</f>
        <v>0</v>
      </c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customFormat="false" ht="19.5" hidden="false" customHeight="true" outlineLevel="0" collapsed="false">
      <c r="A161" s="35" t="s">
        <v>86</v>
      </c>
      <c r="B161" s="32" t="s">
        <v>86</v>
      </c>
      <c r="C161" s="32" t="s">
        <v>342</v>
      </c>
      <c r="D161" s="32" t="s">
        <v>23</v>
      </c>
      <c r="E161" s="30" t="b">
        <f aca="false">FALSE()</f>
        <v>0</v>
      </c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customFormat="false" ht="19.5" hidden="false" customHeight="true" outlineLevel="0" collapsed="false">
      <c r="A162" s="35" t="s">
        <v>202</v>
      </c>
      <c r="B162" s="32" t="s">
        <v>202</v>
      </c>
      <c r="C162" s="32" t="s">
        <v>342</v>
      </c>
      <c r="D162" s="32" t="s">
        <v>20</v>
      </c>
      <c r="E162" s="30" t="b">
        <f aca="false">FALSE()</f>
        <v>0</v>
      </c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customFormat="false" ht="19.5" hidden="false" customHeight="true" outlineLevel="0" collapsed="false">
      <c r="A163" s="35" t="s">
        <v>110</v>
      </c>
      <c r="B163" s="32" t="s">
        <v>110</v>
      </c>
      <c r="C163" s="32" t="s">
        <v>343</v>
      </c>
      <c r="D163" s="32" t="s">
        <v>21</v>
      </c>
      <c r="E163" s="30" t="b">
        <f aca="false">FALSE()</f>
        <v>0</v>
      </c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customFormat="false" ht="19.5" hidden="false" customHeight="true" outlineLevel="0" collapsed="false">
      <c r="A164" s="35" t="s">
        <v>304</v>
      </c>
      <c r="B164" s="32" t="s">
        <v>304</v>
      </c>
      <c r="C164" s="32" t="s">
        <v>342</v>
      </c>
      <c r="D164" s="32" t="s">
        <v>23</v>
      </c>
      <c r="E164" s="30" t="b">
        <f aca="false">FALSE()</f>
        <v>0</v>
      </c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customFormat="false" ht="19.5" hidden="false" customHeight="true" outlineLevel="0" collapsed="false">
      <c r="A165" s="35" t="s">
        <v>204</v>
      </c>
      <c r="B165" s="32" t="s">
        <v>204</v>
      </c>
      <c r="C165" s="32" t="s">
        <v>342</v>
      </c>
      <c r="D165" s="32" t="s">
        <v>25</v>
      </c>
      <c r="E165" s="30" t="b">
        <f aca="false">FALSE()</f>
        <v>0</v>
      </c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customFormat="false" ht="19.5" hidden="false" customHeight="true" outlineLevel="0" collapsed="false">
      <c r="A166" s="35" t="s">
        <v>305</v>
      </c>
      <c r="B166" s="32" t="s">
        <v>305</v>
      </c>
      <c r="C166" s="32" t="s">
        <v>343</v>
      </c>
      <c r="D166" s="32" t="s">
        <v>23</v>
      </c>
      <c r="E166" s="30" t="b">
        <f aca="false">FALSE()</f>
        <v>0</v>
      </c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customFormat="false" ht="19.5" hidden="false" customHeight="true" outlineLevel="0" collapsed="false">
      <c r="A167" s="35" t="s">
        <v>203</v>
      </c>
      <c r="B167" s="32" t="s">
        <v>203</v>
      </c>
      <c r="C167" s="32" t="s">
        <v>343</v>
      </c>
      <c r="D167" s="32" t="s">
        <v>23</v>
      </c>
      <c r="E167" s="30" t="b">
        <f aca="false">FALSE()</f>
        <v>0</v>
      </c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customFormat="false" ht="19.5" hidden="false" customHeight="true" outlineLevel="0" collapsed="false">
      <c r="A168" s="35" t="s">
        <v>136</v>
      </c>
      <c r="B168" s="32" t="s">
        <v>136</v>
      </c>
      <c r="C168" s="32" t="s">
        <v>343</v>
      </c>
      <c r="D168" s="32" t="s">
        <v>25</v>
      </c>
      <c r="E168" s="30" t="b">
        <f aca="false">FALSE()</f>
        <v>0</v>
      </c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customFormat="false" ht="19.5" hidden="false" customHeight="true" outlineLevel="0" collapsed="false">
      <c r="A169" s="35" t="s">
        <v>236</v>
      </c>
      <c r="B169" s="32" t="s">
        <v>236</v>
      </c>
      <c r="C169" s="32" t="s">
        <v>343</v>
      </c>
      <c r="D169" s="32" t="s">
        <v>25</v>
      </c>
      <c r="E169" s="30" t="b">
        <f aca="false">FALSE()</f>
        <v>0</v>
      </c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customFormat="false" ht="19.5" hidden="false" customHeight="true" outlineLevel="0" collapsed="false">
      <c r="A170" s="35" t="s">
        <v>137</v>
      </c>
      <c r="B170" s="32" t="s">
        <v>137</v>
      </c>
      <c r="C170" s="32" t="s">
        <v>342</v>
      </c>
      <c r="D170" s="32" t="s">
        <v>25</v>
      </c>
      <c r="E170" s="30" t="b">
        <f aca="false">FALSE()</f>
        <v>0</v>
      </c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customFormat="false" ht="19.5" hidden="false" customHeight="true" outlineLevel="0" collapsed="false">
      <c r="A171" s="35" t="s">
        <v>278</v>
      </c>
      <c r="B171" s="32" t="s">
        <v>278</v>
      </c>
      <c r="C171" s="32" t="s">
        <v>343</v>
      </c>
      <c r="D171" s="32" t="s">
        <v>25</v>
      </c>
      <c r="E171" s="30" t="b">
        <f aca="false">FALSE()</f>
        <v>0</v>
      </c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customFormat="false" ht="19.5" hidden="false" customHeight="true" outlineLevel="0" collapsed="false">
      <c r="A172" s="35" t="s">
        <v>344</v>
      </c>
      <c r="B172" s="32" t="s">
        <v>344</v>
      </c>
      <c r="C172" s="32" t="s">
        <v>343</v>
      </c>
      <c r="D172" s="32" t="s">
        <v>23</v>
      </c>
      <c r="E172" s="30" t="b">
        <f aca="false">FALSE()</f>
        <v>0</v>
      </c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customFormat="false" ht="19.5" hidden="false" customHeight="true" outlineLevel="0" collapsed="false">
      <c r="A173" s="35" t="s">
        <v>111</v>
      </c>
      <c r="B173" s="32" t="s">
        <v>111</v>
      </c>
      <c r="C173" s="32" t="s">
        <v>343</v>
      </c>
      <c r="D173" s="32" t="s">
        <v>20</v>
      </c>
      <c r="E173" s="30" t="b">
        <f aca="false">FALSE()</f>
        <v>0</v>
      </c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customFormat="false" ht="19.5" hidden="false" customHeight="true" outlineLevel="0" collapsed="false">
      <c r="A174" s="35" t="s">
        <v>306</v>
      </c>
      <c r="B174" s="32" t="s">
        <v>306</v>
      </c>
      <c r="C174" s="32" t="s">
        <v>343</v>
      </c>
      <c r="D174" s="32" t="s">
        <v>21</v>
      </c>
      <c r="E174" s="30" t="b">
        <f aca="false">FALSE()</f>
        <v>0</v>
      </c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customFormat="false" ht="19.5" hidden="false" customHeight="true" outlineLevel="0" collapsed="false">
      <c r="A175" s="35" t="s">
        <v>59</v>
      </c>
      <c r="B175" s="32" t="s">
        <v>59</v>
      </c>
      <c r="C175" s="32" t="s">
        <v>343</v>
      </c>
      <c r="D175" s="32" t="s">
        <v>20</v>
      </c>
      <c r="E175" s="30" t="b">
        <f aca="false">FALSE()</f>
        <v>0</v>
      </c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customFormat="false" ht="19.5" hidden="false" customHeight="true" outlineLevel="0" collapsed="false">
      <c r="A176" s="35" t="s">
        <v>277</v>
      </c>
      <c r="B176" s="32" t="s">
        <v>277</v>
      </c>
      <c r="C176" s="32" t="s">
        <v>343</v>
      </c>
      <c r="D176" s="32" t="s">
        <v>23</v>
      </c>
      <c r="E176" s="30" t="b">
        <f aca="false">FALSE()</f>
        <v>0</v>
      </c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customFormat="false" ht="19.5" hidden="false" customHeight="true" outlineLevel="0" collapsed="false">
      <c r="A177" s="35" t="s">
        <v>138</v>
      </c>
      <c r="B177" s="32" t="s">
        <v>138</v>
      </c>
      <c r="C177" s="32" t="s">
        <v>343</v>
      </c>
      <c r="D177" s="32" t="s">
        <v>21</v>
      </c>
      <c r="E177" s="30" t="b">
        <f aca="false">FALSE()</f>
        <v>0</v>
      </c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customFormat="false" ht="19.5" hidden="false" customHeight="true" outlineLevel="0" collapsed="false">
      <c r="A178" s="35" t="s">
        <v>112</v>
      </c>
      <c r="B178" s="32" t="s">
        <v>112</v>
      </c>
      <c r="C178" s="32" t="s">
        <v>342</v>
      </c>
      <c r="D178" s="32" t="s">
        <v>25</v>
      </c>
      <c r="E178" s="30" t="b">
        <f aca="false">FALSE()</f>
        <v>0</v>
      </c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customFormat="false" ht="19.5" hidden="false" customHeight="true" outlineLevel="0" collapsed="false">
      <c r="A179" s="35" t="s">
        <v>113</v>
      </c>
      <c r="B179" s="32" t="s">
        <v>113</v>
      </c>
      <c r="C179" s="32" t="s">
        <v>343</v>
      </c>
      <c r="D179" s="32" t="s">
        <v>23</v>
      </c>
      <c r="E179" s="30" t="b">
        <f aca="false">FALSE()</f>
        <v>0</v>
      </c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customFormat="false" ht="19.5" hidden="false" customHeight="true" outlineLevel="0" collapsed="false">
      <c r="A180" s="35" t="s">
        <v>139</v>
      </c>
      <c r="B180" s="32" t="s">
        <v>139</v>
      </c>
      <c r="C180" s="32" t="s">
        <v>342</v>
      </c>
      <c r="D180" s="32" t="s">
        <v>24</v>
      </c>
      <c r="E180" s="30" t="b">
        <f aca="false">FALSE()</f>
        <v>0</v>
      </c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customFormat="false" ht="19.5" hidden="false" customHeight="true" outlineLevel="0" collapsed="false">
      <c r="A181" s="35" t="s">
        <v>279</v>
      </c>
      <c r="B181" s="32" t="s">
        <v>279</v>
      </c>
      <c r="C181" s="32" t="s">
        <v>342</v>
      </c>
      <c r="D181" s="32" t="s">
        <v>24</v>
      </c>
      <c r="E181" s="30" t="b">
        <f aca="false">FALSE()</f>
        <v>0</v>
      </c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customFormat="false" ht="19.5" hidden="false" customHeight="true" outlineLevel="0" collapsed="false">
      <c r="A182" s="35" t="s">
        <v>307</v>
      </c>
      <c r="B182" s="32" t="s">
        <v>307</v>
      </c>
      <c r="C182" s="32" t="s">
        <v>342</v>
      </c>
      <c r="D182" s="32" t="s">
        <v>24</v>
      </c>
      <c r="E182" s="30" t="b">
        <f aca="false">FALSE()</f>
        <v>0</v>
      </c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customFormat="false" ht="19.5" hidden="false" customHeight="true" outlineLevel="0" collapsed="false">
      <c r="A183" s="35" t="s">
        <v>308</v>
      </c>
      <c r="B183" s="32" t="s">
        <v>308</v>
      </c>
      <c r="C183" s="32" t="s">
        <v>345</v>
      </c>
      <c r="D183" s="32" t="s">
        <v>24</v>
      </c>
      <c r="E183" s="30" t="b">
        <f aca="false">FALSE()</f>
        <v>0</v>
      </c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customFormat="false" ht="19.5" hidden="false" customHeight="true" outlineLevel="0" collapsed="false">
      <c r="A184" s="35" t="s">
        <v>309</v>
      </c>
      <c r="B184" s="32" t="s">
        <v>309</v>
      </c>
      <c r="C184" s="32" t="s">
        <v>345</v>
      </c>
      <c r="D184" s="32" t="s">
        <v>24</v>
      </c>
      <c r="E184" s="30" t="b">
        <f aca="false">FALSE()</f>
        <v>0</v>
      </c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customFormat="false" ht="19.5" hidden="false" customHeight="true" outlineLevel="0" collapsed="false">
      <c r="A185" s="35" t="s">
        <v>114</v>
      </c>
      <c r="B185" s="32" t="s">
        <v>114</v>
      </c>
      <c r="C185" s="32" t="s">
        <v>342</v>
      </c>
      <c r="D185" s="32" t="s">
        <v>24</v>
      </c>
      <c r="E185" s="30" t="b">
        <f aca="false">FALSE()</f>
        <v>0</v>
      </c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customFormat="false" ht="19.5" hidden="false" customHeight="true" outlineLevel="0" collapsed="false">
      <c r="A186" s="35" t="s">
        <v>60</v>
      </c>
      <c r="B186" s="32" t="s">
        <v>60</v>
      </c>
      <c r="C186" s="32" t="s">
        <v>342</v>
      </c>
      <c r="D186" s="32" t="s">
        <v>24</v>
      </c>
      <c r="E186" s="30" t="b">
        <f aca="false">FALSE()</f>
        <v>0</v>
      </c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customFormat="false" ht="19.5" hidden="false" customHeight="true" outlineLevel="0" collapsed="false">
      <c r="A187" s="35" t="s">
        <v>237</v>
      </c>
      <c r="B187" s="32" t="s">
        <v>237</v>
      </c>
      <c r="C187" s="32" t="s">
        <v>342</v>
      </c>
      <c r="D187" s="32" t="s">
        <v>24</v>
      </c>
      <c r="E187" s="30" t="b">
        <f aca="false">FALSE()</f>
        <v>0</v>
      </c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customFormat="false" ht="19.5" hidden="false" customHeight="true" outlineLevel="0" collapsed="false">
      <c r="A188" s="35" t="s">
        <v>310</v>
      </c>
      <c r="B188" s="32" t="s">
        <v>310</v>
      </c>
      <c r="C188" s="32" t="s">
        <v>342</v>
      </c>
      <c r="D188" s="32" t="s">
        <v>24</v>
      </c>
      <c r="E188" s="30" t="b">
        <f aca="false">FALSE()</f>
        <v>0</v>
      </c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customFormat="false" ht="19.5" hidden="false" customHeight="true" outlineLevel="0" collapsed="false">
      <c r="A189" s="35" t="s">
        <v>167</v>
      </c>
      <c r="B189" s="32" t="s">
        <v>167</v>
      </c>
      <c r="C189" s="32" t="s">
        <v>342</v>
      </c>
      <c r="D189" s="32" t="s">
        <v>24</v>
      </c>
      <c r="E189" s="30" t="b">
        <f aca="false">FALSE()</f>
        <v>0</v>
      </c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customFormat="false" ht="19.5" hidden="false" customHeight="true" outlineLevel="0" collapsed="false">
      <c r="A190" s="35" t="s">
        <v>72</v>
      </c>
      <c r="B190" s="32" t="s">
        <v>72</v>
      </c>
      <c r="C190" s="32" t="s">
        <v>342</v>
      </c>
      <c r="D190" s="32" t="s">
        <v>24</v>
      </c>
      <c r="E190" s="30" t="b">
        <f aca="false">FALSE()</f>
        <v>0</v>
      </c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customFormat="false" ht="19.5" hidden="false" customHeight="true" outlineLevel="0" collapsed="false">
      <c r="A191" s="35" t="s">
        <v>73</v>
      </c>
      <c r="B191" s="32" t="s">
        <v>73</v>
      </c>
      <c r="C191" s="32" t="s">
        <v>342</v>
      </c>
      <c r="D191" s="32" t="s">
        <v>24</v>
      </c>
      <c r="E191" s="30" t="b">
        <f aca="false">FALSE()</f>
        <v>0</v>
      </c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customFormat="false" ht="19.5" hidden="false" customHeight="true" outlineLevel="0" collapsed="false">
      <c r="A192" s="35" t="s">
        <v>311</v>
      </c>
      <c r="B192" s="32" t="s">
        <v>311</v>
      </c>
      <c r="C192" s="32" t="s">
        <v>343</v>
      </c>
      <c r="D192" s="32" t="s">
        <v>24</v>
      </c>
      <c r="E192" s="30" t="b">
        <f aca="false">FALSE()</f>
        <v>0</v>
      </c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customFormat="false" ht="19.5" hidden="false" customHeight="true" outlineLevel="0" collapsed="false">
      <c r="A193" s="35" t="s">
        <v>238</v>
      </c>
      <c r="B193" s="32" t="s">
        <v>238</v>
      </c>
      <c r="C193" s="32" t="s">
        <v>343</v>
      </c>
      <c r="D193" s="32" t="s">
        <v>24</v>
      </c>
      <c r="E193" s="30" t="b">
        <f aca="false">FALSE()</f>
        <v>0</v>
      </c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customFormat="false" ht="19.5" hidden="false" customHeight="true" outlineLevel="0" collapsed="false">
      <c r="A194" s="35" t="s">
        <v>280</v>
      </c>
      <c r="B194" s="32" t="s">
        <v>280</v>
      </c>
      <c r="C194" s="32" t="s">
        <v>343</v>
      </c>
      <c r="D194" s="32" t="s">
        <v>24</v>
      </c>
      <c r="E194" s="30" t="b">
        <f aca="false">FALSE()</f>
        <v>0</v>
      </c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customFormat="false" ht="19.5" hidden="false" customHeight="true" outlineLevel="0" collapsed="false">
      <c r="A195" s="35" t="s">
        <v>115</v>
      </c>
      <c r="B195" s="32" t="s">
        <v>115</v>
      </c>
      <c r="C195" s="32" t="s">
        <v>342</v>
      </c>
      <c r="D195" s="32" t="s">
        <v>24</v>
      </c>
      <c r="E195" s="30" t="b">
        <f aca="false">FALSE()</f>
        <v>0</v>
      </c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customFormat="false" ht="19.5" hidden="false" customHeight="true" outlineLevel="0" collapsed="false">
      <c r="A196" s="35" t="s">
        <v>281</v>
      </c>
      <c r="B196" s="32" t="s">
        <v>281</v>
      </c>
      <c r="C196" s="32" t="s">
        <v>342</v>
      </c>
      <c r="D196" s="32" t="s">
        <v>24</v>
      </c>
      <c r="E196" s="30" t="b">
        <f aca="false">FALSE()</f>
        <v>0</v>
      </c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customFormat="false" ht="19.5" hidden="false" customHeight="true" outlineLevel="0" collapsed="false">
      <c r="A197" s="35" t="s">
        <v>140</v>
      </c>
      <c r="B197" s="32" t="s">
        <v>140</v>
      </c>
      <c r="C197" s="32" t="s">
        <v>342</v>
      </c>
      <c r="D197" s="32" t="s">
        <v>24</v>
      </c>
      <c r="E197" s="30" t="b">
        <f aca="false">FALSE()</f>
        <v>0</v>
      </c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customFormat="false" ht="19.5" hidden="false" customHeight="true" outlineLevel="0" collapsed="false">
      <c r="A198" s="35" t="s">
        <v>168</v>
      </c>
      <c r="B198" s="32" t="s">
        <v>168</v>
      </c>
      <c r="C198" s="32" t="s">
        <v>342</v>
      </c>
      <c r="D198" s="32" t="s">
        <v>24</v>
      </c>
      <c r="E198" s="30" t="b">
        <f aca="false">FALSE()</f>
        <v>0</v>
      </c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customFormat="false" ht="19.5" hidden="false" customHeight="true" outlineLevel="0" collapsed="false">
      <c r="A199" s="35" t="s">
        <v>312</v>
      </c>
      <c r="B199" s="32" t="s">
        <v>312</v>
      </c>
      <c r="C199" s="32" t="s">
        <v>342</v>
      </c>
      <c r="D199" s="32" t="s">
        <v>24</v>
      </c>
      <c r="E199" s="30" t="b">
        <f aca="false">FALSE()</f>
        <v>0</v>
      </c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customFormat="false" ht="19.5" hidden="false" customHeight="true" outlineLevel="0" collapsed="false">
      <c r="A200" s="35" t="s">
        <v>239</v>
      </c>
      <c r="B200" s="32" t="s">
        <v>239</v>
      </c>
      <c r="C200" s="32" t="s">
        <v>342</v>
      </c>
      <c r="D200" s="32" t="s">
        <v>24</v>
      </c>
      <c r="E200" s="30" t="b">
        <f aca="false">FALSE()</f>
        <v>0</v>
      </c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customFormat="false" ht="19.5" hidden="false" customHeight="true" outlineLevel="0" collapsed="false">
      <c r="A201" s="35" t="s">
        <v>87</v>
      </c>
      <c r="B201" s="32" t="s">
        <v>87</v>
      </c>
      <c r="C201" s="32" t="s">
        <v>342</v>
      </c>
      <c r="D201" s="32" t="s">
        <v>24</v>
      </c>
      <c r="E201" s="30" t="b">
        <f aca="false">FALSE()</f>
        <v>0</v>
      </c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customFormat="false" ht="19.5" hidden="false" customHeight="true" outlineLevel="0" collapsed="false">
      <c r="A202" s="35" t="s">
        <v>313</v>
      </c>
      <c r="B202" s="32" t="s">
        <v>313</v>
      </c>
      <c r="C202" s="32" t="s">
        <v>342</v>
      </c>
      <c r="D202" s="32" t="s">
        <v>24</v>
      </c>
      <c r="E202" s="30" t="b">
        <f aca="false">FALSE()</f>
        <v>0</v>
      </c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customFormat="false" ht="19.5" hidden="false" customHeight="true" outlineLevel="0" collapsed="false">
      <c r="A203" s="35" t="s">
        <v>240</v>
      </c>
      <c r="B203" s="32" t="s">
        <v>240</v>
      </c>
      <c r="C203" s="32" t="s">
        <v>342</v>
      </c>
      <c r="D203" s="32" t="s">
        <v>24</v>
      </c>
      <c r="E203" s="30" t="b">
        <f aca="false">FALSE()</f>
        <v>0</v>
      </c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customFormat="false" ht="19.5" hidden="false" customHeight="true" outlineLevel="0" collapsed="false">
      <c r="A204" s="35" t="s">
        <v>205</v>
      </c>
      <c r="B204" s="32" t="s">
        <v>205</v>
      </c>
      <c r="C204" s="32" t="s">
        <v>342</v>
      </c>
      <c r="D204" s="32" t="s">
        <v>24</v>
      </c>
      <c r="E204" s="30" t="b">
        <f aca="false">FALSE()</f>
        <v>0</v>
      </c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customFormat="false" ht="19.5" hidden="false" customHeight="true" outlineLevel="0" collapsed="false">
      <c r="A205" s="35" t="s">
        <v>116</v>
      </c>
      <c r="B205" s="32" t="s">
        <v>116</v>
      </c>
      <c r="C205" s="32" t="s">
        <v>342</v>
      </c>
      <c r="D205" s="32" t="s">
        <v>24</v>
      </c>
      <c r="E205" s="30" t="b">
        <f aca="false">FALSE()</f>
        <v>0</v>
      </c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customFormat="false" ht="19.5" hidden="false" customHeight="true" outlineLevel="0" collapsed="false">
      <c r="A206" s="35" t="s">
        <v>241</v>
      </c>
      <c r="B206" s="32" t="s">
        <v>241</v>
      </c>
      <c r="C206" s="32" t="s">
        <v>343</v>
      </c>
      <c r="D206" s="32" t="s">
        <v>24</v>
      </c>
      <c r="E206" s="30" t="b">
        <f aca="false">FALSE()</f>
        <v>0</v>
      </c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customFormat="false" ht="19.5" hidden="false" customHeight="true" outlineLevel="0" collapsed="false">
      <c r="A207" s="35" t="s">
        <v>206</v>
      </c>
      <c r="B207" s="32" t="s">
        <v>206</v>
      </c>
      <c r="C207" s="32" t="s">
        <v>345</v>
      </c>
      <c r="D207" s="32" t="s">
        <v>24</v>
      </c>
      <c r="E207" s="30" t="b">
        <f aca="false">FALSE()</f>
        <v>0</v>
      </c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customFormat="false" ht="19.5" hidden="false" customHeight="true" outlineLevel="0" collapsed="false">
      <c r="A208" s="35" t="s">
        <v>88</v>
      </c>
      <c r="B208" s="32" t="s">
        <v>88</v>
      </c>
      <c r="C208" s="32" t="s">
        <v>342</v>
      </c>
      <c r="D208" s="32" t="s">
        <v>24</v>
      </c>
      <c r="E208" s="30" t="b">
        <f aca="false">FALSE()</f>
        <v>0</v>
      </c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customFormat="false" ht="19.5" hidden="false" customHeight="true" outlineLevel="0" collapsed="false">
      <c r="A209" s="35" t="s">
        <v>117</v>
      </c>
      <c r="B209" s="32" t="s">
        <v>117</v>
      </c>
      <c r="C209" s="32" t="s">
        <v>342</v>
      </c>
      <c r="D209" s="32" t="s">
        <v>24</v>
      </c>
      <c r="E209" s="30" t="b">
        <f aca="false">FALSE()</f>
        <v>0</v>
      </c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customFormat="false" ht="19.5" hidden="false" customHeight="true" outlineLevel="0" collapsed="false">
      <c r="A210" s="35" t="s">
        <v>314</v>
      </c>
      <c r="B210" s="32" t="s">
        <v>314</v>
      </c>
      <c r="C210" s="32" t="s">
        <v>342</v>
      </c>
      <c r="D210" s="32" t="s">
        <v>24</v>
      </c>
      <c r="E210" s="30" t="b">
        <f aca="false">FALSE()</f>
        <v>0</v>
      </c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customFormat="false" ht="19.5" hidden="false" customHeight="true" outlineLevel="0" collapsed="false">
      <c r="A211" s="35"/>
      <c r="B211" s="15" t="s">
        <v>178</v>
      </c>
      <c r="C211" s="32" t="s">
        <v>342</v>
      </c>
      <c r="D211" s="32" t="s">
        <v>24</v>
      </c>
      <c r="E211" s="30" t="b">
        <f aca="false">FALSE()</f>
        <v>0</v>
      </c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customFormat="false" ht="19.5" hidden="false" customHeight="true" outlineLevel="0" collapsed="false">
      <c r="A212" s="35"/>
      <c r="B212" s="15" t="s">
        <v>115</v>
      </c>
      <c r="C212" s="32" t="s">
        <v>342</v>
      </c>
      <c r="D212" s="32" t="s">
        <v>24</v>
      </c>
      <c r="E212" s="30" t="b">
        <f aca="false">FALSE()</f>
        <v>0</v>
      </c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customFormat="false" ht="19.5" hidden="false" customHeight="true" outlineLevel="0" collapsed="false">
      <c r="A213" s="35"/>
      <c r="B213" s="15" t="s">
        <v>216</v>
      </c>
      <c r="C213" s="32" t="s">
        <v>342</v>
      </c>
      <c r="D213" s="32" t="s">
        <v>24</v>
      </c>
      <c r="E213" s="30" t="b">
        <f aca="false">FALSE()</f>
        <v>0</v>
      </c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customFormat="false" ht="19.5" hidden="false" customHeight="true" outlineLevel="0" collapsed="false">
      <c r="A214" s="35"/>
      <c r="B214" s="15" t="s">
        <v>289</v>
      </c>
      <c r="C214" s="32" t="s">
        <v>342</v>
      </c>
      <c r="D214" s="32" t="s">
        <v>24</v>
      </c>
      <c r="E214" s="30" t="b">
        <f aca="false">FALSE()</f>
        <v>0</v>
      </c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customFormat="false" ht="19.5" hidden="false" customHeight="true" outlineLevel="0" collapsed="false">
      <c r="A215" s="35"/>
      <c r="B215" s="15" t="s">
        <v>290</v>
      </c>
      <c r="C215" s="32" t="s">
        <v>342</v>
      </c>
      <c r="D215" s="32" t="s">
        <v>24</v>
      </c>
      <c r="E215" s="30" t="b">
        <f aca="false">FALSE()</f>
        <v>0</v>
      </c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customFormat="false" ht="19.5" hidden="false" customHeight="true" outlineLevel="0" collapsed="false">
      <c r="B216" s="15" t="s">
        <v>325</v>
      </c>
      <c r="C216" s="32" t="s">
        <v>342</v>
      </c>
      <c r="D216" s="32" t="s">
        <v>24</v>
      </c>
      <c r="E216" s="30" t="b">
        <f aca="false">FALSE()</f>
        <v>0</v>
      </c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customFormat="false" ht="19.5" hidden="false" customHeight="true" outlineLevel="0" collapsed="false">
      <c r="B217" s="15" t="s">
        <v>326</v>
      </c>
      <c r="C217" s="32" t="s">
        <v>343</v>
      </c>
      <c r="D217" s="32" t="s">
        <v>24</v>
      </c>
      <c r="E217" s="30" t="b">
        <f aca="false">FALSE()</f>
        <v>0</v>
      </c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customFormat="false" ht="19.5" hidden="false" customHeight="true" outlineLevel="0" collapsed="false">
      <c r="A218" s="35" t="s">
        <v>282</v>
      </c>
      <c r="B218" s="15" t="s">
        <v>327</v>
      </c>
      <c r="C218" s="32" t="s">
        <v>343</v>
      </c>
      <c r="D218" s="32" t="s">
        <v>24</v>
      </c>
      <c r="E218" s="30" t="b">
        <f aca="false">FALSE()</f>
        <v>0</v>
      </c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customFormat="false" ht="19.5" hidden="false" customHeight="true" outlineLevel="0" collapsed="false">
      <c r="A219" s="35" t="s">
        <v>207</v>
      </c>
      <c r="B219" s="32" t="s">
        <v>207</v>
      </c>
      <c r="C219" s="32" t="s">
        <v>342</v>
      </c>
      <c r="D219" s="32" t="s">
        <v>22</v>
      </c>
      <c r="E219" s="30" t="b">
        <f aca="false">FALSE()</f>
        <v>0</v>
      </c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customFormat="false" ht="19.5" hidden="false" customHeight="true" outlineLevel="0" collapsed="false">
      <c r="A220" s="35" t="s">
        <v>315</v>
      </c>
      <c r="B220" s="32" t="s">
        <v>315</v>
      </c>
      <c r="C220" s="32" t="s">
        <v>342</v>
      </c>
      <c r="D220" s="32" t="s">
        <v>23</v>
      </c>
      <c r="E220" s="30" t="b">
        <f aca="false">FALSE()</f>
        <v>0</v>
      </c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customFormat="false" ht="19.5" hidden="false" customHeight="true" outlineLevel="0" collapsed="false">
      <c r="A221" s="35" t="s">
        <v>242</v>
      </c>
      <c r="B221" s="32" t="s">
        <v>242</v>
      </c>
      <c r="C221" s="32" t="s">
        <v>343</v>
      </c>
      <c r="D221" s="32" t="s">
        <v>20</v>
      </c>
      <c r="E221" s="30" t="b">
        <f aca="false">FALSE()</f>
        <v>0</v>
      </c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customFormat="false" ht="19.5" hidden="false" customHeight="true" outlineLevel="0" collapsed="false">
      <c r="A222" s="35" t="s">
        <v>169</v>
      </c>
      <c r="B222" s="32" t="s">
        <v>169</v>
      </c>
      <c r="C222" s="32" t="s">
        <v>342</v>
      </c>
      <c r="D222" s="32" t="s">
        <v>20</v>
      </c>
      <c r="E222" s="30" t="b">
        <f aca="false">FALSE()</f>
        <v>0</v>
      </c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customFormat="false" ht="19.5" hidden="false" customHeight="true" outlineLevel="0" collapsed="false">
      <c r="A223" s="35" t="s">
        <v>283</v>
      </c>
      <c r="B223" s="32" t="s">
        <v>283</v>
      </c>
      <c r="C223" s="32" t="s">
        <v>342</v>
      </c>
      <c r="D223" s="32" t="s">
        <v>23</v>
      </c>
      <c r="E223" s="30" t="b">
        <f aca="false">FALSE()</f>
        <v>0</v>
      </c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customFormat="false" ht="19.5" hidden="false" customHeight="true" outlineLevel="0" collapsed="false">
      <c r="A224" s="35" t="s">
        <v>243</v>
      </c>
      <c r="B224" s="32" t="s">
        <v>243</v>
      </c>
      <c r="C224" s="32" t="s">
        <v>343</v>
      </c>
      <c r="D224" s="32" t="s">
        <v>23</v>
      </c>
      <c r="E224" s="30" t="b">
        <f aca="false">FALSE()</f>
        <v>0</v>
      </c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customFormat="false" ht="19.5" hidden="false" customHeight="true" outlineLevel="0" collapsed="false">
      <c r="A225" s="35" t="s">
        <v>89</v>
      </c>
      <c r="B225" s="32" t="s">
        <v>89</v>
      </c>
      <c r="C225" s="32" t="s">
        <v>343</v>
      </c>
      <c r="D225" s="32" t="s">
        <v>23</v>
      </c>
      <c r="E225" s="30" t="b">
        <f aca="false">FALSE()</f>
        <v>0</v>
      </c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customFormat="false" ht="19.5" hidden="false" customHeight="true" outlineLevel="0" collapsed="false">
      <c r="A226" s="35" t="s">
        <v>244</v>
      </c>
      <c r="B226" s="32" t="s">
        <v>244</v>
      </c>
      <c r="C226" s="32" t="s">
        <v>342</v>
      </c>
      <c r="D226" s="32" t="s">
        <v>20</v>
      </c>
      <c r="E226" s="30" t="b">
        <f aca="false">FALSE()</f>
        <v>0</v>
      </c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customFormat="false" ht="19.5" hidden="false" customHeight="true" outlineLevel="0" collapsed="false">
      <c r="A227" s="35" t="s">
        <v>118</v>
      </c>
      <c r="B227" s="32" t="s">
        <v>118</v>
      </c>
      <c r="C227" s="32" t="s">
        <v>343</v>
      </c>
      <c r="D227" s="32" t="s">
        <v>21</v>
      </c>
      <c r="E227" s="30" t="b">
        <f aca="false">FALSE()</f>
        <v>0</v>
      </c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customFormat="false" ht="19.5" hidden="false" customHeight="true" outlineLevel="0" collapsed="false">
      <c r="A228" s="35" t="s">
        <v>53</v>
      </c>
      <c r="B228" s="32" t="s">
        <v>53</v>
      </c>
      <c r="C228" s="32" t="s">
        <v>343</v>
      </c>
      <c r="D228" s="32" t="s">
        <v>20</v>
      </c>
      <c r="E228" s="30" t="b">
        <f aca="false">FALSE()</f>
        <v>0</v>
      </c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customFormat="false" ht="19.5" hidden="false" customHeight="true" outlineLevel="0" collapsed="false">
      <c r="A229" s="35" t="s">
        <v>119</v>
      </c>
      <c r="B229" s="32" t="s">
        <v>119</v>
      </c>
      <c r="C229" s="32" t="s">
        <v>343</v>
      </c>
      <c r="D229" s="32" t="s">
        <v>21</v>
      </c>
      <c r="E229" s="30" t="b">
        <f aca="false">FALSE()</f>
        <v>0</v>
      </c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customFormat="false" ht="19.5" hidden="false" customHeight="true" outlineLevel="0" collapsed="false">
      <c r="A230" s="35" t="s">
        <v>141</v>
      </c>
      <c r="B230" s="32" t="s">
        <v>141</v>
      </c>
      <c r="C230" s="32" t="s">
        <v>342</v>
      </c>
      <c r="D230" s="32" t="s">
        <v>23</v>
      </c>
      <c r="E230" s="30" t="b">
        <f aca="false">FALSE()</f>
        <v>0</v>
      </c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customFormat="false" ht="19.5" hidden="false" customHeight="true" outlineLevel="0" collapsed="false">
      <c r="A231" s="35" t="s">
        <v>284</v>
      </c>
      <c r="B231" s="32" t="s">
        <v>284</v>
      </c>
      <c r="C231" s="32" t="s">
        <v>342</v>
      </c>
      <c r="D231" s="32" t="s">
        <v>18</v>
      </c>
      <c r="E231" s="30" t="b">
        <f aca="false">FALSE()</f>
        <v>0</v>
      </c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customFormat="false" ht="19.5" hidden="false" customHeight="true" outlineLevel="0" collapsed="false">
      <c r="A232" s="35" t="s">
        <v>120</v>
      </c>
      <c r="B232" s="32" t="s">
        <v>120</v>
      </c>
      <c r="C232" s="32" t="s">
        <v>343</v>
      </c>
      <c r="D232" s="32" t="s">
        <v>25</v>
      </c>
      <c r="E232" s="30" t="b">
        <f aca="false">FALSE()</f>
        <v>0</v>
      </c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customFormat="false" ht="19.5" hidden="false" customHeight="true" outlineLevel="0" collapsed="false">
      <c r="A233" s="35" t="s">
        <v>208</v>
      </c>
      <c r="B233" s="32" t="s">
        <v>208</v>
      </c>
      <c r="C233" s="32" t="s">
        <v>342</v>
      </c>
      <c r="D233" s="32" t="s">
        <v>23</v>
      </c>
      <c r="E233" s="30" t="b">
        <f aca="false">FALSE()</f>
        <v>0</v>
      </c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customFormat="false" ht="19.5" hidden="false" customHeight="true" outlineLevel="0" collapsed="false">
      <c r="A234" s="35" t="s">
        <v>245</v>
      </c>
      <c r="B234" s="32" t="s">
        <v>245</v>
      </c>
      <c r="C234" s="32" t="s">
        <v>342</v>
      </c>
      <c r="D234" s="32" t="s">
        <v>25</v>
      </c>
      <c r="E234" s="30" t="b">
        <f aca="false">FALSE()</f>
        <v>0</v>
      </c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customFormat="false" ht="19.5" hidden="false" customHeight="true" outlineLevel="0" collapsed="false">
      <c r="A235" s="35" t="s">
        <v>142</v>
      </c>
      <c r="B235" s="32" t="s">
        <v>142</v>
      </c>
      <c r="C235" s="32" t="s">
        <v>342</v>
      </c>
      <c r="D235" s="32" t="s">
        <v>23</v>
      </c>
      <c r="E235" s="30" t="b">
        <f aca="false">FALSE()</f>
        <v>0</v>
      </c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customFormat="false" ht="19.5" hidden="false" customHeight="true" outlineLevel="0" collapsed="false">
      <c r="A236" s="35" t="s">
        <v>143</v>
      </c>
      <c r="B236" s="32" t="s">
        <v>143</v>
      </c>
      <c r="C236" s="32" t="s">
        <v>343</v>
      </c>
      <c r="D236" s="32" t="s">
        <v>25</v>
      </c>
      <c r="E236" s="30" t="b">
        <f aca="false">FALSE()</f>
        <v>0</v>
      </c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customFormat="false" ht="19.5" hidden="false" customHeight="true" outlineLevel="0" collapsed="false">
      <c r="A237" s="35" t="s">
        <v>318</v>
      </c>
      <c r="B237" s="32" t="s">
        <v>318</v>
      </c>
      <c r="C237" s="32" t="s">
        <v>343</v>
      </c>
      <c r="D237" s="32" t="s">
        <v>27</v>
      </c>
      <c r="E237" s="30" t="b">
        <f aca="false">FALSE()</f>
        <v>0</v>
      </c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customFormat="false" ht="19.5" hidden="false" customHeight="true" outlineLevel="0" collapsed="false">
      <c r="A238" s="35" t="s">
        <v>316</v>
      </c>
      <c r="B238" s="32" t="s">
        <v>316</v>
      </c>
      <c r="C238" s="32" t="s">
        <v>343</v>
      </c>
      <c r="D238" s="32" t="s">
        <v>21</v>
      </c>
      <c r="E238" s="30" t="b">
        <f aca="false">FALSE()</f>
        <v>0</v>
      </c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customFormat="false" ht="19.5" hidden="false" customHeight="true" outlineLevel="0" collapsed="false">
      <c r="A239" s="35" t="s">
        <v>285</v>
      </c>
      <c r="B239" s="32" t="s">
        <v>285</v>
      </c>
      <c r="C239" s="32" t="s">
        <v>342</v>
      </c>
      <c r="D239" s="32" t="s">
        <v>22</v>
      </c>
      <c r="E239" s="30" t="b">
        <f aca="false">FALSE()</f>
        <v>0</v>
      </c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customFormat="false" ht="19.5" hidden="false" customHeight="true" outlineLevel="0" collapsed="false">
      <c r="A240" s="35" t="s">
        <v>209</v>
      </c>
      <c r="B240" s="32" t="s">
        <v>209</v>
      </c>
      <c r="C240" s="32" t="s">
        <v>343</v>
      </c>
      <c r="D240" s="32" t="s">
        <v>23</v>
      </c>
      <c r="E240" s="30" t="b">
        <f aca="false">FALSE()</f>
        <v>0</v>
      </c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customFormat="false" ht="19.5" hidden="false" customHeight="true" outlineLevel="0" collapsed="false">
      <c r="A241" s="35" t="s">
        <v>317</v>
      </c>
      <c r="B241" s="32" t="s">
        <v>317</v>
      </c>
      <c r="C241" s="32" t="s">
        <v>342</v>
      </c>
      <c r="D241" s="32" t="s">
        <v>25</v>
      </c>
      <c r="E241" s="30" t="b">
        <f aca="false">FALSE()</f>
        <v>0</v>
      </c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customFormat="false" ht="19.5" hidden="false" customHeight="true" outlineLevel="0" collapsed="false">
      <c r="A242" s="35" t="s">
        <v>247</v>
      </c>
      <c r="B242" s="32" t="s">
        <v>247</v>
      </c>
      <c r="C242" s="32" t="s">
        <v>342</v>
      </c>
      <c r="D242" s="32" t="s">
        <v>27</v>
      </c>
      <c r="E242" s="30" t="b">
        <f aca="false">FALSE()</f>
        <v>0</v>
      </c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customFormat="false" ht="19.5" hidden="false" customHeight="true" outlineLevel="0" collapsed="false">
      <c r="A243" s="35" t="s">
        <v>144</v>
      </c>
      <c r="B243" s="32" t="s">
        <v>144</v>
      </c>
      <c r="C243" s="32" t="s">
        <v>342</v>
      </c>
      <c r="D243" s="32" t="s">
        <v>25</v>
      </c>
      <c r="E243" s="30" t="b">
        <f aca="false">FALSE()</f>
        <v>0</v>
      </c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customFormat="false" ht="19.5" hidden="false" customHeight="true" outlineLevel="0" collapsed="false">
      <c r="A244" s="35" t="s">
        <v>246</v>
      </c>
      <c r="B244" s="32" t="s">
        <v>246</v>
      </c>
      <c r="C244" s="32" t="s">
        <v>342</v>
      </c>
      <c r="D244" s="32" t="s">
        <v>25</v>
      </c>
      <c r="E244" s="30" t="b">
        <f aca="false">FALSE()</f>
        <v>0</v>
      </c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customFormat="false" ht="19.5" hidden="false" customHeight="true" outlineLevel="0" collapsed="false">
      <c r="A245" s="35" t="s">
        <v>210</v>
      </c>
      <c r="B245" s="32" t="s">
        <v>210</v>
      </c>
      <c r="C245" s="32" t="s">
        <v>343</v>
      </c>
      <c r="D245" s="32" t="s">
        <v>21</v>
      </c>
      <c r="E245" s="30" t="b">
        <f aca="false">FALSE()</f>
        <v>0</v>
      </c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customFormat="false" ht="19.5" hidden="false" customHeight="true" outlineLevel="0" collapsed="false">
      <c r="A246" s="35" t="s">
        <v>170</v>
      </c>
      <c r="B246" s="32" t="s">
        <v>170</v>
      </c>
      <c r="C246" s="32" t="s">
        <v>342</v>
      </c>
      <c r="D246" s="32" t="s">
        <v>23</v>
      </c>
      <c r="E246" s="30" t="b">
        <f aca="false">FALSE()</f>
        <v>0</v>
      </c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customFormat="false" ht="19.5" hidden="false" customHeight="true" outlineLevel="0" collapsed="false">
      <c r="A247" s="35" t="s">
        <v>171</v>
      </c>
      <c r="B247" s="32" t="s">
        <v>171</v>
      </c>
      <c r="C247" s="32" t="s">
        <v>342</v>
      </c>
      <c r="D247" s="32" t="s">
        <v>23</v>
      </c>
      <c r="E247" s="30" t="b">
        <f aca="false">FALSE()</f>
        <v>0</v>
      </c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customFormat="false" ht="19.5" hidden="false" customHeight="true" outlineLevel="0" collapsed="false">
      <c r="A248" s="35" t="s">
        <v>121</v>
      </c>
      <c r="B248" s="32" t="s">
        <v>121</v>
      </c>
      <c r="C248" s="32" t="s">
        <v>342</v>
      </c>
      <c r="D248" s="32" t="s">
        <v>25</v>
      </c>
      <c r="E248" s="30" t="b">
        <f aca="false">FALSE()</f>
        <v>0</v>
      </c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customFormat="false" ht="19.5" hidden="false" customHeight="true" outlineLevel="0" collapsed="false">
      <c r="A249" s="35" t="s">
        <v>172</v>
      </c>
      <c r="B249" s="32" t="s">
        <v>172</v>
      </c>
      <c r="C249" s="32" t="s">
        <v>343</v>
      </c>
      <c r="D249" s="32" t="s">
        <v>23</v>
      </c>
      <c r="E249" s="30" t="b">
        <f aca="false">FALSE()</f>
        <v>0</v>
      </c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customFormat="false" ht="19.5" hidden="false" customHeight="true" outlineLevel="0" collapsed="false">
      <c r="A250" s="35" t="s">
        <v>74</v>
      </c>
      <c r="B250" s="32" t="s">
        <v>74</v>
      </c>
      <c r="C250" s="32" t="s">
        <v>343</v>
      </c>
      <c r="D250" s="32" t="s">
        <v>20</v>
      </c>
      <c r="E250" s="30" t="b">
        <f aca="false">FALSE()</f>
        <v>0</v>
      </c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customFormat="false" ht="19.5" hidden="false" customHeight="true" outlineLevel="0" collapsed="false">
      <c r="A251" s="35" t="s">
        <v>173</v>
      </c>
      <c r="B251" s="32" t="s">
        <v>173</v>
      </c>
      <c r="C251" s="32" t="s">
        <v>343</v>
      </c>
      <c r="D251" s="32" t="s">
        <v>21</v>
      </c>
      <c r="E251" s="30" t="b">
        <f aca="false">FALSE()</f>
        <v>0</v>
      </c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customFormat="false" ht="19.5" hidden="false" customHeight="true" outlineLevel="0" collapsed="false">
      <c r="A252" s="35" t="s">
        <v>145</v>
      </c>
      <c r="B252" s="32" t="s">
        <v>145</v>
      </c>
      <c r="C252" s="32" t="s">
        <v>343</v>
      </c>
      <c r="D252" s="32" t="s">
        <v>20</v>
      </c>
      <c r="E252" s="30" t="b">
        <f aca="false">FALSE()</f>
        <v>0</v>
      </c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customFormat="false" ht="19.5" hidden="false" customHeight="true" outlineLevel="0" collapsed="false">
      <c r="A253" s="35" t="s">
        <v>211</v>
      </c>
      <c r="B253" s="32" t="s">
        <v>211</v>
      </c>
      <c r="C253" s="32" t="s">
        <v>342</v>
      </c>
      <c r="D253" s="32" t="s">
        <v>25</v>
      </c>
      <c r="E253" s="30" t="b">
        <f aca="false">FALSE()</f>
        <v>0</v>
      </c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customFormat="false" ht="19.5" hidden="false" customHeight="true" outlineLevel="0" collapsed="false">
      <c r="A254" s="35" t="s">
        <v>286</v>
      </c>
      <c r="B254" s="32" t="s">
        <v>286</v>
      </c>
      <c r="C254" s="32" t="s">
        <v>343</v>
      </c>
      <c r="D254" s="32" t="s">
        <v>23</v>
      </c>
      <c r="E254" s="30" t="b">
        <f aca="false">FALSE()</f>
        <v>0</v>
      </c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customFormat="false" ht="19.5" hidden="false" customHeight="true" outlineLevel="0" collapsed="false">
      <c r="A255" s="35" t="s">
        <v>248</v>
      </c>
      <c r="B255" s="32" t="s">
        <v>248</v>
      </c>
      <c r="C255" s="32" t="s">
        <v>343</v>
      </c>
      <c r="D255" s="32" t="s">
        <v>23</v>
      </c>
      <c r="E255" s="30" t="b">
        <f aca="false">FALSE()</f>
        <v>0</v>
      </c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customFormat="false" ht="19.5" hidden="false" customHeight="true" outlineLevel="0" collapsed="false">
      <c r="A256" s="35" t="s">
        <v>249</v>
      </c>
      <c r="B256" s="32" t="s">
        <v>249</v>
      </c>
      <c r="C256" s="32" t="s">
        <v>343</v>
      </c>
      <c r="D256" s="32" t="s">
        <v>21</v>
      </c>
      <c r="E256" s="30" t="b">
        <f aca="false">FALSE()</f>
        <v>0</v>
      </c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customFormat="false" ht="19.5" hidden="false" customHeight="true" outlineLevel="0" collapsed="false">
      <c r="A257" s="35" t="s">
        <v>90</v>
      </c>
      <c r="B257" s="32" t="s">
        <v>90</v>
      </c>
      <c r="C257" s="32" t="s">
        <v>342</v>
      </c>
      <c r="D257" s="32" t="s">
        <v>26</v>
      </c>
      <c r="E257" s="30" t="b">
        <f aca="false">TRUE()</f>
        <v>1</v>
      </c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customFormat="false" ht="19.5" hidden="false" customHeight="true" outlineLevel="0" collapsed="false">
      <c r="A258" s="35" t="s">
        <v>287</v>
      </c>
      <c r="B258" s="32" t="s">
        <v>287</v>
      </c>
      <c r="C258" s="32" t="s">
        <v>343</v>
      </c>
      <c r="D258" s="32" t="s">
        <v>22</v>
      </c>
      <c r="E258" s="30" t="b">
        <f aca="false">FALSE()</f>
        <v>0</v>
      </c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customFormat="false" ht="19.5" hidden="false" customHeight="true" outlineLevel="0" collapsed="false">
      <c r="A259" s="35" t="s">
        <v>212</v>
      </c>
      <c r="B259" s="32" t="s">
        <v>212</v>
      </c>
      <c r="C259" s="32" t="s">
        <v>342</v>
      </c>
      <c r="D259" s="32" t="s">
        <v>20</v>
      </c>
      <c r="E259" s="30" t="b">
        <f aca="false">FALSE()</f>
        <v>0</v>
      </c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customFormat="false" ht="19.5" hidden="false" customHeight="true" outlineLevel="0" collapsed="false">
      <c r="A260" s="35" t="s">
        <v>319</v>
      </c>
      <c r="B260" s="32" t="s">
        <v>319</v>
      </c>
      <c r="C260" s="32" t="s">
        <v>342</v>
      </c>
      <c r="D260" s="32" t="s">
        <v>25</v>
      </c>
      <c r="E260" s="30" t="b">
        <f aca="false">FALSE()</f>
        <v>0</v>
      </c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customFormat="false" ht="19.5" hidden="false" customHeight="true" outlineLevel="0" collapsed="false">
      <c r="A261" s="35" t="s">
        <v>320</v>
      </c>
      <c r="B261" s="32" t="s">
        <v>320</v>
      </c>
      <c r="C261" s="32" t="s">
        <v>342</v>
      </c>
      <c r="D261" s="32" t="s">
        <v>25</v>
      </c>
      <c r="E261" s="30" t="b">
        <f aca="false">FALSE()</f>
        <v>0</v>
      </c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customFormat="false" ht="19.5" hidden="false" customHeight="true" outlineLevel="0" collapsed="false">
      <c r="A262" s="35" t="s">
        <v>250</v>
      </c>
      <c r="B262" s="32" t="s">
        <v>250</v>
      </c>
      <c r="C262" s="32" t="s">
        <v>342</v>
      </c>
      <c r="D262" s="32" t="s">
        <v>25</v>
      </c>
      <c r="E262" s="30" t="b">
        <f aca="false">FALSE()</f>
        <v>0</v>
      </c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customFormat="false" ht="19.5" hidden="false" customHeight="true" outlineLevel="0" collapsed="false">
      <c r="A263" s="35" t="s">
        <v>321</v>
      </c>
      <c r="B263" s="32" t="s">
        <v>321</v>
      </c>
      <c r="C263" s="32" t="s">
        <v>342</v>
      </c>
      <c r="D263" s="32" t="s">
        <v>23</v>
      </c>
      <c r="E263" s="30" t="b">
        <f aca="false">FALSE()</f>
        <v>0</v>
      </c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customFormat="false" ht="19.5" hidden="false" customHeight="true" outlineLevel="0" collapsed="false">
      <c r="A264" s="35" t="s">
        <v>174</v>
      </c>
      <c r="B264" s="32" t="s">
        <v>174</v>
      </c>
      <c r="C264" s="32" t="s">
        <v>342</v>
      </c>
      <c r="D264" s="32" t="s">
        <v>20</v>
      </c>
      <c r="E264" s="30" t="b">
        <f aca="false">FALSE()</f>
        <v>0</v>
      </c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customFormat="false" ht="19.5" hidden="false" customHeight="true" outlineLevel="0" collapsed="false">
      <c r="A265" s="35" t="s">
        <v>251</v>
      </c>
      <c r="B265" s="32" t="s">
        <v>251</v>
      </c>
      <c r="C265" s="32" t="s">
        <v>342</v>
      </c>
      <c r="D265" s="32" t="s">
        <v>21</v>
      </c>
      <c r="E265" s="30" t="b">
        <f aca="false">FALSE()</f>
        <v>0</v>
      </c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customFormat="false" ht="19.5" hidden="false" customHeight="true" outlineLevel="0" collapsed="false">
      <c r="A266" s="35" t="s">
        <v>75</v>
      </c>
      <c r="B266" s="32" t="s">
        <v>75</v>
      </c>
      <c r="C266" s="32" t="s">
        <v>342</v>
      </c>
      <c r="D266" s="32" t="s">
        <v>20</v>
      </c>
      <c r="E266" s="30" t="b">
        <f aca="false">FALSE()</f>
        <v>0</v>
      </c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customFormat="false" ht="19.5" hidden="false" customHeight="true" outlineLevel="0" collapsed="false">
      <c r="A267" s="35" t="s">
        <v>322</v>
      </c>
      <c r="B267" s="32" t="s">
        <v>322</v>
      </c>
      <c r="C267" s="32" t="s">
        <v>342</v>
      </c>
      <c r="D267" s="32" t="s">
        <v>23</v>
      </c>
      <c r="E267" s="30" t="b">
        <f aca="false">FALSE()</f>
        <v>0</v>
      </c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customFormat="false" ht="19.5" hidden="false" customHeight="true" outlineLevel="0" collapsed="false">
      <c r="A268" s="35" t="s">
        <v>175</v>
      </c>
      <c r="B268" s="32" t="s">
        <v>175</v>
      </c>
      <c r="C268" s="32" t="s">
        <v>343</v>
      </c>
      <c r="D268" s="32" t="s">
        <v>25</v>
      </c>
      <c r="E268" s="30" t="b">
        <f aca="false">FALSE()</f>
        <v>0</v>
      </c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customFormat="false" ht="19.5" hidden="false" customHeight="true" outlineLevel="0" collapsed="false">
      <c r="A269" s="35" t="s">
        <v>91</v>
      </c>
      <c r="B269" s="32" t="s">
        <v>91</v>
      </c>
      <c r="C269" s="32" t="s">
        <v>342</v>
      </c>
      <c r="D269" s="32" t="s">
        <v>23</v>
      </c>
      <c r="E269" s="30" t="b">
        <f aca="false">FALSE()</f>
        <v>0</v>
      </c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customFormat="false" ht="19.5" hidden="false" customHeight="true" outlineLevel="0" collapsed="false">
      <c r="A270" s="35" t="s">
        <v>213</v>
      </c>
      <c r="B270" s="32" t="s">
        <v>213</v>
      </c>
      <c r="C270" s="32" t="s">
        <v>343</v>
      </c>
      <c r="D270" s="32" t="s">
        <v>23</v>
      </c>
      <c r="E270" s="30" t="b">
        <f aca="false">FALSE()</f>
        <v>0</v>
      </c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customFormat="false" ht="19.5" hidden="false" customHeight="true" outlineLevel="0" collapsed="false">
      <c r="A271" s="35" t="s">
        <v>323</v>
      </c>
      <c r="B271" s="32" t="s">
        <v>323</v>
      </c>
      <c r="C271" s="32" t="s">
        <v>342</v>
      </c>
      <c r="D271" s="32" t="s">
        <v>21</v>
      </c>
      <c r="E271" s="30" t="b">
        <f aca="false">FALSE()</f>
        <v>0</v>
      </c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customFormat="false" ht="19.5" hidden="false" customHeight="true" outlineLevel="0" collapsed="false">
      <c r="A272" s="35" t="s">
        <v>253</v>
      </c>
      <c r="B272" s="32" t="s">
        <v>253</v>
      </c>
      <c r="C272" s="32" t="s">
        <v>343</v>
      </c>
      <c r="D272" s="32" t="s">
        <v>26</v>
      </c>
      <c r="E272" s="30" t="b">
        <f aca="false">FALSE()</f>
        <v>0</v>
      </c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customFormat="false" ht="19.5" hidden="false" customHeight="true" outlineLevel="0" collapsed="false">
      <c r="A273" s="35" t="s">
        <v>252</v>
      </c>
      <c r="B273" s="32" t="s">
        <v>252</v>
      </c>
      <c r="C273" s="32" t="s">
        <v>342</v>
      </c>
      <c r="D273" s="32" t="s">
        <v>23</v>
      </c>
      <c r="E273" s="30" t="b">
        <f aca="false">FALSE()</f>
        <v>0</v>
      </c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customFormat="false" ht="19.5" hidden="false" customHeight="true" outlineLevel="0" collapsed="false">
      <c r="A274" s="35" t="s">
        <v>254</v>
      </c>
      <c r="B274" s="32" t="s">
        <v>254</v>
      </c>
      <c r="C274" s="32" t="s">
        <v>342</v>
      </c>
      <c r="D274" s="32" t="s">
        <v>23</v>
      </c>
      <c r="E274" s="30" t="b">
        <f aca="false">FALSE()</f>
        <v>0</v>
      </c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customFormat="false" ht="19.5" hidden="false" customHeight="true" outlineLevel="0" collapsed="false">
      <c r="A275" s="35" t="s">
        <v>214</v>
      </c>
      <c r="B275" s="32" t="s">
        <v>214</v>
      </c>
      <c r="C275" s="32" t="s">
        <v>343</v>
      </c>
      <c r="D275" s="32" t="s">
        <v>23</v>
      </c>
      <c r="E275" s="30" t="b">
        <f aca="false">FALSE()</f>
        <v>0</v>
      </c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customFormat="false" ht="19.5" hidden="false" customHeight="true" outlineLevel="0" collapsed="false">
      <c r="A276" s="35" t="s">
        <v>122</v>
      </c>
      <c r="B276" s="32" t="s">
        <v>122</v>
      </c>
      <c r="C276" s="32" t="s">
        <v>342</v>
      </c>
      <c r="D276" s="32" t="s">
        <v>21</v>
      </c>
      <c r="E276" s="30" t="b">
        <f aca="false">FALSE()</f>
        <v>0</v>
      </c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customFormat="false" ht="19.5" hidden="false" customHeight="true" outlineLevel="0" collapsed="false">
      <c r="A277" s="35" t="s">
        <v>176</v>
      </c>
      <c r="B277" s="32" t="s">
        <v>176</v>
      </c>
      <c r="C277" s="32" t="s">
        <v>342</v>
      </c>
      <c r="D277" s="32" t="s">
        <v>23</v>
      </c>
      <c r="E277" s="30" t="b">
        <f aca="false">FALSE()</f>
        <v>0</v>
      </c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customFormat="false" ht="19.5" hidden="false" customHeight="true" outlineLevel="0" collapsed="false">
      <c r="A278" s="35" t="s">
        <v>288</v>
      </c>
      <c r="B278" s="32" t="s">
        <v>288</v>
      </c>
      <c r="C278" s="32" t="s">
        <v>342</v>
      </c>
      <c r="D278" s="32" t="s">
        <v>25</v>
      </c>
      <c r="E278" s="30" t="b">
        <f aca="false">FALSE()</f>
        <v>0</v>
      </c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customFormat="false" ht="19.5" hidden="false" customHeight="true" outlineLevel="0" collapsed="false">
      <c r="A279" s="35" t="s">
        <v>324</v>
      </c>
      <c r="B279" s="32" t="s">
        <v>324</v>
      </c>
      <c r="C279" s="32" t="s">
        <v>342</v>
      </c>
      <c r="D279" s="32" t="s">
        <v>25</v>
      </c>
      <c r="E279" s="30" t="b">
        <f aca="false">FALSE()</f>
        <v>0</v>
      </c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customFormat="false" ht="19.5" hidden="false" customHeight="true" outlineLevel="0" collapsed="false">
      <c r="A280" s="35" t="s">
        <v>215</v>
      </c>
      <c r="B280" s="32" t="s">
        <v>215</v>
      </c>
      <c r="C280" s="32" t="s">
        <v>342</v>
      </c>
      <c r="D280" s="32" t="s">
        <v>23</v>
      </c>
      <c r="E280" s="30" t="b">
        <f aca="false">FALSE()</f>
        <v>0</v>
      </c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customFormat="false" ht="19.5" hidden="false" customHeight="true" outlineLevel="0" collapsed="false">
      <c r="A281" s="35" t="s">
        <v>177</v>
      </c>
      <c r="B281" s="32" t="s">
        <v>177</v>
      </c>
      <c r="C281" s="32" t="s">
        <v>342</v>
      </c>
      <c r="D281" s="32" t="s">
        <v>25</v>
      </c>
      <c r="E281" s="30" t="b">
        <f aca="false">FALSE()</f>
        <v>0</v>
      </c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customFormat="false" ht="19.5" hidden="false" customHeight="true" outlineLevel="0" collapsed="false">
      <c r="A282" s="32"/>
      <c r="B282" s="32" t="s">
        <v>282</v>
      </c>
      <c r="C282" s="32" t="s">
        <v>343</v>
      </c>
      <c r="D282" s="32" t="s">
        <v>26</v>
      </c>
      <c r="E282" s="30" t="b">
        <f aca="false">FALSE()</f>
        <v>0</v>
      </c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customFormat="false" ht="19.5" hidden="false" customHeight="true" outlineLevel="0" collapsed="false">
      <c r="A283" s="32"/>
      <c r="B283" s="15" t="s">
        <v>328</v>
      </c>
      <c r="C283" s="32" t="s">
        <v>343</v>
      </c>
      <c r="D283" s="32" t="s">
        <v>21</v>
      </c>
      <c r="E283" s="30" t="b">
        <f aca="false">FALSE()</f>
        <v>0</v>
      </c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customFormat="false" ht="19.5" hidden="false" customHeight="true" outlineLevel="0" collapsed="false">
      <c r="A284" s="32"/>
      <c r="B284" s="32" t="s">
        <v>329</v>
      </c>
      <c r="C284" s="32" t="s">
        <v>343</v>
      </c>
      <c r="D284" s="32" t="s">
        <v>23</v>
      </c>
      <c r="E284" s="30" t="b">
        <f aca="false">FALSE()</f>
        <v>0</v>
      </c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customFormat="false" ht="19.5" hidden="false" customHeight="true" outlineLevel="0" collapsed="false">
      <c r="A285" s="32"/>
      <c r="B285" s="32" t="s">
        <v>346</v>
      </c>
      <c r="C285" s="32" t="s">
        <v>342</v>
      </c>
      <c r="D285" s="32" t="s">
        <v>24</v>
      </c>
      <c r="E285" s="30" t="b">
        <f aca="false">FALSE()</f>
        <v>0</v>
      </c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customFormat="false" ht="19.5" hidden="false" customHeight="true" outlineLevel="0" collapsed="false">
      <c r="A286" s="32"/>
      <c r="B286" s="32" t="s">
        <v>347</v>
      </c>
      <c r="C286" s="32" t="s">
        <v>342</v>
      </c>
      <c r="D286" s="32" t="s">
        <v>24</v>
      </c>
      <c r="E286" s="30" t="b">
        <f aca="false">FALSE()</f>
        <v>0</v>
      </c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customFormat="false" ht="19.5" hidden="false" customHeight="true" outlineLevel="0" collapsed="false">
      <c r="A287" s="32"/>
      <c r="B287" s="32" t="s">
        <v>348</v>
      </c>
      <c r="C287" s="32" t="s">
        <v>342</v>
      </c>
      <c r="D287" s="32" t="s">
        <v>24</v>
      </c>
      <c r="E287" s="30" t="b">
        <f aca="false">FALSE()</f>
        <v>0</v>
      </c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customFormat="false" ht="19.5" hidden="false" customHeight="true" outlineLevel="0" collapsed="false">
      <c r="A288" s="32"/>
      <c r="B288" s="32" t="s">
        <v>349</v>
      </c>
      <c r="C288" s="32" t="s">
        <v>343</v>
      </c>
      <c r="D288" s="32" t="s">
        <v>24</v>
      </c>
      <c r="E288" s="30" t="b">
        <f aca="false">FALSE()</f>
        <v>0</v>
      </c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customFormat="false" ht="19.5" hidden="false" customHeight="true" outlineLevel="0" collapsed="false">
      <c r="A289" s="32"/>
      <c r="B289" s="32" t="s">
        <v>344</v>
      </c>
      <c r="C289" s="32" t="s">
        <v>343</v>
      </c>
      <c r="D289" s="32" t="s">
        <v>22</v>
      </c>
      <c r="E289" s="30" t="b">
        <f aca="false">FALSE()</f>
        <v>0</v>
      </c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customFormat="false" ht="19.5" hidden="false" customHeight="true" outlineLevel="0" collapsed="false">
      <c r="A290" s="32"/>
      <c r="B290" s="32" t="s">
        <v>350</v>
      </c>
      <c r="C290" s="32" t="s">
        <v>342</v>
      </c>
      <c r="D290" s="32" t="s">
        <v>24</v>
      </c>
      <c r="E290" s="30" t="b">
        <f aca="false">FALSE()</f>
        <v>0</v>
      </c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customFormat="false" ht="19.5" hidden="false" customHeight="true" outlineLevel="0" collapsed="false">
      <c r="A291" s="32"/>
      <c r="B291" s="32" t="s">
        <v>351</v>
      </c>
      <c r="C291" s="32" t="s">
        <v>343</v>
      </c>
      <c r="D291" s="32" t="s">
        <v>21</v>
      </c>
      <c r="E291" s="30" t="b">
        <f aca="false">FALSE()</f>
        <v>0</v>
      </c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customFormat="false" ht="19.5" hidden="false" customHeight="true" outlineLevel="0" collapsed="false">
      <c r="A292" s="32"/>
      <c r="B292" s="32" t="s">
        <v>352</v>
      </c>
      <c r="C292" s="32" t="s">
        <v>343</v>
      </c>
      <c r="D292" s="32" t="s">
        <v>24</v>
      </c>
      <c r="E292" s="30" t="b">
        <f aca="false">FALSE()</f>
        <v>0</v>
      </c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customFormat="false" ht="19.5" hidden="false" customHeight="true" outlineLevel="0" collapsed="false">
      <c r="A293" s="32"/>
      <c r="B293" s="32" t="s">
        <v>353</v>
      </c>
      <c r="C293" s="32" t="s">
        <v>342</v>
      </c>
      <c r="D293" s="32" t="s">
        <v>26</v>
      </c>
      <c r="E293" s="30" t="b">
        <f aca="false">FALSE()</f>
        <v>0</v>
      </c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customFormat="false" ht="19.5" hidden="false" customHeight="true" outlineLevel="0" collapsed="false">
      <c r="A294" s="32"/>
      <c r="B294" s="32" t="s">
        <v>354</v>
      </c>
      <c r="C294" s="32" t="s">
        <v>342</v>
      </c>
      <c r="D294" s="32" t="s">
        <v>24</v>
      </c>
      <c r="E294" s="30" t="b">
        <f aca="false">FALSE()</f>
        <v>0</v>
      </c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customFormat="false" ht="19.5" hidden="false" customHeight="true" outlineLevel="0" collapsed="false">
      <c r="A295" s="32"/>
      <c r="B295" s="32" t="s">
        <v>355</v>
      </c>
      <c r="C295" s="32" t="s">
        <v>342</v>
      </c>
      <c r="D295" s="32" t="s">
        <v>21</v>
      </c>
      <c r="E295" s="30" t="b">
        <f aca="false">FALSE()</f>
        <v>0</v>
      </c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customFormat="false" ht="19.5" hidden="false" customHeight="true" outlineLevel="0" collapsed="false">
      <c r="A296" s="32"/>
      <c r="B296" s="18" t="s">
        <v>356</v>
      </c>
      <c r="C296" s="32" t="s">
        <v>357</v>
      </c>
      <c r="D296" s="32" t="s">
        <v>24</v>
      </c>
      <c r="E296" s="30" t="b">
        <f aca="false">FALSE()</f>
        <v>0</v>
      </c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customFormat="false" ht="19.5" hidden="false" customHeight="true" outlineLevel="0" collapsed="false">
      <c r="A297" s="32"/>
      <c r="B297" s="32" t="s">
        <v>358</v>
      </c>
      <c r="C297" s="32" t="s">
        <v>343</v>
      </c>
      <c r="D297" s="32" t="s">
        <v>24</v>
      </c>
      <c r="E297" s="30" t="b">
        <f aca="false">FALSE()</f>
        <v>0</v>
      </c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customFormat="false" ht="19.5" hidden="false" customHeight="true" outlineLevel="0" collapsed="false">
      <c r="A298" s="32"/>
      <c r="B298" s="32" t="s">
        <v>359</v>
      </c>
      <c r="C298" s="32" t="s">
        <v>342</v>
      </c>
      <c r="D298" s="32" t="s">
        <v>22</v>
      </c>
      <c r="E298" s="30" t="b">
        <f aca="false">FALSE()</f>
        <v>0</v>
      </c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customFormat="false" ht="19.5" hidden="false" customHeight="true" outlineLevel="0" collapsed="false">
      <c r="A299" s="32"/>
      <c r="B299" s="32" t="s">
        <v>360</v>
      </c>
      <c r="C299" s="32"/>
      <c r="D299" s="32"/>
      <c r="E299" s="30" t="b">
        <f aca="false">FALSE()</f>
        <v>0</v>
      </c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customFormat="false" ht="19.5" hidden="false" customHeight="true" outlineLevel="0" collapsed="false">
      <c r="A300" s="32"/>
      <c r="B300" s="32" t="s">
        <v>361</v>
      </c>
      <c r="C300" s="32"/>
      <c r="D300" s="32"/>
      <c r="E300" s="30" t="b">
        <f aca="false">FALSE()</f>
        <v>0</v>
      </c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customFormat="false" ht="19.5" hidden="false" customHeight="true" outlineLevel="0" collapsed="false">
      <c r="A301" s="32"/>
      <c r="B301" s="32" t="s">
        <v>362</v>
      </c>
      <c r="C301" s="32"/>
      <c r="D301" s="32"/>
      <c r="E301" s="30" t="b">
        <f aca="false">FALSE()</f>
        <v>0</v>
      </c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customFormat="false" ht="19.5" hidden="false" customHeight="true" outlineLevel="0" collapsed="false">
      <c r="A302" s="32"/>
      <c r="B302" s="32" t="s">
        <v>363</v>
      </c>
      <c r="C302" s="32"/>
      <c r="D302" s="32"/>
      <c r="E302" s="30" t="b">
        <f aca="false">FALSE()</f>
        <v>0</v>
      </c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customFormat="false" ht="19.5" hidden="false" customHeight="true" outlineLevel="0" collapsed="false">
      <c r="A303" s="32"/>
      <c r="B303" s="32" t="s">
        <v>364</v>
      </c>
      <c r="C303" s="32"/>
      <c r="D303" s="32"/>
      <c r="E303" s="30" t="b">
        <f aca="false">FALSE()</f>
        <v>0</v>
      </c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customFormat="false" ht="19.5" hidden="false" customHeight="true" outlineLevel="0" collapsed="false">
      <c r="A304" s="32"/>
      <c r="B304" s="32" t="s">
        <v>365</v>
      </c>
      <c r="C304" s="32"/>
      <c r="D304" s="32"/>
      <c r="E304" s="30" t="b">
        <f aca="false">FALSE()</f>
        <v>0</v>
      </c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customFormat="false" ht="19.5" hidden="false" customHeight="true" outlineLevel="0" collapsed="false">
      <c r="A305" s="32"/>
      <c r="B305" s="32" t="s">
        <v>363</v>
      </c>
      <c r="C305" s="32"/>
      <c r="D305" s="32"/>
      <c r="E305" s="30" t="b">
        <f aca="false">FALSE()</f>
        <v>0</v>
      </c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customFormat="false" ht="19.5" hidden="false" customHeight="true" outlineLevel="0" collapsed="false">
      <c r="A306" s="32"/>
      <c r="B306" s="32" t="s">
        <v>366</v>
      </c>
      <c r="C306" s="32"/>
      <c r="D306" s="32"/>
      <c r="E306" s="30" t="b">
        <f aca="false">FALSE()</f>
        <v>0</v>
      </c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customFormat="false" ht="19.5" hidden="false" customHeight="true" outlineLevel="0" collapsed="false">
      <c r="A307" s="32"/>
      <c r="B307" s="18" t="s">
        <v>367</v>
      </c>
      <c r="C307" s="32"/>
      <c r="D307" s="32"/>
      <c r="E307" s="30" t="b">
        <f aca="false">FALSE()</f>
        <v>0</v>
      </c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customFormat="false" ht="19.5" hidden="false" customHeight="true" outlineLevel="0" collapsed="false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customFormat="false" ht="19.5" hidden="false" customHeight="true" outlineLevel="0" collapsed="false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customFormat="false" ht="19.5" hidden="false" customHeight="true" outlineLevel="0" collapsed="false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customFormat="false" ht="19.5" hidden="false" customHeight="true" outlineLevel="0" collapsed="false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customFormat="false" ht="19.5" hidden="false" customHeight="true" outlineLevel="0" collapsed="false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customFormat="false" ht="19.5" hidden="false" customHeight="true" outlineLevel="0" collapsed="false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customFormat="false" ht="19.5" hidden="false" customHeight="true" outlineLevel="0" collapsed="false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customFormat="false" ht="19.5" hidden="false" customHeight="true" outlineLevel="0" collapsed="false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customFormat="false" ht="19.5" hidden="false" customHeight="true" outlineLevel="0" collapsed="false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customFormat="false" ht="19.5" hidden="false" customHeight="true" outlineLevel="0" collapsed="false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customFormat="false" ht="19.5" hidden="false" customHeight="true" outlineLevel="0" collapsed="false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customFormat="false" ht="19.5" hidden="false" customHeight="true" outlineLevel="0" collapsed="false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customFormat="false" ht="19.5" hidden="false" customHeight="true" outlineLevel="0" collapsed="false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customFormat="false" ht="19.5" hidden="false" customHeight="true" outlineLevel="0" collapsed="false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customFormat="false" ht="19.5" hidden="false" customHeight="true" outlineLevel="0" collapsed="false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customFormat="false" ht="19.5" hidden="false" customHeight="true" outlineLevel="0" collapsed="false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customFormat="false" ht="19.5" hidden="false" customHeight="true" outlineLevel="0" collapsed="false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customFormat="false" ht="19.5" hidden="false" customHeight="true" outlineLevel="0" collapsed="false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customFormat="false" ht="19.5" hidden="false" customHeight="true" outlineLevel="0" collapsed="false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customFormat="false" ht="19.5" hidden="false" customHeight="true" outlineLevel="0" collapsed="false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customFormat="false" ht="19.5" hidden="false" customHeight="true" outlineLevel="0" collapsed="false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customFormat="false" ht="19.5" hidden="false" customHeight="true" outlineLevel="0" collapsed="false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customFormat="false" ht="19.5" hidden="false" customHeight="true" outlineLevel="0" collapsed="false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customFormat="false" ht="19.5" hidden="false" customHeight="true" outlineLevel="0" collapsed="false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customFormat="false" ht="19.5" hidden="false" customHeight="true" outlineLevel="0" collapsed="false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customFormat="false" ht="19.5" hidden="false" customHeight="true" outlineLevel="0" collapsed="false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customFormat="false" ht="19.5" hidden="false" customHeight="true" outlineLevel="0" collapsed="false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customFormat="false" ht="19.5" hidden="false" customHeight="true" outlineLevel="0" collapsed="false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customFormat="false" ht="19.5" hidden="false" customHeight="true" outlineLevel="0" collapsed="false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customFormat="false" ht="19.5" hidden="false" customHeight="true" outlineLevel="0" collapsed="false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customFormat="false" ht="19.5" hidden="false" customHeight="true" outlineLevel="0" collapsed="false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customFormat="false" ht="19.5" hidden="false" customHeight="true" outlineLevel="0" collapsed="false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customFormat="false" ht="19.5" hidden="false" customHeight="true" outlineLevel="0" collapsed="false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customFormat="false" ht="19.5" hidden="false" customHeight="true" outlineLevel="0" collapsed="false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customFormat="false" ht="19.5" hidden="false" customHeight="true" outlineLevel="0" collapsed="false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customFormat="false" ht="19.5" hidden="false" customHeight="true" outlineLevel="0" collapsed="false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customFormat="false" ht="19.5" hidden="false" customHeight="true" outlineLevel="0" collapsed="false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customFormat="false" ht="19.5" hidden="false" customHeight="true" outlineLevel="0" collapsed="false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customFormat="false" ht="19.5" hidden="false" customHeight="true" outlineLevel="0" collapsed="false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customFormat="false" ht="19.5" hidden="false" customHeight="true" outlineLevel="0" collapsed="false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customFormat="false" ht="19.5" hidden="false" customHeight="true" outlineLevel="0" collapsed="false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customFormat="false" ht="19.5" hidden="false" customHeight="true" outlineLevel="0" collapsed="false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customFormat="false" ht="19.5" hidden="false" customHeight="true" outlineLevel="0" collapsed="false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customFormat="false" ht="19.5" hidden="false" customHeight="true" outlineLevel="0" collapsed="false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customFormat="false" ht="19.5" hidden="false" customHeight="true" outlineLevel="0" collapsed="false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customFormat="false" ht="19.5" hidden="false" customHeight="true" outlineLevel="0" collapsed="false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customFormat="false" ht="19.5" hidden="false" customHeight="true" outlineLevel="0" collapsed="false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customFormat="false" ht="19.5" hidden="false" customHeight="true" outlineLevel="0" collapsed="false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customFormat="false" ht="19.5" hidden="false" customHeight="true" outlineLevel="0" collapsed="false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customFormat="false" ht="19.5" hidden="false" customHeight="true" outlineLevel="0" collapsed="false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customFormat="false" ht="19.5" hidden="false" customHeight="true" outlineLevel="0" collapsed="false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customFormat="false" ht="19.5" hidden="false" customHeight="true" outlineLevel="0" collapsed="false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customFormat="false" ht="19.5" hidden="false" customHeight="true" outlineLevel="0" collapsed="false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customFormat="false" ht="19.5" hidden="false" customHeight="true" outlineLevel="0" collapsed="false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customFormat="false" ht="19.5" hidden="false" customHeight="true" outlineLevel="0" collapsed="false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customFormat="false" ht="19.5" hidden="false" customHeight="true" outlineLevel="0" collapsed="false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customFormat="false" ht="19.5" hidden="false" customHeight="true" outlineLevel="0" collapsed="false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customFormat="false" ht="19.5" hidden="false" customHeight="true" outlineLevel="0" collapsed="false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customFormat="false" ht="19.5" hidden="false" customHeight="true" outlineLevel="0" collapsed="false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customFormat="false" ht="19.5" hidden="false" customHeight="true" outlineLevel="0" collapsed="false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customFormat="false" ht="19.5" hidden="false" customHeight="true" outlineLevel="0" collapsed="false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customFormat="false" ht="19.5" hidden="false" customHeight="true" outlineLevel="0" collapsed="false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customFormat="false" ht="19.5" hidden="false" customHeight="true" outlineLevel="0" collapsed="false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customFormat="false" ht="19.5" hidden="false" customHeight="true" outlineLevel="0" collapsed="false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customFormat="false" ht="19.5" hidden="false" customHeight="true" outlineLevel="0" collapsed="false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customFormat="false" ht="19.5" hidden="false" customHeight="true" outlineLevel="0" collapsed="false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customFormat="false" ht="19.5" hidden="false" customHeight="true" outlineLevel="0" collapsed="false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customFormat="false" ht="19.5" hidden="false" customHeight="true" outlineLevel="0" collapsed="false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customFormat="false" ht="19.5" hidden="false" customHeight="true" outlineLevel="0" collapsed="false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customFormat="false" ht="19.5" hidden="false" customHeight="true" outlineLevel="0" collapsed="false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customFormat="false" ht="19.5" hidden="false" customHeight="true" outlineLevel="0" collapsed="false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customFormat="false" ht="19.5" hidden="false" customHeight="true" outlineLevel="0" collapsed="false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customFormat="false" ht="19.5" hidden="false" customHeight="true" outlineLevel="0" collapsed="false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customFormat="false" ht="19.5" hidden="false" customHeight="true" outlineLevel="0" collapsed="false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customFormat="false" ht="19.5" hidden="false" customHeight="true" outlineLevel="0" collapsed="false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customFormat="false" ht="19.5" hidden="false" customHeight="true" outlineLevel="0" collapsed="false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customFormat="false" ht="19.5" hidden="false" customHeight="true" outlineLevel="0" collapsed="false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customFormat="false" ht="19.5" hidden="false" customHeight="true" outlineLevel="0" collapsed="false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customFormat="false" ht="19.5" hidden="false" customHeight="true" outlineLevel="0" collapsed="false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customFormat="false" ht="19.5" hidden="false" customHeight="true" outlineLevel="0" collapsed="false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customFormat="false" ht="19.5" hidden="false" customHeight="true" outlineLevel="0" collapsed="false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customFormat="false" ht="19.5" hidden="false" customHeight="true" outlineLevel="0" collapsed="false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customFormat="false" ht="19.5" hidden="false" customHeight="true" outlineLevel="0" collapsed="false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customFormat="false" ht="19.5" hidden="false" customHeight="true" outlineLevel="0" collapsed="false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customFormat="false" ht="19.5" hidden="false" customHeight="true" outlineLevel="0" collapsed="false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customFormat="false" ht="19.5" hidden="false" customHeight="true" outlineLevel="0" collapsed="false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customFormat="false" ht="19.5" hidden="false" customHeight="true" outlineLevel="0" collapsed="false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customFormat="false" ht="19.5" hidden="false" customHeight="true" outlineLevel="0" collapsed="false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customFormat="false" ht="19.5" hidden="false" customHeight="true" outlineLevel="0" collapsed="false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customFormat="false" ht="19.5" hidden="false" customHeight="true" outlineLevel="0" collapsed="false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customFormat="false" ht="19.5" hidden="false" customHeight="true" outlineLevel="0" collapsed="false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customFormat="false" ht="19.5" hidden="false" customHeight="true" outlineLevel="0" collapsed="false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customFormat="false" ht="19.5" hidden="false" customHeight="true" outlineLevel="0" collapsed="false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customFormat="false" ht="19.5" hidden="false" customHeight="true" outlineLevel="0" collapsed="false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customFormat="false" ht="19.5" hidden="false" customHeight="true" outlineLevel="0" collapsed="false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customFormat="false" ht="19.5" hidden="false" customHeight="true" outlineLevel="0" collapsed="false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customFormat="false" ht="19.5" hidden="false" customHeight="true" outlineLevel="0" collapsed="false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customFormat="false" ht="19.5" hidden="false" customHeight="true" outlineLevel="0" collapsed="false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customFormat="false" ht="19.5" hidden="false" customHeight="true" outlineLevel="0" collapsed="false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customFormat="false" ht="19.5" hidden="false" customHeight="true" outlineLevel="0" collapsed="false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customFormat="false" ht="19.5" hidden="false" customHeight="true" outlineLevel="0" collapsed="false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customFormat="false" ht="19.5" hidden="false" customHeight="true" outlineLevel="0" collapsed="false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customFormat="false" ht="19.5" hidden="false" customHeight="true" outlineLevel="0" collapsed="false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customFormat="false" ht="19.5" hidden="false" customHeight="true" outlineLevel="0" collapsed="false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customFormat="false" ht="19.5" hidden="false" customHeight="true" outlineLevel="0" collapsed="false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customFormat="false" ht="19.5" hidden="false" customHeight="true" outlineLevel="0" collapsed="false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customFormat="false" ht="19.5" hidden="false" customHeight="true" outlineLevel="0" collapsed="false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customFormat="false" ht="19.5" hidden="false" customHeight="true" outlineLevel="0" collapsed="false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customFormat="false" ht="19.5" hidden="false" customHeight="true" outlineLevel="0" collapsed="false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customFormat="false" ht="19.5" hidden="false" customHeight="true" outlineLevel="0" collapsed="false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customFormat="false" ht="19.5" hidden="false" customHeight="true" outlineLevel="0" collapsed="false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customFormat="false" ht="19.5" hidden="false" customHeight="true" outlineLevel="0" collapsed="false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customFormat="false" ht="19.5" hidden="false" customHeight="true" outlineLevel="0" collapsed="false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customFormat="false" ht="19.5" hidden="false" customHeight="true" outlineLevel="0" collapsed="false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customFormat="false" ht="19.5" hidden="false" customHeight="true" outlineLevel="0" collapsed="false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customFormat="false" ht="19.5" hidden="false" customHeight="true" outlineLevel="0" collapsed="false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customFormat="false" ht="19.5" hidden="false" customHeight="true" outlineLevel="0" collapsed="false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customFormat="false" ht="19.5" hidden="false" customHeight="true" outlineLevel="0" collapsed="false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customFormat="false" ht="19.5" hidden="false" customHeight="true" outlineLevel="0" collapsed="false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customFormat="false" ht="19.5" hidden="false" customHeight="true" outlineLevel="0" collapsed="false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customFormat="false" ht="19.5" hidden="false" customHeight="true" outlineLevel="0" collapsed="false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customFormat="false" ht="19.5" hidden="false" customHeight="true" outlineLevel="0" collapsed="false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customFormat="false" ht="19.5" hidden="false" customHeight="true" outlineLevel="0" collapsed="false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customFormat="false" ht="19.5" hidden="false" customHeight="true" outlineLevel="0" collapsed="false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customFormat="false" ht="19.5" hidden="false" customHeight="true" outlineLevel="0" collapsed="false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customFormat="false" ht="19.5" hidden="false" customHeight="true" outlineLevel="0" collapsed="false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customFormat="false" ht="19.5" hidden="false" customHeight="true" outlineLevel="0" collapsed="false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customFormat="false" ht="19.5" hidden="false" customHeight="true" outlineLevel="0" collapsed="false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customFormat="false" ht="19.5" hidden="false" customHeight="true" outlineLevel="0" collapsed="false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customFormat="false" ht="19.5" hidden="false" customHeight="true" outlineLevel="0" collapsed="false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customFormat="false" ht="19.5" hidden="false" customHeight="true" outlineLevel="0" collapsed="false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customFormat="false" ht="19.5" hidden="false" customHeight="true" outlineLevel="0" collapsed="false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customFormat="false" ht="19.5" hidden="false" customHeight="true" outlineLevel="0" collapsed="false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customFormat="false" ht="19.5" hidden="false" customHeight="true" outlineLevel="0" collapsed="false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customFormat="false" ht="19.5" hidden="false" customHeight="true" outlineLevel="0" collapsed="false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customFormat="false" ht="19.5" hidden="false" customHeight="true" outlineLevel="0" collapsed="false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customFormat="false" ht="19.5" hidden="false" customHeight="true" outlineLevel="0" collapsed="false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customFormat="false" ht="19.5" hidden="false" customHeight="true" outlineLevel="0" collapsed="false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customFormat="false" ht="19.5" hidden="false" customHeight="true" outlineLevel="0" collapsed="false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customFormat="false" ht="19.5" hidden="false" customHeight="true" outlineLevel="0" collapsed="false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customFormat="false" ht="19.5" hidden="false" customHeight="true" outlineLevel="0" collapsed="false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customFormat="false" ht="19.5" hidden="false" customHeight="true" outlineLevel="0" collapsed="false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customFormat="false" ht="19.5" hidden="false" customHeight="true" outlineLevel="0" collapsed="false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customFormat="false" ht="19.5" hidden="false" customHeight="true" outlineLevel="0" collapsed="false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customFormat="false" ht="19.5" hidden="false" customHeight="true" outlineLevel="0" collapsed="false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customFormat="false" ht="19.5" hidden="false" customHeight="true" outlineLevel="0" collapsed="false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customFormat="false" ht="19.5" hidden="false" customHeight="true" outlineLevel="0" collapsed="false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customFormat="false" ht="19.5" hidden="false" customHeight="true" outlineLevel="0" collapsed="false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customFormat="false" ht="19.5" hidden="false" customHeight="true" outlineLevel="0" collapsed="false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customFormat="false" ht="19.5" hidden="false" customHeight="true" outlineLevel="0" collapsed="false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customFormat="false" ht="19.5" hidden="false" customHeight="true" outlineLevel="0" collapsed="false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customFormat="false" ht="19.5" hidden="false" customHeight="true" outlineLevel="0" collapsed="false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customFormat="false" ht="19.5" hidden="false" customHeight="true" outlineLevel="0" collapsed="false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customFormat="false" ht="19.5" hidden="false" customHeight="true" outlineLevel="0" collapsed="false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customFormat="false" ht="19.5" hidden="false" customHeight="true" outlineLevel="0" collapsed="false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customFormat="false" ht="19.5" hidden="false" customHeight="true" outlineLevel="0" collapsed="false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customFormat="false" ht="19.5" hidden="false" customHeight="true" outlineLevel="0" collapsed="false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customFormat="false" ht="19.5" hidden="false" customHeight="true" outlineLevel="0" collapsed="false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customFormat="false" ht="19.5" hidden="false" customHeight="true" outlineLevel="0" collapsed="false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customFormat="false" ht="19.5" hidden="false" customHeight="true" outlineLevel="0" collapsed="false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customFormat="false" ht="19.5" hidden="false" customHeight="true" outlineLevel="0" collapsed="false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customFormat="false" ht="19.5" hidden="false" customHeight="true" outlineLevel="0" collapsed="false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customFormat="false" ht="19.5" hidden="false" customHeight="true" outlineLevel="0" collapsed="false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customFormat="false" ht="19.5" hidden="false" customHeight="true" outlineLevel="0" collapsed="false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customFormat="false" ht="19.5" hidden="false" customHeight="true" outlineLevel="0" collapsed="false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customFormat="false" ht="19.5" hidden="false" customHeight="true" outlineLevel="0" collapsed="false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customFormat="false" ht="19.5" hidden="false" customHeight="true" outlineLevel="0" collapsed="false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customFormat="false" ht="19.5" hidden="false" customHeight="true" outlineLevel="0" collapsed="false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customFormat="false" ht="19.5" hidden="false" customHeight="true" outlineLevel="0" collapsed="false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customFormat="false" ht="19.5" hidden="false" customHeight="true" outlineLevel="0" collapsed="false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customFormat="false" ht="19.5" hidden="false" customHeight="true" outlineLevel="0" collapsed="false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customFormat="false" ht="19.5" hidden="false" customHeight="true" outlineLevel="0" collapsed="false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customFormat="false" ht="19.5" hidden="false" customHeight="true" outlineLevel="0" collapsed="false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customFormat="false" ht="19.5" hidden="false" customHeight="true" outlineLevel="0" collapsed="false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customFormat="false" ht="19.5" hidden="false" customHeight="true" outlineLevel="0" collapsed="false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customFormat="false" ht="19.5" hidden="false" customHeight="true" outlineLevel="0" collapsed="false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customFormat="false" ht="19.5" hidden="false" customHeight="true" outlineLevel="0" collapsed="false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customFormat="false" ht="19.5" hidden="false" customHeight="true" outlineLevel="0" collapsed="false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customFormat="false" ht="19.5" hidden="false" customHeight="true" outlineLevel="0" collapsed="false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customFormat="false" ht="19.5" hidden="false" customHeight="true" outlineLevel="0" collapsed="false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customFormat="false" ht="19.5" hidden="false" customHeight="true" outlineLevel="0" collapsed="false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customFormat="false" ht="19.5" hidden="false" customHeight="true" outlineLevel="0" collapsed="false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customFormat="false" ht="19.5" hidden="false" customHeight="true" outlineLevel="0" collapsed="false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customFormat="false" ht="19.5" hidden="false" customHeight="true" outlineLevel="0" collapsed="false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customFormat="false" ht="19.5" hidden="false" customHeight="true" outlineLevel="0" collapsed="false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customFormat="false" ht="19.5" hidden="false" customHeight="true" outlineLevel="0" collapsed="false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customFormat="false" ht="19.5" hidden="false" customHeight="true" outlineLevel="0" collapsed="false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customFormat="false" ht="19.5" hidden="false" customHeight="true" outlineLevel="0" collapsed="false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customFormat="false" ht="19.5" hidden="false" customHeight="true" outlineLevel="0" collapsed="false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customFormat="false" ht="19.5" hidden="false" customHeight="true" outlineLevel="0" collapsed="false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customFormat="false" ht="19.5" hidden="false" customHeight="true" outlineLevel="0" collapsed="false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customFormat="false" ht="19.5" hidden="false" customHeight="true" outlineLevel="0" collapsed="false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customFormat="false" ht="19.5" hidden="false" customHeight="true" outlineLevel="0" collapsed="false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customFormat="false" ht="19.5" hidden="false" customHeight="true" outlineLevel="0" collapsed="false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customFormat="false" ht="19.5" hidden="false" customHeight="true" outlineLevel="0" collapsed="false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customFormat="false" ht="19.5" hidden="false" customHeight="true" outlineLevel="0" collapsed="false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customFormat="false" ht="19.5" hidden="false" customHeight="true" outlineLevel="0" collapsed="false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customFormat="false" ht="19.5" hidden="false" customHeight="true" outlineLevel="0" collapsed="false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customFormat="false" ht="19.5" hidden="false" customHeight="true" outlineLevel="0" collapsed="false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customFormat="false" ht="19.5" hidden="false" customHeight="true" outlineLevel="0" collapsed="false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customFormat="false" ht="19.5" hidden="false" customHeight="true" outlineLevel="0" collapsed="false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customFormat="false" ht="19.5" hidden="false" customHeight="true" outlineLevel="0" collapsed="false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customFormat="false" ht="19.5" hidden="false" customHeight="true" outlineLevel="0" collapsed="false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customFormat="false" ht="19.5" hidden="false" customHeight="true" outlineLevel="0" collapsed="false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customFormat="false" ht="19.5" hidden="false" customHeight="true" outlineLevel="0" collapsed="false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customFormat="false" ht="19.5" hidden="false" customHeight="true" outlineLevel="0" collapsed="false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customFormat="false" ht="19.5" hidden="false" customHeight="true" outlineLevel="0" collapsed="false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customFormat="false" ht="19.5" hidden="false" customHeight="true" outlineLevel="0" collapsed="false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customFormat="false" ht="19.5" hidden="false" customHeight="true" outlineLevel="0" collapsed="false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customFormat="false" ht="19.5" hidden="false" customHeight="true" outlineLevel="0" collapsed="false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customFormat="false" ht="19.5" hidden="false" customHeight="true" outlineLevel="0" collapsed="false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customFormat="false" ht="19.5" hidden="false" customHeight="true" outlineLevel="0" collapsed="false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customFormat="false" ht="19.5" hidden="false" customHeight="true" outlineLevel="0" collapsed="false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customFormat="false" ht="19.5" hidden="false" customHeight="true" outlineLevel="0" collapsed="false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customFormat="false" ht="19.5" hidden="false" customHeight="true" outlineLevel="0" collapsed="false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customFormat="false" ht="19.5" hidden="false" customHeight="true" outlineLevel="0" collapsed="false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customFormat="false" ht="19.5" hidden="false" customHeight="true" outlineLevel="0" collapsed="false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customFormat="false" ht="19.5" hidden="false" customHeight="true" outlineLevel="0" collapsed="false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customFormat="false" ht="19.5" hidden="false" customHeight="true" outlineLevel="0" collapsed="false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customFormat="false" ht="19.5" hidden="false" customHeight="true" outlineLevel="0" collapsed="false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customFormat="false" ht="19.5" hidden="false" customHeight="true" outlineLevel="0" collapsed="false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customFormat="false" ht="19.5" hidden="false" customHeight="true" outlineLevel="0" collapsed="false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customFormat="false" ht="19.5" hidden="false" customHeight="true" outlineLevel="0" collapsed="false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customFormat="false" ht="19.5" hidden="false" customHeight="true" outlineLevel="0" collapsed="false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customFormat="false" ht="19.5" hidden="false" customHeight="true" outlineLevel="0" collapsed="false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customFormat="false" ht="19.5" hidden="false" customHeight="true" outlineLevel="0" collapsed="false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customFormat="false" ht="19.5" hidden="false" customHeight="true" outlineLevel="0" collapsed="false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customFormat="false" ht="19.5" hidden="false" customHeight="true" outlineLevel="0" collapsed="false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customFormat="false" ht="19.5" hidden="false" customHeight="true" outlineLevel="0" collapsed="false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customFormat="false" ht="19.5" hidden="false" customHeight="true" outlineLevel="0" collapsed="false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customFormat="false" ht="19.5" hidden="false" customHeight="true" outlineLevel="0" collapsed="false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customFormat="false" ht="19.5" hidden="false" customHeight="true" outlineLevel="0" collapsed="false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customFormat="false" ht="19.5" hidden="false" customHeight="true" outlineLevel="0" collapsed="false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customFormat="false" ht="19.5" hidden="false" customHeight="true" outlineLevel="0" collapsed="false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customFormat="false" ht="19.5" hidden="false" customHeight="true" outlineLevel="0" collapsed="false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customFormat="false" ht="19.5" hidden="false" customHeight="true" outlineLevel="0" collapsed="false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customFormat="false" ht="19.5" hidden="false" customHeight="true" outlineLevel="0" collapsed="false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customFormat="false" ht="19.5" hidden="false" customHeight="true" outlineLevel="0" collapsed="false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customFormat="false" ht="19.5" hidden="false" customHeight="true" outlineLevel="0" collapsed="false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customFormat="false" ht="19.5" hidden="false" customHeight="true" outlineLevel="0" collapsed="false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customFormat="false" ht="19.5" hidden="false" customHeight="true" outlineLevel="0" collapsed="false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customFormat="false" ht="19.5" hidden="false" customHeight="true" outlineLevel="0" collapsed="false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customFormat="false" ht="19.5" hidden="false" customHeight="true" outlineLevel="0" collapsed="false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customFormat="false" ht="19.5" hidden="false" customHeight="true" outlineLevel="0" collapsed="false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customFormat="false" ht="19.5" hidden="false" customHeight="true" outlineLevel="0" collapsed="false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customFormat="false" ht="19.5" hidden="false" customHeight="true" outlineLevel="0" collapsed="false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customFormat="false" ht="19.5" hidden="false" customHeight="true" outlineLevel="0" collapsed="false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customFormat="false" ht="19.5" hidden="false" customHeight="true" outlineLevel="0" collapsed="false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customFormat="false" ht="19.5" hidden="false" customHeight="true" outlineLevel="0" collapsed="false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customFormat="false" ht="19.5" hidden="false" customHeight="true" outlineLevel="0" collapsed="false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customFormat="false" ht="19.5" hidden="false" customHeight="true" outlineLevel="0" collapsed="false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customFormat="false" ht="19.5" hidden="false" customHeight="true" outlineLevel="0" collapsed="false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customFormat="false" ht="19.5" hidden="false" customHeight="true" outlineLevel="0" collapsed="false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customFormat="false" ht="19.5" hidden="false" customHeight="true" outlineLevel="0" collapsed="false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customFormat="false" ht="19.5" hidden="false" customHeight="true" outlineLevel="0" collapsed="false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customFormat="false" ht="19.5" hidden="false" customHeight="true" outlineLevel="0" collapsed="false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customFormat="false" ht="19.5" hidden="false" customHeight="true" outlineLevel="0" collapsed="false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customFormat="false" ht="19.5" hidden="false" customHeight="true" outlineLevel="0" collapsed="false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customFormat="false" ht="19.5" hidden="false" customHeight="true" outlineLevel="0" collapsed="false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customFormat="false" ht="19.5" hidden="false" customHeight="true" outlineLevel="0" collapsed="false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customFormat="false" ht="19.5" hidden="false" customHeight="true" outlineLevel="0" collapsed="false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customFormat="false" ht="19.5" hidden="false" customHeight="true" outlineLevel="0" collapsed="false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customFormat="false" ht="19.5" hidden="false" customHeight="true" outlineLevel="0" collapsed="false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customFormat="false" ht="19.5" hidden="false" customHeight="true" outlineLevel="0" collapsed="false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customFormat="false" ht="19.5" hidden="false" customHeight="true" outlineLevel="0" collapsed="false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customFormat="false" ht="19.5" hidden="false" customHeight="true" outlineLevel="0" collapsed="false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customFormat="false" ht="19.5" hidden="false" customHeight="true" outlineLevel="0" collapsed="false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customFormat="false" ht="19.5" hidden="false" customHeight="true" outlineLevel="0" collapsed="false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customFormat="false" ht="19.5" hidden="false" customHeight="true" outlineLevel="0" collapsed="false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customFormat="false" ht="19.5" hidden="false" customHeight="true" outlineLevel="0" collapsed="false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customFormat="false" ht="19.5" hidden="false" customHeight="true" outlineLevel="0" collapsed="false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customFormat="false" ht="19.5" hidden="false" customHeight="true" outlineLevel="0" collapsed="false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customFormat="false" ht="19.5" hidden="false" customHeight="true" outlineLevel="0" collapsed="false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customFormat="false" ht="19.5" hidden="false" customHeight="true" outlineLevel="0" collapsed="false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customFormat="false" ht="19.5" hidden="false" customHeight="true" outlineLevel="0" collapsed="false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customFormat="false" ht="19.5" hidden="false" customHeight="true" outlineLevel="0" collapsed="false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customFormat="false" ht="19.5" hidden="false" customHeight="true" outlineLevel="0" collapsed="false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customFormat="false" ht="19.5" hidden="false" customHeight="true" outlineLevel="0" collapsed="false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customFormat="false" ht="19.5" hidden="false" customHeight="true" outlineLevel="0" collapsed="false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customFormat="false" ht="19.5" hidden="false" customHeight="true" outlineLevel="0" collapsed="false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customFormat="false" ht="19.5" hidden="false" customHeight="true" outlineLevel="0" collapsed="false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customFormat="false" ht="19.5" hidden="false" customHeight="true" outlineLevel="0" collapsed="false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customFormat="false" ht="19.5" hidden="false" customHeight="true" outlineLevel="0" collapsed="false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customFormat="false" ht="19.5" hidden="false" customHeight="true" outlineLevel="0" collapsed="false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customFormat="false" ht="19.5" hidden="false" customHeight="true" outlineLevel="0" collapsed="false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customFormat="false" ht="19.5" hidden="false" customHeight="true" outlineLevel="0" collapsed="false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customFormat="false" ht="19.5" hidden="false" customHeight="true" outlineLevel="0" collapsed="false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customFormat="false" ht="19.5" hidden="false" customHeight="true" outlineLevel="0" collapsed="false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customFormat="false" ht="19.5" hidden="false" customHeight="true" outlineLevel="0" collapsed="false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customFormat="false" ht="19.5" hidden="false" customHeight="true" outlineLevel="0" collapsed="false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customFormat="false" ht="19.5" hidden="false" customHeight="true" outlineLevel="0" collapsed="false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customFormat="false" ht="19.5" hidden="false" customHeight="true" outlineLevel="0" collapsed="false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customFormat="false" ht="19.5" hidden="false" customHeight="true" outlineLevel="0" collapsed="false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customFormat="false" ht="19.5" hidden="false" customHeight="true" outlineLevel="0" collapsed="false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customFormat="false" ht="19.5" hidden="false" customHeight="true" outlineLevel="0" collapsed="false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customFormat="false" ht="19.5" hidden="false" customHeight="true" outlineLevel="0" collapsed="false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customFormat="false" ht="19.5" hidden="false" customHeight="true" outlineLevel="0" collapsed="false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customFormat="false" ht="19.5" hidden="false" customHeight="true" outlineLevel="0" collapsed="false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customFormat="false" ht="19.5" hidden="false" customHeight="true" outlineLevel="0" collapsed="false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customFormat="false" ht="19.5" hidden="false" customHeight="true" outlineLevel="0" collapsed="false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customFormat="false" ht="19.5" hidden="false" customHeight="true" outlineLevel="0" collapsed="false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customFormat="false" ht="19.5" hidden="false" customHeight="true" outlineLevel="0" collapsed="false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customFormat="false" ht="19.5" hidden="false" customHeight="true" outlineLevel="0" collapsed="false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customFormat="false" ht="19.5" hidden="false" customHeight="true" outlineLevel="0" collapsed="false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customFormat="false" ht="19.5" hidden="false" customHeight="true" outlineLevel="0" collapsed="false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customFormat="false" ht="19.5" hidden="false" customHeight="true" outlineLevel="0" collapsed="false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customFormat="false" ht="19.5" hidden="false" customHeight="true" outlineLevel="0" collapsed="false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customFormat="false" ht="19.5" hidden="false" customHeight="true" outlineLevel="0" collapsed="false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customFormat="false" ht="19.5" hidden="false" customHeight="true" outlineLevel="0" collapsed="false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customFormat="false" ht="19.5" hidden="false" customHeight="true" outlineLevel="0" collapsed="false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customFormat="false" ht="19.5" hidden="false" customHeight="true" outlineLevel="0" collapsed="false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customFormat="false" ht="19.5" hidden="false" customHeight="true" outlineLevel="0" collapsed="false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customFormat="false" ht="19.5" hidden="false" customHeight="true" outlineLevel="0" collapsed="false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customFormat="false" ht="19.5" hidden="false" customHeight="true" outlineLevel="0" collapsed="false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customFormat="false" ht="19.5" hidden="false" customHeight="true" outlineLevel="0" collapsed="false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customFormat="false" ht="19.5" hidden="false" customHeight="true" outlineLevel="0" collapsed="false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customFormat="false" ht="19.5" hidden="false" customHeight="true" outlineLevel="0" collapsed="false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customFormat="false" ht="19.5" hidden="false" customHeight="true" outlineLevel="0" collapsed="false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customFormat="false" ht="19.5" hidden="false" customHeight="true" outlineLevel="0" collapsed="false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customFormat="false" ht="19.5" hidden="false" customHeight="true" outlineLevel="0" collapsed="false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customFormat="false" ht="19.5" hidden="false" customHeight="true" outlineLevel="0" collapsed="false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customFormat="false" ht="19.5" hidden="false" customHeight="true" outlineLevel="0" collapsed="false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customFormat="false" ht="19.5" hidden="false" customHeight="true" outlineLevel="0" collapsed="false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customFormat="false" ht="19.5" hidden="false" customHeight="true" outlineLevel="0" collapsed="false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customFormat="false" ht="19.5" hidden="false" customHeight="true" outlineLevel="0" collapsed="false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customFormat="false" ht="19.5" hidden="false" customHeight="true" outlineLevel="0" collapsed="false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customFormat="false" ht="19.5" hidden="false" customHeight="true" outlineLevel="0" collapsed="false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customFormat="false" ht="19.5" hidden="false" customHeight="true" outlineLevel="0" collapsed="false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customFormat="false" ht="19.5" hidden="false" customHeight="true" outlineLevel="0" collapsed="false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customFormat="false" ht="19.5" hidden="false" customHeight="true" outlineLevel="0" collapsed="false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customFormat="false" ht="19.5" hidden="false" customHeight="true" outlineLevel="0" collapsed="false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customFormat="false" ht="19.5" hidden="false" customHeight="true" outlineLevel="0" collapsed="false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customFormat="false" ht="19.5" hidden="false" customHeight="true" outlineLevel="0" collapsed="false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customFormat="false" ht="19.5" hidden="false" customHeight="true" outlineLevel="0" collapsed="false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customFormat="false" ht="19.5" hidden="false" customHeight="true" outlineLevel="0" collapsed="false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customFormat="false" ht="19.5" hidden="false" customHeight="true" outlineLevel="0" collapsed="false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customFormat="false" ht="19.5" hidden="false" customHeight="true" outlineLevel="0" collapsed="false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customFormat="false" ht="19.5" hidden="false" customHeight="true" outlineLevel="0" collapsed="false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customFormat="false" ht="19.5" hidden="false" customHeight="true" outlineLevel="0" collapsed="false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customFormat="false" ht="19.5" hidden="false" customHeight="true" outlineLevel="0" collapsed="false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customFormat="false" ht="19.5" hidden="false" customHeight="true" outlineLevel="0" collapsed="false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customFormat="false" ht="19.5" hidden="false" customHeight="true" outlineLevel="0" collapsed="false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customFormat="false" ht="19.5" hidden="false" customHeight="true" outlineLevel="0" collapsed="false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customFormat="false" ht="19.5" hidden="false" customHeight="true" outlineLevel="0" collapsed="false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customFormat="false" ht="19.5" hidden="false" customHeight="true" outlineLevel="0" collapsed="false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customFormat="false" ht="19.5" hidden="false" customHeight="true" outlineLevel="0" collapsed="false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customFormat="false" ht="19.5" hidden="false" customHeight="true" outlineLevel="0" collapsed="false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customFormat="false" ht="19.5" hidden="false" customHeight="true" outlineLevel="0" collapsed="false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customFormat="false" ht="19.5" hidden="false" customHeight="true" outlineLevel="0" collapsed="false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customFormat="false" ht="19.5" hidden="false" customHeight="true" outlineLevel="0" collapsed="false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customFormat="false" ht="19.5" hidden="false" customHeight="true" outlineLevel="0" collapsed="false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customFormat="false" ht="19.5" hidden="false" customHeight="true" outlineLevel="0" collapsed="false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customFormat="false" ht="19.5" hidden="false" customHeight="true" outlineLevel="0" collapsed="false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customFormat="false" ht="19.5" hidden="false" customHeight="true" outlineLevel="0" collapsed="false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customFormat="false" ht="19.5" hidden="false" customHeight="true" outlineLevel="0" collapsed="false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customFormat="false" ht="19.5" hidden="false" customHeight="true" outlineLevel="0" collapsed="false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customFormat="false" ht="19.5" hidden="false" customHeight="true" outlineLevel="0" collapsed="false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customFormat="false" ht="19.5" hidden="false" customHeight="true" outlineLevel="0" collapsed="false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customFormat="false" ht="19.5" hidden="false" customHeight="true" outlineLevel="0" collapsed="false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customFormat="false" ht="19.5" hidden="false" customHeight="true" outlineLevel="0" collapsed="false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customFormat="false" ht="19.5" hidden="false" customHeight="true" outlineLevel="0" collapsed="false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customFormat="false" ht="19.5" hidden="false" customHeight="true" outlineLevel="0" collapsed="false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customFormat="false" ht="19.5" hidden="false" customHeight="true" outlineLevel="0" collapsed="false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customFormat="false" ht="19.5" hidden="false" customHeight="true" outlineLevel="0" collapsed="false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customFormat="false" ht="19.5" hidden="false" customHeight="true" outlineLevel="0" collapsed="false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customFormat="false" ht="19.5" hidden="false" customHeight="true" outlineLevel="0" collapsed="false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customFormat="false" ht="19.5" hidden="false" customHeight="true" outlineLevel="0" collapsed="false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customFormat="false" ht="19.5" hidden="false" customHeight="true" outlineLevel="0" collapsed="false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customFormat="false" ht="19.5" hidden="false" customHeight="true" outlineLevel="0" collapsed="false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customFormat="false" ht="19.5" hidden="false" customHeight="true" outlineLevel="0" collapsed="false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customFormat="false" ht="19.5" hidden="false" customHeight="true" outlineLevel="0" collapsed="false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customFormat="false" ht="19.5" hidden="false" customHeight="true" outlineLevel="0" collapsed="false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customFormat="false" ht="19.5" hidden="false" customHeight="true" outlineLevel="0" collapsed="false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customFormat="false" ht="19.5" hidden="false" customHeight="true" outlineLevel="0" collapsed="false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customFormat="false" ht="19.5" hidden="false" customHeight="true" outlineLevel="0" collapsed="false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customFormat="false" ht="19.5" hidden="false" customHeight="true" outlineLevel="0" collapsed="false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customFormat="false" ht="19.5" hidden="false" customHeight="true" outlineLevel="0" collapsed="false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customFormat="false" ht="19.5" hidden="false" customHeight="true" outlineLevel="0" collapsed="false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customFormat="false" ht="19.5" hidden="false" customHeight="true" outlineLevel="0" collapsed="false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customFormat="false" ht="19.5" hidden="false" customHeight="true" outlineLevel="0" collapsed="false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customFormat="false" ht="19.5" hidden="false" customHeight="true" outlineLevel="0" collapsed="false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customFormat="false" ht="19.5" hidden="false" customHeight="true" outlineLevel="0" collapsed="false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customFormat="false" ht="19.5" hidden="false" customHeight="true" outlineLevel="0" collapsed="false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customFormat="false" ht="19.5" hidden="false" customHeight="true" outlineLevel="0" collapsed="false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customFormat="false" ht="19.5" hidden="false" customHeight="true" outlineLevel="0" collapsed="false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customFormat="false" ht="19.5" hidden="false" customHeight="true" outlineLevel="0" collapsed="false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customFormat="false" ht="19.5" hidden="false" customHeight="true" outlineLevel="0" collapsed="false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customFormat="false" ht="19.5" hidden="false" customHeight="true" outlineLevel="0" collapsed="false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customFormat="false" ht="19.5" hidden="false" customHeight="true" outlineLevel="0" collapsed="false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customFormat="false" ht="19.5" hidden="false" customHeight="true" outlineLevel="0" collapsed="false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customFormat="false" ht="19.5" hidden="false" customHeight="true" outlineLevel="0" collapsed="false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customFormat="false" ht="19.5" hidden="false" customHeight="true" outlineLevel="0" collapsed="false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customFormat="false" ht="19.5" hidden="false" customHeight="true" outlineLevel="0" collapsed="false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customFormat="false" ht="19.5" hidden="false" customHeight="true" outlineLevel="0" collapsed="false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customFormat="false" ht="19.5" hidden="false" customHeight="true" outlineLevel="0" collapsed="false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customFormat="false" ht="19.5" hidden="false" customHeight="true" outlineLevel="0" collapsed="false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customFormat="false" ht="19.5" hidden="false" customHeight="true" outlineLevel="0" collapsed="false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customFormat="false" ht="19.5" hidden="false" customHeight="true" outlineLevel="0" collapsed="false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customFormat="false" ht="19.5" hidden="false" customHeight="true" outlineLevel="0" collapsed="false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customFormat="false" ht="19.5" hidden="false" customHeight="true" outlineLevel="0" collapsed="false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customFormat="false" ht="19.5" hidden="false" customHeight="true" outlineLevel="0" collapsed="false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customFormat="false" ht="19.5" hidden="false" customHeight="true" outlineLevel="0" collapsed="false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customFormat="false" ht="19.5" hidden="false" customHeight="true" outlineLevel="0" collapsed="false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customFormat="false" ht="19.5" hidden="false" customHeight="true" outlineLevel="0" collapsed="false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customFormat="false" ht="19.5" hidden="false" customHeight="true" outlineLevel="0" collapsed="false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customFormat="false" ht="19.5" hidden="false" customHeight="true" outlineLevel="0" collapsed="false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customFormat="false" ht="19.5" hidden="false" customHeight="true" outlineLevel="0" collapsed="false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customFormat="false" ht="19.5" hidden="false" customHeight="true" outlineLevel="0" collapsed="false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customFormat="false" ht="19.5" hidden="false" customHeight="true" outlineLevel="0" collapsed="false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customFormat="false" ht="19.5" hidden="false" customHeight="true" outlineLevel="0" collapsed="false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customFormat="false" ht="19.5" hidden="false" customHeight="true" outlineLevel="0" collapsed="false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customFormat="false" ht="19.5" hidden="false" customHeight="true" outlineLevel="0" collapsed="false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customFormat="false" ht="19.5" hidden="false" customHeight="true" outlineLevel="0" collapsed="false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customFormat="false" ht="19.5" hidden="false" customHeight="true" outlineLevel="0" collapsed="false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customFormat="false" ht="19.5" hidden="false" customHeight="true" outlineLevel="0" collapsed="false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customFormat="false" ht="19.5" hidden="false" customHeight="true" outlineLevel="0" collapsed="false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customFormat="false" ht="19.5" hidden="false" customHeight="true" outlineLevel="0" collapsed="false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customFormat="false" ht="19.5" hidden="false" customHeight="true" outlineLevel="0" collapsed="false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customFormat="false" ht="19.5" hidden="false" customHeight="true" outlineLevel="0" collapsed="false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customFormat="false" ht="19.5" hidden="false" customHeight="true" outlineLevel="0" collapsed="false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customFormat="false" ht="19.5" hidden="false" customHeight="true" outlineLevel="0" collapsed="false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customFormat="false" ht="19.5" hidden="false" customHeight="true" outlineLevel="0" collapsed="false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customFormat="false" ht="19.5" hidden="false" customHeight="true" outlineLevel="0" collapsed="false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customFormat="false" ht="19.5" hidden="false" customHeight="true" outlineLevel="0" collapsed="false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customFormat="false" ht="19.5" hidden="false" customHeight="true" outlineLevel="0" collapsed="false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customFormat="false" ht="19.5" hidden="false" customHeight="true" outlineLevel="0" collapsed="false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customFormat="false" ht="19.5" hidden="false" customHeight="true" outlineLevel="0" collapsed="false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customFormat="false" ht="19.5" hidden="false" customHeight="true" outlineLevel="0" collapsed="false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customFormat="false" ht="19.5" hidden="false" customHeight="true" outlineLevel="0" collapsed="false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customFormat="false" ht="19.5" hidden="false" customHeight="true" outlineLevel="0" collapsed="false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customFormat="false" ht="19.5" hidden="false" customHeight="true" outlineLevel="0" collapsed="false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customFormat="false" ht="19.5" hidden="false" customHeight="true" outlineLevel="0" collapsed="false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customFormat="false" ht="19.5" hidden="false" customHeight="true" outlineLevel="0" collapsed="false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customFormat="false" ht="19.5" hidden="false" customHeight="true" outlineLevel="0" collapsed="false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customFormat="false" ht="19.5" hidden="false" customHeight="true" outlineLevel="0" collapsed="false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customFormat="false" ht="19.5" hidden="false" customHeight="true" outlineLevel="0" collapsed="false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customFormat="false" ht="19.5" hidden="false" customHeight="true" outlineLevel="0" collapsed="false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customFormat="false" ht="19.5" hidden="false" customHeight="true" outlineLevel="0" collapsed="false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customFormat="false" ht="19.5" hidden="false" customHeight="true" outlineLevel="0" collapsed="false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customFormat="false" ht="19.5" hidden="false" customHeight="true" outlineLevel="0" collapsed="false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customFormat="false" ht="19.5" hidden="false" customHeight="true" outlineLevel="0" collapsed="false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customFormat="false" ht="19.5" hidden="false" customHeight="true" outlineLevel="0" collapsed="false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customFormat="false" ht="19.5" hidden="false" customHeight="true" outlineLevel="0" collapsed="false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customFormat="false" ht="19.5" hidden="false" customHeight="true" outlineLevel="0" collapsed="false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customFormat="false" ht="19.5" hidden="false" customHeight="true" outlineLevel="0" collapsed="false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customFormat="false" ht="19.5" hidden="false" customHeight="true" outlineLevel="0" collapsed="false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customFormat="false" ht="19.5" hidden="false" customHeight="true" outlineLevel="0" collapsed="false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customFormat="false" ht="19.5" hidden="false" customHeight="true" outlineLevel="0" collapsed="false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customFormat="false" ht="19.5" hidden="false" customHeight="true" outlineLevel="0" collapsed="false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customFormat="false" ht="19.5" hidden="false" customHeight="true" outlineLevel="0" collapsed="false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customFormat="false" ht="19.5" hidden="false" customHeight="true" outlineLevel="0" collapsed="false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customFormat="false" ht="19.5" hidden="false" customHeight="true" outlineLevel="0" collapsed="false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customFormat="false" ht="19.5" hidden="false" customHeight="true" outlineLevel="0" collapsed="false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customFormat="false" ht="19.5" hidden="false" customHeight="true" outlineLevel="0" collapsed="false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customFormat="false" ht="19.5" hidden="false" customHeight="true" outlineLevel="0" collapsed="false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customFormat="false" ht="19.5" hidden="false" customHeight="true" outlineLevel="0" collapsed="false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customFormat="false" ht="19.5" hidden="false" customHeight="true" outlineLevel="0" collapsed="false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customFormat="false" ht="19.5" hidden="false" customHeight="true" outlineLevel="0" collapsed="false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customFormat="false" ht="19.5" hidden="false" customHeight="true" outlineLevel="0" collapsed="false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customFormat="false" ht="19.5" hidden="false" customHeight="true" outlineLevel="0" collapsed="false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customFormat="false" ht="19.5" hidden="false" customHeight="true" outlineLevel="0" collapsed="false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customFormat="false" ht="19.5" hidden="false" customHeight="true" outlineLevel="0" collapsed="false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customFormat="false" ht="19.5" hidden="false" customHeight="true" outlineLevel="0" collapsed="false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customFormat="false" ht="19.5" hidden="false" customHeight="true" outlineLevel="0" collapsed="false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customFormat="false" ht="19.5" hidden="false" customHeight="true" outlineLevel="0" collapsed="false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customFormat="false" ht="19.5" hidden="false" customHeight="true" outlineLevel="0" collapsed="false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customFormat="false" ht="19.5" hidden="false" customHeight="true" outlineLevel="0" collapsed="false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customFormat="false" ht="19.5" hidden="false" customHeight="true" outlineLevel="0" collapsed="false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customFormat="false" ht="19.5" hidden="false" customHeight="true" outlineLevel="0" collapsed="false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customFormat="false" ht="19.5" hidden="false" customHeight="true" outlineLevel="0" collapsed="false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customFormat="false" ht="19.5" hidden="false" customHeight="true" outlineLevel="0" collapsed="false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customFormat="false" ht="19.5" hidden="false" customHeight="true" outlineLevel="0" collapsed="false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customFormat="false" ht="19.5" hidden="false" customHeight="true" outlineLevel="0" collapsed="false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customFormat="false" ht="19.5" hidden="false" customHeight="true" outlineLevel="0" collapsed="false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customFormat="false" ht="19.5" hidden="false" customHeight="true" outlineLevel="0" collapsed="false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customFormat="false" ht="19.5" hidden="false" customHeight="true" outlineLevel="0" collapsed="false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customFormat="false" ht="19.5" hidden="false" customHeight="true" outlineLevel="0" collapsed="false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customFormat="false" ht="19.5" hidden="false" customHeight="true" outlineLevel="0" collapsed="false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customFormat="false" ht="19.5" hidden="false" customHeight="true" outlineLevel="0" collapsed="false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customFormat="false" ht="19.5" hidden="false" customHeight="true" outlineLevel="0" collapsed="false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customFormat="false" ht="19.5" hidden="false" customHeight="true" outlineLevel="0" collapsed="false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customFormat="false" ht="19.5" hidden="false" customHeight="true" outlineLevel="0" collapsed="false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customFormat="false" ht="19.5" hidden="false" customHeight="true" outlineLevel="0" collapsed="false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customFormat="false" ht="19.5" hidden="false" customHeight="true" outlineLevel="0" collapsed="false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customFormat="false" ht="19.5" hidden="false" customHeight="true" outlineLevel="0" collapsed="false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customFormat="false" ht="19.5" hidden="false" customHeight="true" outlineLevel="0" collapsed="false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customFormat="false" ht="19.5" hidden="false" customHeight="true" outlineLevel="0" collapsed="false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customFormat="false" ht="19.5" hidden="false" customHeight="true" outlineLevel="0" collapsed="false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customFormat="false" ht="19.5" hidden="false" customHeight="true" outlineLevel="0" collapsed="false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customFormat="false" ht="19.5" hidden="false" customHeight="true" outlineLevel="0" collapsed="false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customFormat="false" ht="19.5" hidden="false" customHeight="true" outlineLevel="0" collapsed="false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customFormat="false" ht="19.5" hidden="false" customHeight="true" outlineLevel="0" collapsed="false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customFormat="false" ht="19.5" hidden="false" customHeight="true" outlineLevel="0" collapsed="false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customFormat="false" ht="19.5" hidden="false" customHeight="true" outlineLevel="0" collapsed="false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customFormat="false" ht="19.5" hidden="false" customHeight="true" outlineLevel="0" collapsed="false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customFormat="false" ht="19.5" hidden="false" customHeight="true" outlineLevel="0" collapsed="false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customFormat="false" ht="19.5" hidden="false" customHeight="true" outlineLevel="0" collapsed="false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customFormat="false" ht="19.5" hidden="false" customHeight="true" outlineLevel="0" collapsed="false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customFormat="false" ht="19.5" hidden="false" customHeight="true" outlineLevel="0" collapsed="false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customFormat="false" ht="19.5" hidden="false" customHeight="true" outlineLevel="0" collapsed="false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customFormat="false" ht="19.5" hidden="false" customHeight="true" outlineLevel="0" collapsed="false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customFormat="false" ht="19.5" hidden="false" customHeight="true" outlineLevel="0" collapsed="false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customFormat="false" ht="19.5" hidden="false" customHeight="true" outlineLevel="0" collapsed="false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customFormat="false" ht="19.5" hidden="false" customHeight="true" outlineLevel="0" collapsed="false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customFormat="false" ht="19.5" hidden="false" customHeight="true" outlineLevel="0" collapsed="false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customFormat="false" ht="19.5" hidden="false" customHeight="true" outlineLevel="0" collapsed="false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customFormat="false" ht="19.5" hidden="false" customHeight="true" outlineLevel="0" collapsed="false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customFormat="false" ht="19.5" hidden="false" customHeight="true" outlineLevel="0" collapsed="false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customFormat="false" ht="19.5" hidden="false" customHeight="true" outlineLevel="0" collapsed="false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customFormat="false" ht="19.5" hidden="false" customHeight="true" outlineLevel="0" collapsed="false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customFormat="false" ht="19.5" hidden="false" customHeight="true" outlineLevel="0" collapsed="false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customFormat="false" ht="19.5" hidden="false" customHeight="true" outlineLevel="0" collapsed="false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customFormat="false" ht="19.5" hidden="false" customHeight="true" outlineLevel="0" collapsed="false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customFormat="false" ht="19.5" hidden="false" customHeight="true" outlineLevel="0" collapsed="false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customFormat="false" ht="19.5" hidden="false" customHeight="true" outlineLevel="0" collapsed="false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customFormat="false" ht="19.5" hidden="false" customHeight="true" outlineLevel="0" collapsed="false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customFormat="false" ht="19.5" hidden="false" customHeight="true" outlineLevel="0" collapsed="false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customFormat="false" ht="19.5" hidden="false" customHeight="true" outlineLevel="0" collapsed="false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customFormat="false" ht="19.5" hidden="false" customHeight="true" outlineLevel="0" collapsed="false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customFormat="false" ht="19.5" hidden="false" customHeight="true" outlineLevel="0" collapsed="false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customFormat="false" ht="19.5" hidden="false" customHeight="true" outlineLevel="0" collapsed="false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customFormat="false" ht="19.5" hidden="false" customHeight="true" outlineLevel="0" collapsed="false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customFormat="false" ht="19.5" hidden="false" customHeight="true" outlineLevel="0" collapsed="false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customFormat="false" ht="19.5" hidden="false" customHeight="true" outlineLevel="0" collapsed="false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customFormat="false" ht="19.5" hidden="false" customHeight="true" outlineLevel="0" collapsed="false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customFormat="false" ht="19.5" hidden="false" customHeight="true" outlineLevel="0" collapsed="false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customFormat="false" ht="19.5" hidden="false" customHeight="true" outlineLevel="0" collapsed="false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customFormat="false" ht="19.5" hidden="false" customHeight="true" outlineLevel="0" collapsed="false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customFormat="false" ht="19.5" hidden="false" customHeight="true" outlineLevel="0" collapsed="false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customFormat="false" ht="19.5" hidden="false" customHeight="true" outlineLevel="0" collapsed="false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customFormat="false" ht="19.5" hidden="false" customHeight="true" outlineLevel="0" collapsed="false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customFormat="false" ht="19.5" hidden="false" customHeight="true" outlineLevel="0" collapsed="false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customFormat="false" ht="19.5" hidden="false" customHeight="true" outlineLevel="0" collapsed="false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customFormat="false" ht="19.5" hidden="false" customHeight="true" outlineLevel="0" collapsed="false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customFormat="false" ht="19.5" hidden="false" customHeight="true" outlineLevel="0" collapsed="false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customFormat="false" ht="19.5" hidden="false" customHeight="true" outlineLevel="0" collapsed="false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customFormat="false" ht="19.5" hidden="false" customHeight="true" outlineLevel="0" collapsed="false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customFormat="false" ht="19.5" hidden="false" customHeight="true" outlineLevel="0" collapsed="false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customFormat="false" ht="19.5" hidden="false" customHeight="true" outlineLevel="0" collapsed="false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customFormat="false" ht="19.5" hidden="false" customHeight="true" outlineLevel="0" collapsed="false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customFormat="false" ht="19.5" hidden="false" customHeight="true" outlineLevel="0" collapsed="false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customFormat="false" ht="19.5" hidden="false" customHeight="true" outlineLevel="0" collapsed="false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customFormat="false" ht="19.5" hidden="false" customHeight="true" outlineLevel="0" collapsed="false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customFormat="false" ht="19.5" hidden="false" customHeight="true" outlineLevel="0" collapsed="false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customFormat="false" ht="19.5" hidden="false" customHeight="true" outlineLevel="0" collapsed="false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customFormat="false" ht="19.5" hidden="false" customHeight="true" outlineLevel="0" collapsed="false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customFormat="false" ht="19.5" hidden="false" customHeight="true" outlineLevel="0" collapsed="false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customFormat="false" ht="19.5" hidden="false" customHeight="true" outlineLevel="0" collapsed="false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customFormat="false" ht="19.5" hidden="false" customHeight="true" outlineLevel="0" collapsed="false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customFormat="false" ht="19.5" hidden="false" customHeight="true" outlineLevel="0" collapsed="false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customFormat="false" ht="19.5" hidden="false" customHeight="true" outlineLevel="0" collapsed="false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customFormat="false" ht="19.5" hidden="false" customHeight="true" outlineLevel="0" collapsed="false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customFormat="false" ht="19.5" hidden="false" customHeight="true" outlineLevel="0" collapsed="false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customFormat="false" ht="19.5" hidden="false" customHeight="true" outlineLevel="0" collapsed="false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customFormat="false" ht="19.5" hidden="false" customHeight="true" outlineLevel="0" collapsed="false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customFormat="false" ht="19.5" hidden="false" customHeight="true" outlineLevel="0" collapsed="false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customFormat="false" ht="19.5" hidden="false" customHeight="true" outlineLevel="0" collapsed="false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customFormat="false" ht="19.5" hidden="false" customHeight="true" outlineLevel="0" collapsed="false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customFormat="false" ht="19.5" hidden="false" customHeight="true" outlineLevel="0" collapsed="false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customFormat="false" ht="19.5" hidden="false" customHeight="true" outlineLevel="0" collapsed="false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customFormat="false" ht="19.5" hidden="false" customHeight="true" outlineLevel="0" collapsed="false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customFormat="false" ht="19.5" hidden="false" customHeight="true" outlineLevel="0" collapsed="false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customFormat="false" ht="19.5" hidden="false" customHeight="true" outlineLevel="0" collapsed="false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customFormat="false" ht="19.5" hidden="false" customHeight="true" outlineLevel="0" collapsed="false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customFormat="false" ht="19.5" hidden="false" customHeight="true" outlineLevel="0" collapsed="false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customFormat="false" ht="19.5" hidden="false" customHeight="true" outlineLevel="0" collapsed="false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customFormat="false" ht="19.5" hidden="false" customHeight="true" outlineLevel="0" collapsed="false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customFormat="false" ht="19.5" hidden="false" customHeight="true" outlineLevel="0" collapsed="false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customFormat="false" ht="19.5" hidden="false" customHeight="true" outlineLevel="0" collapsed="false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customFormat="false" ht="19.5" hidden="false" customHeight="true" outlineLevel="0" collapsed="false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customFormat="false" ht="19.5" hidden="false" customHeight="true" outlineLevel="0" collapsed="false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customFormat="false" ht="19.5" hidden="false" customHeight="true" outlineLevel="0" collapsed="false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customFormat="false" ht="19.5" hidden="false" customHeight="true" outlineLevel="0" collapsed="false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customFormat="false" ht="19.5" hidden="false" customHeight="true" outlineLevel="0" collapsed="false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customFormat="false" ht="19.5" hidden="false" customHeight="true" outlineLevel="0" collapsed="false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customFormat="false" ht="19.5" hidden="false" customHeight="true" outlineLevel="0" collapsed="false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customFormat="false" ht="19.5" hidden="false" customHeight="true" outlineLevel="0" collapsed="false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customFormat="false" ht="19.5" hidden="false" customHeight="true" outlineLevel="0" collapsed="false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customFormat="false" ht="19.5" hidden="false" customHeight="true" outlineLevel="0" collapsed="false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customFormat="false" ht="19.5" hidden="false" customHeight="true" outlineLevel="0" collapsed="false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customFormat="false" ht="19.5" hidden="false" customHeight="true" outlineLevel="0" collapsed="false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customFormat="false" ht="19.5" hidden="false" customHeight="true" outlineLevel="0" collapsed="false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customFormat="false" ht="19.5" hidden="false" customHeight="true" outlineLevel="0" collapsed="false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customFormat="false" ht="19.5" hidden="false" customHeight="true" outlineLevel="0" collapsed="false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customFormat="false" ht="19.5" hidden="false" customHeight="true" outlineLevel="0" collapsed="false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customFormat="false" ht="19.5" hidden="false" customHeight="true" outlineLevel="0" collapsed="false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customFormat="false" ht="19.5" hidden="false" customHeight="true" outlineLevel="0" collapsed="false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customFormat="false" ht="19.5" hidden="false" customHeight="true" outlineLevel="0" collapsed="false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customFormat="false" ht="19.5" hidden="false" customHeight="true" outlineLevel="0" collapsed="false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customFormat="false" ht="19.5" hidden="false" customHeight="true" outlineLevel="0" collapsed="false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customFormat="false" ht="19.5" hidden="false" customHeight="true" outlineLevel="0" collapsed="false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customFormat="false" ht="19.5" hidden="false" customHeight="true" outlineLevel="0" collapsed="false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customFormat="false" ht="19.5" hidden="false" customHeight="true" outlineLevel="0" collapsed="false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customFormat="false" ht="19.5" hidden="false" customHeight="true" outlineLevel="0" collapsed="false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customFormat="false" ht="19.5" hidden="false" customHeight="true" outlineLevel="0" collapsed="false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customFormat="false" ht="19.5" hidden="false" customHeight="true" outlineLevel="0" collapsed="false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customFormat="false" ht="19.5" hidden="false" customHeight="true" outlineLevel="0" collapsed="false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customFormat="false" ht="19.5" hidden="false" customHeight="true" outlineLevel="0" collapsed="false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customFormat="false" ht="19.5" hidden="false" customHeight="true" outlineLevel="0" collapsed="false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customFormat="false" ht="19.5" hidden="false" customHeight="true" outlineLevel="0" collapsed="false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customFormat="false" ht="19.5" hidden="false" customHeight="true" outlineLevel="0" collapsed="false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customFormat="false" ht="19.5" hidden="false" customHeight="true" outlineLevel="0" collapsed="false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customFormat="false" ht="19.5" hidden="false" customHeight="true" outlineLevel="0" collapsed="false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customFormat="false" ht="19.5" hidden="false" customHeight="true" outlineLevel="0" collapsed="false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customFormat="false" ht="19.5" hidden="false" customHeight="true" outlineLevel="0" collapsed="false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customFormat="false" ht="19.5" hidden="false" customHeight="true" outlineLevel="0" collapsed="false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customFormat="false" ht="19.5" hidden="false" customHeight="true" outlineLevel="0" collapsed="false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customFormat="false" ht="19.5" hidden="false" customHeight="true" outlineLevel="0" collapsed="false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customFormat="false" ht="19.5" hidden="false" customHeight="true" outlineLevel="0" collapsed="false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customFormat="false" ht="19.5" hidden="false" customHeight="true" outlineLevel="0" collapsed="false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customFormat="false" ht="19.5" hidden="false" customHeight="true" outlineLevel="0" collapsed="false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customFormat="false" ht="19.5" hidden="false" customHeight="true" outlineLevel="0" collapsed="false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customFormat="false" ht="19.5" hidden="false" customHeight="true" outlineLevel="0" collapsed="false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customFormat="false" ht="19.5" hidden="false" customHeight="true" outlineLevel="0" collapsed="false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customFormat="false" ht="19.5" hidden="false" customHeight="true" outlineLevel="0" collapsed="false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customFormat="false" ht="19.5" hidden="false" customHeight="true" outlineLevel="0" collapsed="false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customFormat="false" ht="19.5" hidden="false" customHeight="true" outlineLevel="0" collapsed="false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customFormat="false" ht="19.5" hidden="false" customHeight="true" outlineLevel="0" collapsed="false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customFormat="false" ht="19.5" hidden="false" customHeight="true" outlineLevel="0" collapsed="false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customFormat="false" ht="19.5" hidden="false" customHeight="true" outlineLevel="0" collapsed="false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customFormat="false" ht="19.5" hidden="false" customHeight="true" outlineLevel="0" collapsed="false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customFormat="false" ht="19.5" hidden="false" customHeight="true" outlineLevel="0" collapsed="false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customFormat="false" ht="19.5" hidden="false" customHeight="true" outlineLevel="0" collapsed="false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customFormat="false" ht="19.5" hidden="false" customHeight="true" outlineLevel="0" collapsed="false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customFormat="false" ht="19.5" hidden="false" customHeight="true" outlineLevel="0" collapsed="false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customFormat="false" ht="19.5" hidden="false" customHeight="true" outlineLevel="0" collapsed="false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customFormat="false" ht="19.5" hidden="false" customHeight="true" outlineLevel="0" collapsed="false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customFormat="false" ht="19.5" hidden="false" customHeight="true" outlineLevel="0" collapsed="false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customFormat="false" ht="19.5" hidden="false" customHeight="true" outlineLevel="0" collapsed="false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customFormat="false" ht="19.5" hidden="false" customHeight="true" outlineLevel="0" collapsed="false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customFormat="false" ht="19.5" hidden="false" customHeight="true" outlineLevel="0" collapsed="false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customFormat="false" ht="19.5" hidden="false" customHeight="true" outlineLevel="0" collapsed="false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customFormat="false" ht="19.5" hidden="false" customHeight="true" outlineLevel="0" collapsed="false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customFormat="false" ht="19.5" hidden="false" customHeight="true" outlineLevel="0" collapsed="false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customFormat="false" ht="19.5" hidden="false" customHeight="true" outlineLevel="0" collapsed="false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customFormat="false" ht="19.5" hidden="false" customHeight="true" outlineLevel="0" collapsed="false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customFormat="false" ht="19.5" hidden="false" customHeight="true" outlineLevel="0" collapsed="false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customFormat="false" ht="19.5" hidden="false" customHeight="true" outlineLevel="0" collapsed="false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customFormat="false" ht="19.5" hidden="false" customHeight="true" outlineLevel="0" collapsed="false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customFormat="false" ht="19.5" hidden="false" customHeight="true" outlineLevel="0" collapsed="false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customFormat="false" ht="19.5" hidden="false" customHeight="true" outlineLevel="0" collapsed="false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customFormat="false" ht="19.5" hidden="false" customHeight="true" outlineLevel="0" collapsed="false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customFormat="false" ht="19.5" hidden="false" customHeight="true" outlineLevel="0" collapsed="false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customFormat="false" ht="19.5" hidden="false" customHeight="true" outlineLevel="0" collapsed="false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customFormat="false" ht="19.5" hidden="false" customHeight="true" outlineLevel="0" collapsed="false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customFormat="false" ht="19.5" hidden="false" customHeight="true" outlineLevel="0" collapsed="false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customFormat="false" ht="19.5" hidden="false" customHeight="true" outlineLevel="0" collapsed="false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customFormat="false" ht="19.5" hidden="false" customHeight="true" outlineLevel="0" collapsed="false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customFormat="false" ht="19.5" hidden="false" customHeight="true" outlineLevel="0" collapsed="false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customFormat="false" ht="19.5" hidden="false" customHeight="true" outlineLevel="0" collapsed="false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customFormat="false" ht="19.5" hidden="false" customHeight="true" outlineLevel="0" collapsed="false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customFormat="false" ht="19.5" hidden="false" customHeight="true" outlineLevel="0" collapsed="false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customFormat="false" ht="19.5" hidden="false" customHeight="true" outlineLevel="0" collapsed="false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customFormat="false" ht="19.5" hidden="false" customHeight="true" outlineLevel="0" collapsed="false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customFormat="false" ht="19.5" hidden="false" customHeight="true" outlineLevel="0" collapsed="false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customFormat="false" ht="19.5" hidden="false" customHeight="true" outlineLevel="0" collapsed="false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customFormat="false" ht="19.5" hidden="false" customHeight="true" outlineLevel="0" collapsed="false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customFormat="false" ht="19.5" hidden="false" customHeight="true" outlineLevel="0" collapsed="false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customFormat="false" ht="19.5" hidden="false" customHeight="true" outlineLevel="0" collapsed="false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customFormat="false" ht="19.5" hidden="false" customHeight="true" outlineLevel="0" collapsed="false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customFormat="false" ht="19.5" hidden="false" customHeight="true" outlineLevel="0" collapsed="false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customFormat="false" ht="19.5" hidden="false" customHeight="true" outlineLevel="0" collapsed="false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customFormat="false" ht="19.5" hidden="false" customHeight="true" outlineLevel="0" collapsed="false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customFormat="false" ht="19.5" hidden="false" customHeight="true" outlineLevel="0" collapsed="false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customFormat="false" ht="19.5" hidden="false" customHeight="true" outlineLevel="0" collapsed="false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customFormat="false" ht="19.5" hidden="false" customHeight="true" outlineLevel="0" collapsed="false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customFormat="false" ht="19.5" hidden="false" customHeight="true" outlineLevel="0" collapsed="false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customFormat="false" ht="19.5" hidden="false" customHeight="true" outlineLevel="0" collapsed="false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customFormat="false" ht="19.5" hidden="false" customHeight="true" outlineLevel="0" collapsed="false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customFormat="false" ht="19.5" hidden="false" customHeight="true" outlineLevel="0" collapsed="false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customFormat="false" ht="19.5" hidden="false" customHeight="true" outlineLevel="0" collapsed="false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customFormat="false" ht="19.5" hidden="false" customHeight="true" outlineLevel="0" collapsed="false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customFormat="false" ht="19.5" hidden="false" customHeight="true" outlineLevel="0" collapsed="false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customFormat="false" ht="19.5" hidden="false" customHeight="true" outlineLevel="0" collapsed="false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customFormat="false" ht="19.5" hidden="false" customHeight="true" outlineLevel="0" collapsed="false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customFormat="false" ht="19.5" hidden="false" customHeight="true" outlineLevel="0" collapsed="false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customFormat="false" ht="19.5" hidden="false" customHeight="true" outlineLevel="0" collapsed="false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customFormat="false" ht="19.5" hidden="false" customHeight="true" outlineLevel="0" collapsed="false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customFormat="false" ht="19.5" hidden="false" customHeight="true" outlineLevel="0" collapsed="false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customFormat="false" ht="19.5" hidden="false" customHeight="true" outlineLevel="0" collapsed="false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customFormat="false" ht="19.5" hidden="false" customHeight="true" outlineLevel="0" collapsed="false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customFormat="false" ht="19.5" hidden="false" customHeight="true" outlineLevel="0" collapsed="false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customFormat="false" ht="19.5" hidden="false" customHeight="true" outlineLevel="0" collapsed="false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customFormat="false" ht="19.5" hidden="false" customHeight="true" outlineLevel="0" collapsed="false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customFormat="false" ht="19.5" hidden="false" customHeight="true" outlineLevel="0" collapsed="false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customFormat="false" ht="19.5" hidden="false" customHeight="true" outlineLevel="0" collapsed="false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customFormat="false" ht="19.5" hidden="false" customHeight="true" outlineLevel="0" collapsed="false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customFormat="false" ht="19.5" hidden="false" customHeight="true" outlineLevel="0" collapsed="false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customFormat="false" ht="19.5" hidden="false" customHeight="true" outlineLevel="0" collapsed="false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customFormat="false" ht="19.5" hidden="false" customHeight="true" outlineLevel="0" collapsed="false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customFormat="false" ht="19.5" hidden="false" customHeight="true" outlineLevel="0" collapsed="false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customFormat="false" ht="19.5" hidden="false" customHeight="true" outlineLevel="0" collapsed="false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customFormat="false" ht="19.5" hidden="false" customHeight="true" outlineLevel="0" collapsed="false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  <row r="1001" customFormat="false" ht="19.5" hidden="false" customHeight="true" outlineLevel="0" collapsed="false">
      <c r="A1001" s="32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</row>
    <row r="1002" customFormat="false" ht="19.5" hidden="false" customHeight="true" outlineLevel="0" collapsed="false">
      <c r="A1002" s="32"/>
      <c r="B1002" s="32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</row>
    <row r="1003" customFormat="false" ht="19.5" hidden="false" customHeight="true" outlineLevel="0" collapsed="false">
      <c r="A1003" s="32"/>
      <c r="B1003" s="32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</row>
    <row r="1004" customFormat="false" ht="19.5" hidden="false" customHeight="true" outlineLevel="0" collapsed="false">
      <c r="A1004" s="32"/>
      <c r="B1004" s="32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</row>
    <row r="1005" customFormat="false" ht="19.5" hidden="false" customHeight="true" outlineLevel="0" collapsed="false">
      <c r="A1005" s="32"/>
      <c r="B1005" s="32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</row>
    <row r="1006" customFormat="false" ht="19.5" hidden="false" customHeight="true" outlineLevel="0" collapsed="false">
      <c r="A1006" s="32"/>
      <c r="B1006" s="32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</row>
    <row r="1007" customFormat="false" ht="19.5" hidden="false" customHeight="true" outlineLevel="0" collapsed="false">
      <c r="A1007" s="32"/>
      <c r="B1007" s="32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</row>
    <row r="1008" customFormat="false" ht="19.5" hidden="false" customHeight="true" outlineLevel="0" collapsed="false">
      <c r="B1008" s="32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</row>
    <row r="1009" customFormat="false" ht="19.5" hidden="false" customHeight="true" outlineLevel="0" collapsed="false">
      <c r="B1009" s="32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4" min="1" style="8" width="24.13"/>
  </cols>
  <sheetData>
    <row r="1" customFormat="false" ht="27.75" hidden="false" customHeight="true" outlineLevel="0" collapsed="false">
      <c r="A1" s="36" t="s">
        <v>368</v>
      </c>
      <c r="B1" s="37" t="s">
        <v>342</v>
      </c>
      <c r="C1" s="38" t="s">
        <v>343</v>
      </c>
      <c r="D1" s="18" t="s">
        <v>345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customFormat="false" ht="27.75" hidden="false" customHeight="true" outlineLevel="0" collapsed="false">
      <c r="A2" s="39" t="s">
        <v>21</v>
      </c>
      <c r="B2" s="9" t="s">
        <v>14</v>
      </c>
      <c r="C2" s="9" t="s">
        <v>10</v>
      </c>
      <c r="D2" s="9" t="s">
        <v>369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customFormat="false" ht="27.75" hidden="false" customHeight="true" outlineLevel="0" collapsed="false">
      <c r="A3" s="40" t="s">
        <v>20</v>
      </c>
      <c r="B3" s="9" t="s">
        <v>14</v>
      </c>
      <c r="C3" s="9" t="s">
        <v>10</v>
      </c>
      <c r="D3" s="9" t="s">
        <v>369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customFormat="false" ht="27.75" hidden="false" customHeight="true" outlineLevel="0" collapsed="false">
      <c r="A4" s="39" t="s">
        <v>22</v>
      </c>
      <c r="B4" s="9" t="s">
        <v>14</v>
      </c>
      <c r="C4" s="9" t="s">
        <v>10</v>
      </c>
      <c r="D4" s="9" t="s">
        <v>369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customFormat="false" ht="27.75" hidden="false" customHeight="true" outlineLevel="0" collapsed="false">
      <c r="A5" s="39" t="s">
        <v>18</v>
      </c>
      <c r="B5" s="9" t="s">
        <v>14</v>
      </c>
      <c r="C5" s="9" t="s">
        <v>10</v>
      </c>
      <c r="D5" s="9" t="s">
        <v>369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customFormat="false" ht="27.75" hidden="false" customHeight="true" outlineLevel="0" collapsed="false">
      <c r="A6" s="41" t="s">
        <v>23</v>
      </c>
      <c r="B6" s="9" t="s">
        <v>7</v>
      </c>
      <c r="C6" s="9" t="s">
        <v>8</v>
      </c>
      <c r="D6" s="9" t="s">
        <v>369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customFormat="false" ht="27.75" hidden="false" customHeight="true" outlineLevel="0" collapsed="false">
      <c r="A7" s="41" t="s">
        <v>370</v>
      </c>
      <c r="B7" s="9" t="s">
        <v>7</v>
      </c>
      <c r="C7" s="9" t="s">
        <v>8</v>
      </c>
      <c r="D7" s="9" t="s">
        <v>369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customFormat="false" ht="27.75" hidden="false" customHeight="true" outlineLevel="0" collapsed="false">
      <c r="A8" s="41" t="s">
        <v>371</v>
      </c>
      <c r="B8" s="9" t="s">
        <v>7</v>
      </c>
      <c r="C8" s="9" t="s">
        <v>8</v>
      </c>
      <c r="D8" s="9" t="s">
        <v>369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customFormat="false" ht="27.75" hidden="false" customHeight="true" outlineLevel="0" collapsed="false">
      <c r="A9" s="42" t="s">
        <v>25</v>
      </c>
      <c r="B9" s="9" t="s">
        <v>11</v>
      </c>
      <c r="C9" s="9" t="s">
        <v>13</v>
      </c>
      <c r="D9" s="9" t="s">
        <v>369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customFormat="false" ht="27.75" hidden="false" customHeight="true" outlineLevel="0" collapsed="false">
      <c r="A10" s="42" t="s">
        <v>26</v>
      </c>
      <c r="B10" s="9" t="s">
        <v>11</v>
      </c>
      <c r="C10" s="9" t="s">
        <v>13</v>
      </c>
      <c r="D10" s="9" t="s">
        <v>369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customFormat="false" ht="27.75" hidden="false" customHeight="true" outlineLevel="0" collapsed="false">
      <c r="A11" s="42" t="s">
        <v>27</v>
      </c>
      <c r="B11" s="9" t="s">
        <v>11</v>
      </c>
      <c r="C11" s="9" t="s">
        <v>13</v>
      </c>
      <c r="D11" s="9" t="s">
        <v>369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customFormat="false" ht="27.75" hidden="false" customHeight="true" outlineLevel="0" collapsed="false">
      <c r="A12" s="42" t="s">
        <v>372</v>
      </c>
      <c r="B12" s="9" t="s">
        <v>11</v>
      </c>
      <c r="C12" s="9" t="s">
        <v>13</v>
      </c>
      <c r="D12" s="9" t="s">
        <v>369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customFormat="false" ht="27.75" hidden="false" customHeight="true" outlineLevel="0" collapsed="false">
      <c r="A13" s="42" t="s">
        <v>19</v>
      </c>
      <c r="B13" s="9" t="s">
        <v>11</v>
      </c>
      <c r="C13" s="9" t="s">
        <v>13</v>
      </c>
      <c r="D13" s="9" t="s">
        <v>369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customFormat="false" ht="27.75" hidden="false" customHeight="true" outlineLevel="0" collapsed="false">
      <c r="A14" s="42" t="s">
        <v>373</v>
      </c>
      <c r="B14" s="9" t="s">
        <v>11</v>
      </c>
      <c r="C14" s="9" t="s">
        <v>13</v>
      </c>
      <c r="D14" s="9" t="s">
        <v>369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customFormat="false" ht="27.75" hidden="false" customHeight="true" outlineLevel="0" collapsed="false">
      <c r="A15" s="42" t="s">
        <v>374</v>
      </c>
      <c r="B15" s="9" t="s">
        <v>11</v>
      </c>
      <c r="C15" s="9" t="s">
        <v>13</v>
      </c>
      <c r="D15" s="9" t="s">
        <v>369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customFormat="false" ht="27.75" hidden="false" customHeight="true" outlineLevel="0" collapsed="false">
      <c r="A16" s="42" t="s">
        <v>375</v>
      </c>
      <c r="B16" s="9" t="s">
        <v>11</v>
      </c>
      <c r="C16" s="9" t="s">
        <v>13</v>
      </c>
      <c r="D16" s="9" t="s">
        <v>369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customFormat="false" ht="27.75" hidden="false" customHeight="true" outlineLevel="0" collapsed="false">
      <c r="A17" s="43" t="s">
        <v>24</v>
      </c>
      <c r="B17" s="9" t="s">
        <v>12</v>
      </c>
      <c r="C17" s="9" t="s">
        <v>15</v>
      </c>
      <c r="D17" s="9" t="s">
        <v>9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customFormat="false" ht="27.75" hidden="false" customHeight="true" outlineLevel="0" collapsed="false">
      <c r="A18" s="43" t="s">
        <v>24</v>
      </c>
      <c r="B18" s="9" t="s">
        <v>12</v>
      </c>
      <c r="C18" s="9" t="s">
        <v>15</v>
      </c>
      <c r="D18" s="9" t="s">
        <v>9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customFormat="false" ht="27.75" hidden="false" customHeight="tru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customFormat="false" ht="27.75" hidden="false" customHeight="tru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customFormat="false" ht="27.75" hidden="false" customHeight="tru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customFormat="false" ht="27.75" hidden="false" customHeight="tru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customFormat="false" ht="27.75" hidden="false" customHeight="tru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customFormat="false" ht="27.75" hidden="false" customHeight="tru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customFormat="false" ht="27.75" hidden="false" customHeight="tru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customFormat="false" ht="27.75" hidden="false" customHeight="tru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customFormat="false" ht="27.75" hidden="false" customHeight="tru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customFormat="false" ht="27.75" hidden="false" customHeight="tru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customFormat="false" ht="27.75" hidden="false" customHeight="tru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customFormat="false" ht="27.75" hidden="false" customHeight="tru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customFormat="false" ht="27.75" hidden="false" customHeight="tru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customFormat="false" ht="27.75" hidden="false" customHeight="tru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customFormat="false" ht="27.75" hidden="false" customHeight="tru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customFormat="false" ht="27.75" hidden="false" customHeight="tru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customFormat="false" ht="27.75" hidden="false" customHeight="tru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customFormat="false" ht="27.75" hidden="false" customHeight="tru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customFormat="false" ht="27.75" hidden="false" customHeight="tru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customFormat="false" ht="27.7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customFormat="false" ht="27.75" hidden="false" customHeight="tru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customFormat="false" ht="27.75" hidden="false" customHeight="tru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customFormat="false" ht="27.75" hidden="false" customHeight="true" outlineLevel="0" collapsed="false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customFormat="false" ht="27.75" hidden="false" customHeight="true" outlineLevel="0" collapsed="false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customFormat="false" ht="27.75" hidden="false" customHeight="true" outlineLevel="0" collapsed="false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customFormat="false" ht="27.75" hidden="false" customHeight="true" outlineLevel="0" collapsed="false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customFormat="false" ht="27.75" hidden="false" customHeight="true" outlineLevel="0" collapsed="false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customFormat="false" ht="27.75" hidden="false" customHeight="true" outlineLevel="0" collapsed="false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customFormat="false" ht="27.75" hidden="false" customHeight="true" outlineLevel="0" collapsed="false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customFormat="false" ht="27.75" hidden="false" customHeight="true" outlineLevel="0" collapsed="false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customFormat="false" ht="27.75" hidden="false" customHeight="true" outlineLevel="0" collapsed="false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customFormat="false" ht="27.75" hidden="false" customHeight="true" outlineLevel="0" collapsed="false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customFormat="false" ht="27.75" hidden="false" customHeight="true" outlineLevel="0" collapsed="false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customFormat="false" ht="27.75" hidden="false" customHeight="true" outlineLevel="0" collapsed="false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customFormat="false" ht="27.75" hidden="false" customHeight="true" outlineLevel="0" collapsed="false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customFormat="false" ht="27.75" hidden="false" customHeight="true" outlineLevel="0" collapsed="false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customFormat="false" ht="27.75" hidden="false" customHeight="true" outlineLevel="0" collapsed="false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customFormat="false" ht="27.75" hidden="false" customHeight="true" outlineLevel="0" collapsed="false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customFormat="false" ht="27.75" hidden="false" customHeight="true" outlineLevel="0" collapsed="false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customFormat="false" ht="27.75" hidden="false" customHeight="true" outlineLevel="0" collapsed="false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customFormat="false" ht="27.75" hidden="false" customHeight="true" outlineLevel="0" collapsed="false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customFormat="false" ht="27.75" hidden="false" customHeight="true" outlineLevel="0" collapsed="false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customFormat="false" ht="27.75" hidden="false" customHeight="true" outlineLevel="0" collapsed="false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customFormat="false" ht="27.75" hidden="false" customHeight="true" outlineLevel="0" collapsed="false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customFormat="false" ht="27.75" hidden="false" customHeight="true" outlineLevel="0" collapsed="false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customFormat="false" ht="27.75" hidden="false" customHeight="true" outlineLevel="0" collapsed="false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customFormat="false" ht="27.75" hidden="false" customHeight="true" outlineLevel="0" collapsed="false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customFormat="false" ht="27.75" hidden="false" customHeight="true" outlineLevel="0" collapsed="false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customFormat="false" ht="27.75" hidden="false" customHeight="true" outlineLevel="0" collapsed="false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customFormat="false" ht="27.75" hidden="false" customHeight="true" outlineLevel="0" collapsed="false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customFormat="false" ht="27.75" hidden="false" customHeight="true" outlineLevel="0" collapsed="false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customFormat="false" ht="27.75" hidden="false" customHeight="true" outlineLevel="0" collapsed="false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customFormat="false" ht="27.75" hidden="false" customHeight="true" outlineLevel="0" collapsed="false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customFormat="false" ht="27.75" hidden="false" customHeight="true" outlineLevel="0" collapsed="false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customFormat="false" ht="27.75" hidden="false" customHeight="true" outlineLevel="0" collapsed="false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customFormat="false" ht="27.75" hidden="false" customHeight="true" outlineLevel="0" collapsed="false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customFormat="false" ht="27.75" hidden="false" customHeight="true" outlineLevel="0" collapsed="false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customFormat="false" ht="27.75" hidden="false" customHeight="true" outlineLevel="0" collapsed="false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customFormat="false" ht="27.75" hidden="false" customHeight="true" outlineLevel="0" collapsed="false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customFormat="false" ht="27.75" hidden="false" customHeight="true" outlineLevel="0" collapsed="false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customFormat="false" ht="27.75" hidden="false" customHeight="true" outlineLevel="0" collapsed="false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customFormat="false" ht="27.75" hidden="false" customHeight="true" outlineLevel="0" collapsed="false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customFormat="false" ht="27.75" hidden="false" customHeight="true" outlineLevel="0" collapsed="false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customFormat="false" ht="27.75" hidden="false" customHeight="true" outlineLevel="0" collapsed="false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customFormat="false" ht="27.75" hidden="false" customHeight="true" outlineLevel="0" collapsed="false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customFormat="false" ht="27.75" hidden="false" customHeight="true" outlineLevel="0" collapsed="false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customFormat="false" ht="27.75" hidden="false" customHeight="true" outlineLevel="0" collapsed="false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customFormat="false" ht="27.75" hidden="false" customHeight="true" outlineLevel="0" collapsed="false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customFormat="false" ht="27.75" hidden="false" customHeight="true" outlineLevel="0" collapsed="false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customFormat="false" ht="27.75" hidden="false" customHeight="true" outlineLevel="0" collapsed="false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customFormat="false" ht="27.75" hidden="false" customHeight="true" outlineLevel="0" collapsed="false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customFormat="false" ht="27.75" hidden="false" customHeight="true" outlineLevel="0" collapsed="false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customFormat="false" ht="27.75" hidden="false" customHeight="true" outlineLevel="0" collapsed="false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customFormat="false" ht="27.75" hidden="false" customHeight="true" outlineLevel="0" collapsed="false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customFormat="false" ht="27.75" hidden="false" customHeight="true" outlineLevel="0" collapsed="false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customFormat="false" ht="27.75" hidden="false" customHeight="true" outlineLevel="0" collapsed="false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customFormat="false" ht="27.75" hidden="false" customHeight="true" outlineLevel="0" collapsed="false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customFormat="false" ht="27.75" hidden="false" customHeight="true" outlineLevel="0" collapsed="false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customFormat="false" ht="27.75" hidden="false" customHeight="true" outlineLevel="0" collapsed="false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customFormat="false" ht="27.75" hidden="false" customHeight="true" outlineLevel="0" collapsed="false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customFormat="false" ht="27.75" hidden="false" customHeight="true" outlineLevel="0" collapsed="false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customFormat="false" ht="27.75" hidden="false" customHeight="true" outlineLevel="0" collapsed="false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customFormat="false" ht="27.75" hidden="false" customHeight="true" outlineLevel="0" collapsed="false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customFormat="false" ht="27.75" hidden="false" customHeight="true" outlineLevel="0" collapsed="false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customFormat="false" ht="27.75" hidden="false" customHeight="true" outlineLevel="0" collapsed="false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customFormat="false" ht="27.75" hidden="false" customHeight="true" outlineLevel="0" collapsed="false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customFormat="false" ht="27.75" hidden="false" customHeight="true" outlineLevel="0" collapsed="false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customFormat="false" ht="27.75" hidden="false" customHeight="true" outlineLevel="0" collapsed="false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customFormat="false" ht="27.75" hidden="false" customHeight="true" outlineLevel="0" collapsed="false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customFormat="false" ht="27.75" hidden="false" customHeight="true" outlineLevel="0" collapsed="false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customFormat="false" ht="27.75" hidden="false" customHeight="true" outlineLevel="0" collapsed="false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customFormat="false" ht="27.75" hidden="false" customHeight="true" outlineLevel="0" collapsed="false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customFormat="false" ht="27.75" hidden="false" customHeight="true" outlineLevel="0" collapsed="false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customFormat="false" ht="27.75" hidden="false" customHeight="true" outlineLevel="0" collapsed="false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customFormat="false" ht="27.75" hidden="false" customHeight="true" outlineLevel="0" collapsed="false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customFormat="false" ht="27.75" hidden="false" customHeight="true" outlineLevel="0" collapsed="false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customFormat="false" ht="27.75" hidden="false" customHeight="true" outlineLevel="0" collapsed="false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customFormat="false" ht="27.75" hidden="false" customHeight="true" outlineLevel="0" collapsed="false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customFormat="false" ht="27.75" hidden="false" customHeight="true" outlineLevel="0" collapsed="false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customFormat="false" ht="27.75" hidden="false" customHeight="true" outlineLevel="0" collapsed="false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customFormat="false" ht="27.75" hidden="false" customHeight="true" outlineLevel="0" collapsed="false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customFormat="false" ht="27.75" hidden="false" customHeight="true" outlineLevel="0" collapsed="false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customFormat="false" ht="27.75" hidden="false" customHeight="true" outlineLevel="0" collapsed="false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customFormat="false" ht="27.75" hidden="false" customHeight="true" outlineLevel="0" collapsed="false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customFormat="false" ht="27.75" hidden="false" customHeight="true" outlineLevel="0" collapsed="false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customFormat="false" ht="27.75" hidden="false" customHeight="true" outlineLevel="0" collapsed="false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customFormat="false" ht="27.75" hidden="false" customHeight="true" outlineLevel="0" collapsed="false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customFormat="false" ht="27.75" hidden="false" customHeight="true" outlineLevel="0" collapsed="false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customFormat="false" ht="27.75" hidden="false" customHeight="true" outlineLevel="0" collapsed="false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customFormat="false" ht="27.75" hidden="false" customHeight="true" outlineLevel="0" collapsed="false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customFormat="false" ht="27.75" hidden="false" customHeight="true" outlineLevel="0" collapsed="false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customFormat="false" ht="27.75" hidden="false" customHeight="true" outlineLevel="0" collapsed="false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customFormat="false" ht="27.75" hidden="false" customHeight="true" outlineLevel="0" collapsed="false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customFormat="false" ht="27.75" hidden="false" customHeight="true" outlineLevel="0" collapsed="false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customFormat="false" ht="27.75" hidden="false" customHeight="true" outlineLevel="0" collapsed="false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customFormat="false" ht="27.75" hidden="false" customHeight="true" outlineLevel="0" collapsed="false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customFormat="false" ht="27.75" hidden="false" customHeight="true" outlineLevel="0" collapsed="false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customFormat="false" ht="27.75" hidden="false" customHeight="true" outlineLevel="0" collapsed="false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customFormat="false" ht="27.75" hidden="false" customHeight="true" outlineLevel="0" collapsed="false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customFormat="false" ht="27.75" hidden="false" customHeight="true" outlineLevel="0" collapsed="false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customFormat="false" ht="27.75" hidden="false" customHeight="true" outlineLevel="0" collapsed="false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customFormat="false" ht="27.75" hidden="false" customHeight="true" outlineLevel="0" collapsed="false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customFormat="false" ht="27.75" hidden="false" customHeight="true" outlineLevel="0" collapsed="false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customFormat="false" ht="27.75" hidden="false" customHeight="true" outlineLevel="0" collapsed="false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customFormat="false" ht="27.75" hidden="false" customHeight="true" outlineLevel="0" collapsed="false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customFormat="false" ht="27.75" hidden="false" customHeight="true" outlineLevel="0" collapsed="false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customFormat="false" ht="27.75" hidden="false" customHeight="true" outlineLevel="0" collapsed="false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customFormat="false" ht="27.75" hidden="false" customHeight="true" outlineLevel="0" collapsed="false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customFormat="false" ht="27.75" hidden="false" customHeight="true" outlineLevel="0" collapsed="false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customFormat="false" ht="27.75" hidden="false" customHeight="true" outlineLevel="0" collapsed="false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customFormat="false" ht="27.75" hidden="false" customHeight="true" outlineLevel="0" collapsed="false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customFormat="false" ht="27.75" hidden="false" customHeight="true" outlineLevel="0" collapsed="false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customFormat="false" ht="27.75" hidden="false" customHeight="true" outlineLevel="0" collapsed="false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customFormat="false" ht="27.75" hidden="false" customHeight="true" outlineLevel="0" collapsed="false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customFormat="false" ht="27.75" hidden="false" customHeight="true" outlineLevel="0" collapsed="false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customFormat="false" ht="27.75" hidden="false" customHeight="true" outlineLevel="0" collapsed="false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customFormat="false" ht="27.75" hidden="false" customHeight="true" outlineLevel="0" collapsed="false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customFormat="false" ht="27.75" hidden="false" customHeight="true" outlineLevel="0" collapsed="false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customFormat="false" ht="27.75" hidden="false" customHeight="true" outlineLevel="0" collapsed="false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customFormat="false" ht="27.75" hidden="false" customHeight="true" outlineLevel="0" collapsed="false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customFormat="false" ht="27.75" hidden="false" customHeight="true" outlineLevel="0" collapsed="false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customFormat="false" ht="27.75" hidden="false" customHeight="true" outlineLevel="0" collapsed="false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customFormat="false" ht="27.75" hidden="false" customHeight="true" outlineLevel="0" collapsed="false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customFormat="false" ht="27.75" hidden="false" customHeight="true" outlineLevel="0" collapsed="false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customFormat="false" ht="27.75" hidden="false" customHeight="true" outlineLevel="0" collapsed="false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customFormat="false" ht="27.75" hidden="false" customHeight="true" outlineLevel="0" collapsed="false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customFormat="false" ht="27.75" hidden="false" customHeight="true" outlineLevel="0" collapsed="false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customFormat="false" ht="27.75" hidden="false" customHeight="true" outlineLevel="0" collapsed="false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customFormat="false" ht="27.75" hidden="false" customHeight="true" outlineLevel="0" collapsed="false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customFormat="false" ht="27.75" hidden="false" customHeight="true" outlineLevel="0" collapsed="false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 customFormat="false" ht="27.75" hidden="false" customHeight="true" outlineLevel="0" collapsed="false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customFormat="false" ht="27.75" hidden="false" customHeight="true" outlineLevel="0" collapsed="false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customFormat="false" ht="27.75" hidden="false" customHeight="true" outlineLevel="0" collapsed="false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customFormat="false" ht="27.75" hidden="false" customHeight="true" outlineLevel="0" collapsed="false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 customFormat="false" ht="27.75" hidden="false" customHeight="true" outlineLevel="0" collapsed="false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customFormat="false" ht="27.75" hidden="false" customHeight="true" outlineLevel="0" collapsed="false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 customFormat="false" ht="27.75" hidden="false" customHeight="true" outlineLevel="0" collapsed="false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customFormat="false" ht="27.75" hidden="false" customHeight="true" outlineLevel="0" collapsed="false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customFormat="false" ht="27.75" hidden="false" customHeight="true" outlineLevel="0" collapsed="false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customFormat="false" ht="27.75" hidden="false" customHeight="true" outlineLevel="0" collapsed="false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 customFormat="false" ht="27.75" hidden="false" customHeight="true" outlineLevel="0" collapsed="false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customFormat="false" ht="27.75" hidden="false" customHeight="true" outlineLevel="0" collapsed="false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customFormat="false" ht="27.75" hidden="false" customHeight="true" outlineLevel="0" collapsed="false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customFormat="false" ht="27.75" hidden="false" customHeight="true" outlineLevel="0" collapsed="false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customFormat="false" ht="27.75" hidden="false" customHeight="true" outlineLevel="0" collapsed="false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customFormat="false" ht="27.75" hidden="false" customHeight="true" outlineLevel="0" collapsed="false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 customFormat="false" ht="27.75" hidden="false" customHeight="true" outlineLevel="0" collapsed="false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 customFormat="false" ht="27.75" hidden="false" customHeight="true" outlineLevel="0" collapsed="false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customFormat="false" ht="27.75" hidden="false" customHeight="true" outlineLevel="0" collapsed="false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customFormat="false" ht="27.75" hidden="false" customHeight="true" outlineLevel="0" collapsed="false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 customFormat="false" ht="27.75" hidden="false" customHeight="true" outlineLevel="0" collapsed="false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customFormat="false" ht="27.75" hidden="false" customHeight="true" outlineLevel="0" collapsed="false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customFormat="false" ht="27.75" hidden="false" customHeight="true" outlineLevel="0" collapsed="false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customFormat="false" ht="27.75" hidden="false" customHeight="true" outlineLevel="0" collapsed="false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customFormat="false" ht="27.75" hidden="false" customHeight="true" outlineLevel="0" collapsed="false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customFormat="false" ht="27.75" hidden="false" customHeight="true" outlineLevel="0" collapsed="false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customFormat="false" ht="27.75" hidden="false" customHeight="true" outlineLevel="0" collapsed="false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customFormat="false" ht="27.75" hidden="false" customHeight="true" outlineLevel="0" collapsed="false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customFormat="false" ht="27.75" hidden="false" customHeight="true" outlineLevel="0" collapsed="false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customFormat="false" ht="27.75" hidden="false" customHeight="true" outlineLevel="0" collapsed="false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customFormat="false" ht="27.75" hidden="false" customHeight="true" outlineLevel="0" collapsed="false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customFormat="false" ht="27.75" hidden="false" customHeight="true" outlineLevel="0" collapsed="false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customFormat="false" ht="27.75" hidden="false" customHeight="true" outlineLevel="0" collapsed="false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customFormat="false" ht="27.75" hidden="false" customHeight="true" outlineLevel="0" collapsed="false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 customFormat="false" ht="27.75" hidden="false" customHeight="true" outlineLevel="0" collapsed="false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customFormat="false" ht="27.75" hidden="false" customHeight="true" outlineLevel="0" collapsed="false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customFormat="false" ht="27.75" hidden="false" customHeight="true" outlineLevel="0" collapsed="false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customFormat="false" ht="27.75" hidden="false" customHeight="true" outlineLevel="0" collapsed="false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customFormat="false" ht="27.75" hidden="false" customHeight="true" outlineLevel="0" collapsed="false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customFormat="false" ht="27.75" hidden="false" customHeight="true" outlineLevel="0" collapsed="false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customFormat="false" ht="27.75" hidden="false" customHeight="true" outlineLevel="0" collapsed="false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customFormat="false" ht="27.75" hidden="false" customHeight="true" outlineLevel="0" collapsed="false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customFormat="false" ht="27.75" hidden="false" customHeight="true" outlineLevel="0" collapsed="false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customFormat="false" ht="27.75" hidden="false" customHeight="true" outlineLevel="0" collapsed="false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customFormat="false" ht="27.75" hidden="false" customHeight="true" outlineLevel="0" collapsed="false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customFormat="false" ht="27.75" hidden="false" customHeight="true" outlineLevel="0" collapsed="false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 customFormat="false" ht="27.75" hidden="false" customHeight="true" outlineLevel="0" collapsed="false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customFormat="false" ht="27.75" hidden="false" customHeight="true" outlineLevel="0" collapsed="false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customFormat="false" ht="27.75" hidden="false" customHeight="true" outlineLevel="0" collapsed="false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 customFormat="false" ht="27.75" hidden="false" customHeight="true" outlineLevel="0" collapsed="false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customFormat="false" ht="27.75" hidden="false" customHeight="true" outlineLevel="0" collapsed="false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customFormat="false" ht="27.75" hidden="false" customHeight="true" outlineLevel="0" collapsed="false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 customFormat="false" ht="27.75" hidden="false" customHeight="true" outlineLevel="0" collapsed="false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 customFormat="false" ht="27.75" hidden="false" customHeight="true" outlineLevel="0" collapsed="false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 customFormat="false" ht="27.75" hidden="false" customHeight="true" outlineLevel="0" collapsed="false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 customFormat="false" ht="27.75" hidden="false" customHeight="true" outlineLevel="0" collapsed="false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 customFormat="false" ht="27.75" hidden="false" customHeight="true" outlineLevel="0" collapsed="false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 customFormat="false" ht="27.75" hidden="false" customHeight="true" outlineLevel="0" collapsed="false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 customFormat="false" ht="27.75" hidden="false" customHeight="true" outlineLevel="0" collapsed="false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 customFormat="false" ht="27.75" hidden="false" customHeight="true" outlineLevel="0" collapsed="false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 customFormat="false" ht="27.75" hidden="false" customHeight="true" outlineLevel="0" collapsed="false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 customFormat="false" ht="27.75" hidden="false" customHeight="true" outlineLevel="0" collapsed="false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 customFormat="false" ht="27.75" hidden="false" customHeight="true" outlineLevel="0" collapsed="false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 customFormat="false" ht="27.75" hidden="false" customHeight="true" outlineLevel="0" collapsed="false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 customFormat="false" ht="27.75" hidden="false" customHeight="true" outlineLevel="0" collapsed="false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 customFormat="false" ht="27.75" hidden="false" customHeight="true" outlineLevel="0" collapsed="false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 customFormat="false" ht="27.75" hidden="false" customHeight="true" outlineLevel="0" collapsed="false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 customFormat="false" ht="27.75" hidden="false" customHeight="true" outlineLevel="0" collapsed="false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 customFormat="false" ht="27.75" hidden="false" customHeight="true" outlineLevel="0" collapsed="false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 customFormat="false" ht="27.75" hidden="false" customHeight="true" outlineLevel="0" collapsed="false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 customFormat="false" ht="27.75" hidden="false" customHeight="true" outlineLevel="0" collapsed="false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 customFormat="false" ht="27.75" hidden="false" customHeight="true" outlineLevel="0" collapsed="false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 customFormat="false" ht="27.75" hidden="false" customHeight="true" outlineLevel="0" collapsed="false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 customFormat="false" ht="27.75" hidden="false" customHeight="true" outlineLevel="0" collapsed="false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 customFormat="false" ht="27.75" hidden="false" customHeight="true" outlineLevel="0" collapsed="false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 customFormat="false" ht="27.75" hidden="false" customHeight="true" outlineLevel="0" collapsed="false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 customFormat="false" ht="27.75" hidden="false" customHeight="true" outlineLevel="0" collapsed="false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 customFormat="false" ht="27.75" hidden="false" customHeight="true" outlineLevel="0" collapsed="false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 customFormat="false" ht="27.75" hidden="false" customHeight="true" outlineLevel="0" collapsed="false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 customFormat="false" ht="27.75" hidden="false" customHeight="true" outlineLevel="0" collapsed="false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 customFormat="false" ht="27.75" hidden="false" customHeight="true" outlineLevel="0" collapsed="false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 customFormat="false" ht="27.75" hidden="false" customHeight="true" outlineLevel="0" collapsed="false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 customFormat="false" ht="27.75" hidden="false" customHeight="true" outlineLevel="0" collapsed="false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 customFormat="false" ht="27.75" hidden="false" customHeight="true" outlineLevel="0" collapsed="false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 customFormat="false" ht="27.75" hidden="false" customHeight="true" outlineLevel="0" collapsed="false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 customFormat="false" ht="27.75" hidden="false" customHeight="true" outlineLevel="0" collapsed="false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 customFormat="false" ht="27.75" hidden="false" customHeight="true" outlineLevel="0" collapsed="false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 customFormat="false" ht="27.75" hidden="false" customHeight="true" outlineLevel="0" collapsed="false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 customFormat="false" ht="27.75" hidden="false" customHeight="true" outlineLevel="0" collapsed="false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 customFormat="false" ht="27.75" hidden="false" customHeight="true" outlineLevel="0" collapsed="false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 customFormat="false" ht="27.75" hidden="false" customHeight="true" outlineLevel="0" collapsed="false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 customFormat="false" ht="27.75" hidden="false" customHeight="true" outlineLevel="0" collapsed="false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 customFormat="false" ht="27.75" hidden="false" customHeight="true" outlineLevel="0" collapsed="false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 customFormat="false" ht="27.75" hidden="false" customHeight="true" outlineLevel="0" collapsed="false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 customFormat="false" ht="27.75" hidden="false" customHeight="true" outlineLevel="0" collapsed="false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 customFormat="false" ht="27.75" hidden="false" customHeight="true" outlineLevel="0" collapsed="false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 customFormat="false" ht="27.75" hidden="false" customHeight="true" outlineLevel="0" collapsed="false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 customFormat="false" ht="27.75" hidden="false" customHeight="true" outlineLevel="0" collapsed="false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 customFormat="false" ht="27.75" hidden="false" customHeight="true" outlineLevel="0" collapsed="false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 customFormat="false" ht="27.75" hidden="false" customHeight="true" outlineLevel="0" collapsed="false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 customFormat="false" ht="27.75" hidden="false" customHeight="true" outlineLevel="0" collapsed="false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 customFormat="false" ht="27.75" hidden="false" customHeight="true" outlineLevel="0" collapsed="false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 customFormat="false" ht="27.75" hidden="false" customHeight="true" outlineLevel="0" collapsed="false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 customFormat="false" ht="27.75" hidden="false" customHeight="true" outlineLevel="0" collapsed="false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 customFormat="false" ht="27.75" hidden="false" customHeight="true" outlineLevel="0" collapsed="false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 customFormat="false" ht="27.75" hidden="false" customHeight="true" outlineLevel="0" collapsed="false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 customFormat="false" ht="27.75" hidden="false" customHeight="true" outlineLevel="0" collapsed="false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 customFormat="false" ht="27.75" hidden="false" customHeight="true" outlineLevel="0" collapsed="false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 customFormat="false" ht="27.75" hidden="false" customHeight="true" outlineLevel="0" collapsed="false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 customFormat="false" ht="27.75" hidden="false" customHeight="true" outlineLevel="0" collapsed="false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 customFormat="false" ht="27.75" hidden="false" customHeight="true" outlineLevel="0" collapsed="false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 customFormat="false" ht="27.75" hidden="false" customHeight="true" outlineLevel="0" collapsed="false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 customFormat="false" ht="27.75" hidden="false" customHeight="true" outlineLevel="0" collapsed="false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 customFormat="false" ht="27.75" hidden="false" customHeight="true" outlineLevel="0" collapsed="false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 customFormat="false" ht="27.75" hidden="false" customHeight="true" outlineLevel="0" collapsed="false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 customFormat="false" ht="27.75" hidden="false" customHeight="true" outlineLevel="0" collapsed="false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 customFormat="false" ht="27.75" hidden="false" customHeight="true" outlineLevel="0" collapsed="false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 customFormat="false" ht="27.75" hidden="false" customHeight="true" outlineLevel="0" collapsed="false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 customFormat="false" ht="27.75" hidden="false" customHeight="true" outlineLevel="0" collapsed="false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 customFormat="false" ht="27.75" hidden="false" customHeight="true" outlineLevel="0" collapsed="false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 customFormat="false" ht="27.75" hidden="false" customHeight="true" outlineLevel="0" collapsed="false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 customFormat="false" ht="27.75" hidden="false" customHeight="true" outlineLevel="0" collapsed="false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 customFormat="false" ht="27.75" hidden="false" customHeight="true" outlineLevel="0" collapsed="false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 customFormat="false" ht="27.75" hidden="false" customHeight="true" outlineLevel="0" collapsed="false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 customFormat="false" ht="27.75" hidden="false" customHeight="true" outlineLevel="0" collapsed="false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 customFormat="false" ht="27.75" hidden="false" customHeight="true" outlineLevel="0" collapsed="false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 customFormat="false" ht="27.75" hidden="false" customHeight="true" outlineLevel="0" collapsed="false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 customFormat="false" ht="27.75" hidden="false" customHeight="true" outlineLevel="0" collapsed="false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 customFormat="false" ht="27.75" hidden="false" customHeight="true" outlineLevel="0" collapsed="false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 customFormat="false" ht="27.75" hidden="false" customHeight="true" outlineLevel="0" collapsed="false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 customFormat="false" ht="27.75" hidden="false" customHeight="true" outlineLevel="0" collapsed="false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 customFormat="false" ht="27.75" hidden="false" customHeight="true" outlineLevel="0" collapsed="false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 customFormat="false" ht="27.75" hidden="false" customHeight="true" outlineLevel="0" collapsed="false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 customFormat="false" ht="27.75" hidden="false" customHeight="true" outlineLevel="0" collapsed="false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 customFormat="false" ht="27.75" hidden="false" customHeight="true" outlineLevel="0" collapsed="false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 customFormat="false" ht="27.75" hidden="false" customHeight="true" outlineLevel="0" collapsed="false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 customFormat="false" ht="27.75" hidden="false" customHeight="true" outlineLevel="0" collapsed="false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 customFormat="false" ht="27.75" hidden="false" customHeight="true" outlineLevel="0" collapsed="false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 customFormat="false" ht="27.75" hidden="false" customHeight="true" outlineLevel="0" collapsed="false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 customFormat="false" ht="27.75" hidden="false" customHeight="true" outlineLevel="0" collapsed="false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 customFormat="false" ht="27.75" hidden="false" customHeight="true" outlineLevel="0" collapsed="false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 customFormat="false" ht="27.75" hidden="false" customHeight="true" outlineLevel="0" collapsed="false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 customFormat="false" ht="27.75" hidden="false" customHeight="true" outlineLevel="0" collapsed="false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 customFormat="false" ht="27.75" hidden="false" customHeight="true" outlineLevel="0" collapsed="false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 customFormat="false" ht="27.75" hidden="false" customHeight="true" outlineLevel="0" collapsed="false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 customFormat="false" ht="27.75" hidden="false" customHeight="true" outlineLevel="0" collapsed="false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 customFormat="false" ht="27.75" hidden="false" customHeight="true" outlineLevel="0" collapsed="false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 customFormat="false" ht="27.75" hidden="false" customHeight="true" outlineLevel="0" collapsed="false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 customFormat="false" ht="27.75" hidden="false" customHeight="true" outlineLevel="0" collapsed="false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 customFormat="false" ht="27.75" hidden="false" customHeight="true" outlineLevel="0" collapsed="false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 customFormat="false" ht="27.75" hidden="false" customHeight="true" outlineLevel="0" collapsed="false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 customFormat="false" ht="27.75" hidden="false" customHeight="true" outlineLevel="0" collapsed="false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 customFormat="false" ht="27.75" hidden="false" customHeight="true" outlineLevel="0" collapsed="false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 customFormat="false" ht="27.75" hidden="false" customHeight="true" outlineLevel="0" collapsed="false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 customFormat="false" ht="27.75" hidden="false" customHeight="true" outlineLevel="0" collapsed="false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 customFormat="false" ht="27.75" hidden="false" customHeight="true" outlineLevel="0" collapsed="false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 customFormat="false" ht="27.75" hidden="false" customHeight="true" outlineLevel="0" collapsed="false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 customFormat="false" ht="27.75" hidden="false" customHeight="true" outlineLevel="0" collapsed="false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 customFormat="false" ht="27.75" hidden="false" customHeight="true" outlineLevel="0" collapsed="false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 customFormat="false" ht="27.75" hidden="false" customHeight="true" outlineLevel="0" collapsed="false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 customFormat="false" ht="27.75" hidden="false" customHeight="true" outlineLevel="0" collapsed="false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 customFormat="false" ht="27.75" hidden="false" customHeight="true" outlineLevel="0" collapsed="false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 customFormat="false" ht="27.75" hidden="false" customHeight="true" outlineLevel="0" collapsed="false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 customFormat="false" ht="27.75" hidden="false" customHeight="true" outlineLevel="0" collapsed="false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 customFormat="false" ht="27.75" hidden="false" customHeight="true" outlineLevel="0" collapsed="false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 customFormat="false" ht="27.75" hidden="false" customHeight="true" outlineLevel="0" collapsed="false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 customFormat="false" ht="27.75" hidden="false" customHeight="true" outlineLevel="0" collapsed="false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 customFormat="false" ht="27.75" hidden="false" customHeight="true" outlineLevel="0" collapsed="false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 customFormat="false" ht="27.75" hidden="false" customHeight="true" outlineLevel="0" collapsed="false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 customFormat="false" ht="27.75" hidden="false" customHeight="true" outlineLevel="0" collapsed="false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 customFormat="false" ht="27.75" hidden="false" customHeight="true" outlineLevel="0" collapsed="false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 customFormat="false" ht="27.75" hidden="false" customHeight="true" outlineLevel="0" collapsed="false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 customFormat="false" ht="27.75" hidden="false" customHeight="true" outlineLevel="0" collapsed="false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 customFormat="false" ht="27.75" hidden="false" customHeight="true" outlineLevel="0" collapsed="false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 customFormat="false" ht="27.75" hidden="false" customHeight="true" outlineLevel="0" collapsed="false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 customFormat="false" ht="27.75" hidden="false" customHeight="true" outlineLevel="0" collapsed="false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 customFormat="false" ht="27.75" hidden="false" customHeight="true" outlineLevel="0" collapsed="false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 customFormat="false" ht="27.75" hidden="false" customHeight="true" outlineLevel="0" collapsed="false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 customFormat="false" ht="27.75" hidden="false" customHeight="true" outlineLevel="0" collapsed="false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 customFormat="false" ht="27.75" hidden="false" customHeight="true" outlineLevel="0" collapsed="false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 customFormat="false" ht="27.75" hidden="false" customHeight="true" outlineLevel="0" collapsed="false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 customFormat="false" ht="27.75" hidden="false" customHeight="true" outlineLevel="0" collapsed="false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 customFormat="false" ht="27.75" hidden="false" customHeight="true" outlineLevel="0" collapsed="false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 customFormat="false" ht="27.75" hidden="false" customHeight="true" outlineLevel="0" collapsed="false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 customFormat="false" ht="27.75" hidden="false" customHeight="true" outlineLevel="0" collapsed="false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 customFormat="false" ht="27.75" hidden="false" customHeight="true" outlineLevel="0" collapsed="false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 customFormat="false" ht="27.75" hidden="false" customHeight="true" outlineLevel="0" collapsed="false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 customFormat="false" ht="27.75" hidden="false" customHeight="true" outlineLevel="0" collapsed="false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 customFormat="false" ht="27.75" hidden="false" customHeight="true" outlineLevel="0" collapsed="false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 customFormat="false" ht="27.75" hidden="false" customHeight="true" outlineLevel="0" collapsed="false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 customFormat="false" ht="27.75" hidden="false" customHeight="true" outlineLevel="0" collapsed="false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 customFormat="false" ht="27.75" hidden="false" customHeight="true" outlineLevel="0" collapsed="false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 customFormat="false" ht="27.75" hidden="false" customHeight="true" outlineLevel="0" collapsed="false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 customFormat="false" ht="27.75" hidden="false" customHeight="true" outlineLevel="0" collapsed="false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 customFormat="false" ht="27.75" hidden="false" customHeight="true" outlineLevel="0" collapsed="false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 customFormat="false" ht="27.75" hidden="false" customHeight="true" outlineLevel="0" collapsed="false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 customFormat="false" ht="27.75" hidden="false" customHeight="true" outlineLevel="0" collapsed="false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 customFormat="false" ht="27.75" hidden="false" customHeight="true" outlineLevel="0" collapsed="false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 customFormat="false" ht="27.75" hidden="false" customHeight="true" outlineLevel="0" collapsed="false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 customFormat="false" ht="27.75" hidden="false" customHeight="true" outlineLevel="0" collapsed="false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 customFormat="false" ht="27.75" hidden="false" customHeight="true" outlineLevel="0" collapsed="false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 customFormat="false" ht="27.75" hidden="false" customHeight="true" outlineLevel="0" collapsed="false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 customFormat="false" ht="27.75" hidden="false" customHeight="true" outlineLevel="0" collapsed="false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 customFormat="false" ht="27.75" hidden="false" customHeight="true" outlineLevel="0" collapsed="false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 customFormat="false" ht="27.75" hidden="false" customHeight="true" outlineLevel="0" collapsed="false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 customFormat="false" ht="27.75" hidden="false" customHeight="true" outlineLevel="0" collapsed="false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 customFormat="false" ht="27.75" hidden="false" customHeight="true" outlineLevel="0" collapsed="false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 customFormat="false" ht="27.75" hidden="false" customHeight="true" outlineLevel="0" collapsed="false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 customFormat="false" ht="27.75" hidden="false" customHeight="true" outlineLevel="0" collapsed="false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 customFormat="false" ht="27.75" hidden="false" customHeight="true" outlineLevel="0" collapsed="false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 customFormat="false" ht="27.75" hidden="false" customHeight="true" outlineLevel="0" collapsed="false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 customFormat="false" ht="27.75" hidden="false" customHeight="true" outlineLevel="0" collapsed="false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 customFormat="false" ht="27.75" hidden="false" customHeight="true" outlineLevel="0" collapsed="false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 customFormat="false" ht="27.75" hidden="false" customHeight="true" outlineLevel="0" collapsed="false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 customFormat="false" ht="27.75" hidden="false" customHeight="true" outlineLevel="0" collapsed="false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 customFormat="false" ht="27.75" hidden="false" customHeight="true" outlineLevel="0" collapsed="false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 customFormat="false" ht="27.75" hidden="false" customHeight="true" outlineLevel="0" collapsed="false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 customFormat="false" ht="27.75" hidden="false" customHeight="true" outlineLevel="0" collapsed="false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 customFormat="false" ht="27.75" hidden="false" customHeight="true" outlineLevel="0" collapsed="false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 customFormat="false" ht="27.75" hidden="false" customHeight="true" outlineLevel="0" collapsed="false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 customFormat="false" ht="27.75" hidden="false" customHeight="true" outlineLevel="0" collapsed="false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 customFormat="false" ht="27.75" hidden="false" customHeight="true" outlineLevel="0" collapsed="false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 customFormat="false" ht="27.75" hidden="false" customHeight="true" outlineLevel="0" collapsed="false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 customFormat="false" ht="27.75" hidden="false" customHeight="true" outlineLevel="0" collapsed="false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 customFormat="false" ht="27.75" hidden="false" customHeight="true" outlineLevel="0" collapsed="false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 customFormat="false" ht="27.75" hidden="false" customHeight="true" outlineLevel="0" collapsed="false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 customFormat="false" ht="27.75" hidden="false" customHeight="true" outlineLevel="0" collapsed="false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 customFormat="false" ht="27.75" hidden="false" customHeight="true" outlineLevel="0" collapsed="false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 customFormat="false" ht="27.75" hidden="false" customHeight="true" outlineLevel="0" collapsed="false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 customFormat="false" ht="27.75" hidden="false" customHeight="true" outlineLevel="0" collapsed="false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 customFormat="false" ht="27.75" hidden="false" customHeight="true" outlineLevel="0" collapsed="false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 customFormat="false" ht="27.75" hidden="false" customHeight="true" outlineLevel="0" collapsed="false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 customFormat="false" ht="27.75" hidden="false" customHeight="true" outlineLevel="0" collapsed="false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 customFormat="false" ht="27.75" hidden="false" customHeight="true" outlineLevel="0" collapsed="false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 customFormat="false" ht="27.75" hidden="false" customHeight="true" outlineLevel="0" collapsed="false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 customFormat="false" ht="27.75" hidden="false" customHeight="true" outlineLevel="0" collapsed="false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 customFormat="false" ht="27.75" hidden="false" customHeight="true" outlineLevel="0" collapsed="false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 customFormat="false" ht="27.75" hidden="false" customHeight="true" outlineLevel="0" collapsed="false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 customFormat="false" ht="27.75" hidden="false" customHeight="true" outlineLevel="0" collapsed="false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 customFormat="false" ht="27.75" hidden="false" customHeight="true" outlineLevel="0" collapsed="false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 customFormat="false" ht="27.75" hidden="false" customHeight="true" outlineLevel="0" collapsed="false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 customFormat="false" ht="27.75" hidden="false" customHeight="true" outlineLevel="0" collapsed="false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 customFormat="false" ht="27.75" hidden="false" customHeight="true" outlineLevel="0" collapsed="false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 customFormat="false" ht="27.75" hidden="false" customHeight="true" outlineLevel="0" collapsed="false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 customFormat="false" ht="27.75" hidden="false" customHeight="true" outlineLevel="0" collapsed="false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 customFormat="false" ht="27.75" hidden="false" customHeight="true" outlineLevel="0" collapsed="false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 customFormat="false" ht="27.75" hidden="false" customHeight="true" outlineLevel="0" collapsed="false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 customFormat="false" ht="27.75" hidden="false" customHeight="true" outlineLevel="0" collapsed="false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 customFormat="false" ht="27.75" hidden="false" customHeight="true" outlineLevel="0" collapsed="false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 customFormat="false" ht="27.75" hidden="false" customHeight="true" outlineLevel="0" collapsed="false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 customFormat="false" ht="27.75" hidden="false" customHeight="true" outlineLevel="0" collapsed="false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 customFormat="false" ht="27.75" hidden="false" customHeight="true" outlineLevel="0" collapsed="false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 customFormat="false" ht="27.75" hidden="false" customHeight="true" outlineLevel="0" collapsed="false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 customFormat="false" ht="27.75" hidden="false" customHeight="true" outlineLevel="0" collapsed="false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 customFormat="false" ht="27.75" hidden="false" customHeight="true" outlineLevel="0" collapsed="false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 customFormat="false" ht="27.75" hidden="false" customHeight="true" outlineLevel="0" collapsed="false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 customFormat="false" ht="27.75" hidden="false" customHeight="true" outlineLevel="0" collapsed="false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 customFormat="false" ht="27.75" hidden="false" customHeight="true" outlineLevel="0" collapsed="false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 customFormat="false" ht="27.75" hidden="false" customHeight="true" outlineLevel="0" collapsed="false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 customFormat="false" ht="27.75" hidden="false" customHeight="true" outlineLevel="0" collapsed="false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 customFormat="false" ht="27.75" hidden="false" customHeight="true" outlineLevel="0" collapsed="false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 customFormat="false" ht="27.75" hidden="false" customHeight="true" outlineLevel="0" collapsed="false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 customFormat="false" ht="27.75" hidden="false" customHeight="true" outlineLevel="0" collapsed="false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 customFormat="false" ht="27.75" hidden="false" customHeight="true" outlineLevel="0" collapsed="false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 customFormat="false" ht="27.75" hidden="false" customHeight="true" outlineLevel="0" collapsed="false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 customFormat="false" ht="27.75" hidden="false" customHeight="true" outlineLevel="0" collapsed="false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 customFormat="false" ht="27.75" hidden="false" customHeight="true" outlineLevel="0" collapsed="false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 customFormat="false" ht="27.75" hidden="false" customHeight="true" outlineLevel="0" collapsed="false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 customFormat="false" ht="27.75" hidden="false" customHeight="true" outlineLevel="0" collapsed="false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 customFormat="false" ht="27.75" hidden="false" customHeight="true" outlineLevel="0" collapsed="false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 customFormat="false" ht="27.75" hidden="false" customHeight="true" outlineLevel="0" collapsed="false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 customFormat="false" ht="27.75" hidden="false" customHeight="true" outlineLevel="0" collapsed="false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 customFormat="false" ht="27.75" hidden="false" customHeight="true" outlineLevel="0" collapsed="false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 customFormat="false" ht="27.75" hidden="false" customHeight="true" outlineLevel="0" collapsed="false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 customFormat="false" ht="27.75" hidden="false" customHeight="true" outlineLevel="0" collapsed="false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 customFormat="false" ht="27.75" hidden="false" customHeight="true" outlineLevel="0" collapsed="false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 customFormat="false" ht="27.75" hidden="false" customHeight="true" outlineLevel="0" collapsed="false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 customFormat="false" ht="27.75" hidden="false" customHeight="true" outlineLevel="0" collapsed="false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 customFormat="false" ht="27.75" hidden="false" customHeight="true" outlineLevel="0" collapsed="false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 customFormat="false" ht="27.75" hidden="false" customHeight="true" outlineLevel="0" collapsed="false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 customFormat="false" ht="27.75" hidden="false" customHeight="true" outlineLevel="0" collapsed="false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 customFormat="false" ht="27.75" hidden="false" customHeight="true" outlineLevel="0" collapsed="false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 customFormat="false" ht="27.75" hidden="false" customHeight="true" outlineLevel="0" collapsed="false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 customFormat="false" ht="27.75" hidden="false" customHeight="true" outlineLevel="0" collapsed="false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 customFormat="false" ht="27.75" hidden="false" customHeight="true" outlineLevel="0" collapsed="false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 customFormat="false" ht="27.75" hidden="false" customHeight="true" outlineLevel="0" collapsed="false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 customFormat="false" ht="27.75" hidden="false" customHeight="true" outlineLevel="0" collapsed="false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 customFormat="false" ht="27.75" hidden="false" customHeight="true" outlineLevel="0" collapsed="false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 customFormat="false" ht="27.75" hidden="false" customHeight="true" outlineLevel="0" collapsed="false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 customFormat="false" ht="27.75" hidden="false" customHeight="true" outlineLevel="0" collapsed="false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 customFormat="false" ht="27.75" hidden="false" customHeight="true" outlineLevel="0" collapsed="false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 customFormat="false" ht="27.75" hidden="false" customHeight="true" outlineLevel="0" collapsed="false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 customFormat="false" ht="27.75" hidden="false" customHeight="true" outlineLevel="0" collapsed="false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 customFormat="false" ht="27.75" hidden="false" customHeight="true" outlineLevel="0" collapsed="false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 customFormat="false" ht="27.75" hidden="false" customHeight="true" outlineLevel="0" collapsed="false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 customFormat="false" ht="27.75" hidden="false" customHeight="true" outlineLevel="0" collapsed="false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 customFormat="false" ht="27.75" hidden="false" customHeight="true" outlineLevel="0" collapsed="false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 customFormat="false" ht="27.75" hidden="false" customHeight="true" outlineLevel="0" collapsed="false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 customFormat="false" ht="27.75" hidden="false" customHeight="true" outlineLevel="0" collapsed="false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 customFormat="false" ht="27.75" hidden="false" customHeight="true" outlineLevel="0" collapsed="false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 customFormat="false" ht="27.75" hidden="false" customHeight="true" outlineLevel="0" collapsed="false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 customFormat="false" ht="27.75" hidden="false" customHeight="true" outlineLevel="0" collapsed="false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 customFormat="false" ht="27.75" hidden="false" customHeight="true" outlineLevel="0" collapsed="false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 customFormat="false" ht="27.75" hidden="false" customHeight="true" outlineLevel="0" collapsed="false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 customFormat="false" ht="27.75" hidden="false" customHeight="true" outlineLevel="0" collapsed="false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 customFormat="false" ht="27.75" hidden="false" customHeight="true" outlineLevel="0" collapsed="false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 customFormat="false" ht="27.75" hidden="false" customHeight="true" outlineLevel="0" collapsed="false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 customFormat="false" ht="27.75" hidden="false" customHeight="true" outlineLevel="0" collapsed="false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 customFormat="false" ht="27.75" hidden="false" customHeight="true" outlineLevel="0" collapsed="false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 customFormat="false" ht="27.75" hidden="false" customHeight="true" outlineLevel="0" collapsed="false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 customFormat="false" ht="27.75" hidden="false" customHeight="true" outlineLevel="0" collapsed="false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 customFormat="false" ht="27.75" hidden="false" customHeight="true" outlineLevel="0" collapsed="false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 customFormat="false" ht="27.75" hidden="false" customHeight="true" outlineLevel="0" collapsed="false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 customFormat="false" ht="27.75" hidden="false" customHeight="true" outlineLevel="0" collapsed="false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 customFormat="false" ht="27.75" hidden="false" customHeight="true" outlineLevel="0" collapsed="false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 customFormat="false" ht="27.75" hidden="false" customHeight="true" outlineLevel="0" collapsed="false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 customFormat="false" ht="27.75" hidden="false" customHeight="true" outlineLevel="0" collapsed="false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 customFormat="false" ht="27.75" hidden="false" customHeight="true" outlineLevel="0" collapsed="false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 customFormat="false" ht="27.75" hidden="false" customHeight="true" outlineLevel="0" collapsed="false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 customFormat="false" ht="27.75" hidden="false" customHeight="true" outlineLevel="0" collapsed="false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 customFormat="false" ht="27.75" hidden="false" customHeight="true" outlineLevel="0" collapsed="false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 customFormat="false" ht="27.75" hidden="false" customHeight="true" outlineLevel="0" collapsed="false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 customFormat="false" ht="27.75" hidden="false" customHeight="true" outlineLevel="0" collapsed="false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 customFormat="false" ht="27.75" hidden="false" customHeight="true" outlineLevel="0" collapsed="false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 customFormat="false" ht="27.75" hidden="false" customHeight="true" outlineLevel="0" collapsed="false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 customFormat="false" ht="27.75" hidden="false" customHeight="true" outlineLevel="0" collapsed="false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 customFormat="false" ht="27.75" hidden="false" customHeight="true" outlineLevel="0" collapsed="false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 customFormat="false" ht="27.75" hidden="false" customHeight="true" outlineLevel="0" collapsed="false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 customFormat="false" ht="27.75" hidden="false" customHeight="true" outlineLevel="0" collapsed="false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 customFormat="false" ht="27.75" hidden="false" customHeight="true" outlineLevel="0" collapsed="false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 customFormat="false" ht="27.75" hidden="false" customHeight="true" outlineLevel="0" collapsed="false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 customFormat="false" ht="27.75" hidden="false" customHeight="true" outlineLevel="0" collapsed="false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 customFormat="false" ht="27.75" hidden="false" customHeight="true" outlineLevel="0" collapsed="false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 customFormat="false" ht="27.75" hidden="false" customHeight="true" outlineLevel="0" collapsed="false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 customFormat="false" ht="27.75" hidden="false" customHeight="true" outlineLevel="0" collapsed="false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 customFormat="false" ht="27.75" hidden="false" customHeight="true" outlineLevel="0" collapsed="false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 customFormat="false" ht="27.75" hidden="false" customHeight="true" outlineLevel="0" collapsed="false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 customFormat="false" ht="27.75" hidden="false" customHeight="true" outlineLevel="0" collapsed="false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 customFormat="false" ht="27.75" hidden="false" customHeight="true" outlineLevel="0" collapsed="false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 customFormat="false" ht="27.75" hidden="false" customHeight="true" outlineLevel="0" collapsed="false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 customFormat="false" ht="27.75" hidden="false" customHeight="true" outlineLevel="0" collapsed="false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 customFormat="false" ht="27.75" hidden="false" customHeight="true" outlineLevel="0" collapsed="false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 customFormat="false" ht="27.75" hidden="false" customHeight="true" outlineLevel="0" collapsed="false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 customFormat="false" ht="27.75" hidden="false" customHeight="true" outlineLevel="0" collapsed="false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 customFormat="false" ht="27.75" hidden="false" customHeight="true" outlineLevel="0" collapsed="false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 customFormat="false" ht="27.75" hidden="false" customHeight="true" outlineLevel="0" collapsed="false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 customFormat="false" ht="27.75" hidden="false" customHeight="true" outlineLevel="0" collapsed="false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 customFormat="false" ht="27.75" hidden="false" customHeight="true" outlineLevel="0" collapsed="false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 customFormat="false" ht="27.75" hidden="false" customHeight="true" outlineLevel="0" collapsed="false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 customFormat="false" ht="27.75" hidden="false" customHeight="true" outlineLevel="0" collapsed="false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 customFormat="false" ht="27.75" hidden="false" customHeight="true" outlineLevel="0" collapsed="false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 customFormat="false" ht="27.75" hidden="false" customHeight="true" outlineLevel="0" collapsed="false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 customFormat="false" ht="27.75" hidden="false" customHeight="true" outlineLevel="0" collapsed="false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 customFormat="false" ht="27.75" hidden="false" customHeight="true" outlineLevel="0" collapsed="false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 customFormat="false" ht="27.75" hidden="false" customHeight="true" outlineLevel="0" collapsed="false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 customFormat="false" ht="27.75" hidden="false" customHeight="true" outlineLevel="0" collapsed="false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 customFormat="false" ht="27.75" hidden="false" customHeight="true" outlineLevel="0" collapsed="false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 customFormat="false" ht="27.75" hidden="false" customHeight="true" outlineLevel="0" collapsed="false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 customFormat="false" ht="27.75" hidden="false" customHeight="true" outlineLevel="0" collapsed="false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 customFormat="false" ht="27.75" hidden="false" customHeight="true" outlineLevel="0" collapsed="false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 customFormat="false" ht="27.75" hidden="false" customHeight="true" outlineLevel="0" collapsed="false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 customFormat="false" ht="27.75" hidden="false" customHeight="true" outlineLevel="0" collapsed="false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 customFormat="false" ht="27.75" hidden="false" customHeight="true" outlineLevel="0" collapsed="false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 customFormat="false" ht="27.75" hidden="false" customHeight="true" outlineLevel="0" collapsed="false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 customFormat="false" ht="27.75" hidden="false" customHeight="true" outlineLevel="0" collapsed="false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 customFormat="false" ht="27.75" hidden="false" customHeight="true" outlineLevel="0" collapsed="false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 customFormat="false" ht="27.75" hidden="false" customHeight="true" outlineLevel="0" collapsed="false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 customFormat="false" ht="27.75" hidden="false" customHeight="true" outlineLevel="0" collapsed="false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 customFormat="false" ht="27.75" hidden="false" customHeight="true" outlineLevel="0" collapsed="false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 customFormat="false" ht="27.75" hidden="false" customHeight="true" outlineLevel="0" collapsed="false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 customFormat="false" ht="27.75" hidden="false" customHeight="true" outlineLevel="0" collapsed="false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 customFormat="false" ht="27.75" hidden="false" customHeight="true" outlineLevel="0" collapsed="false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 customFormat="false" ht="27.75" hidden="false" customHeight="true" outlineLevel="0" collapsed="false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 customFormat="false" ht="27.75" hidden="false" customHeight="true" outlineLevel="0" collapsed="false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 customFormat="false" ht="27.75" hidden="false" customHeight="true" outlineLevel="0" collapsed="false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 customFormat="false" ht="27.75" hidden="false" customHeight="true" outlineLevel="0" collapsed="false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 customFormat="false" ht="27.75" hidden="false" customHeight="true" outlineLevel="0" collapsed="false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 customFormat="false" ht="27.75" hidden="false" customHeight="true" outlineLevel="0" collapsed="false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 customFormat="false" ht="27.75" hidden="false" customHeight="true" outlineLevel="0" collapsed="false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 customFormat="false" ht="27.75" hidden="false" customHeight="true" outlineLevel="0" collapsed="false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 customFormat="false" ht="27.75" hidden="false" customHeight="true" outlineLevel="0" collapsed="false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 customFormat="false" ht="27.75" hidden="false" customHeight="true" outlineLevel="0" collapsed="false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 customFormat="false" ht="27.75" hidden="false" customHeight="true" outlineLevel="0" collapsed="false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 customFormat="false" ht="27.75" hidden="false" customHeight="true" outlineLevel="0" collapsed="false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 customFormat="false" ht="27.75" hidden="false" customHeight="true" outlineLevel="0" collapsed="false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 customFormat="false" ht="27.75" hidden="false" customHeight="true" outlineLevel="0" collapsed="false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 customFormat="false" ht="27.75" hidden="false" customHeight="true" outlineLevel="0" collapsed="false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 customFormat="false" ht="27.75" hidden="false" customHeight="true" outlineLevel="0" collapsed="false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 customFormat="false" ht="27.75" hidden="false" customHeight="true" outlineLevel="0" collapsed="false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 customFormat="false" ht="27.75" hidden="false" customHeight="true" outlineLevel="0" collapsed="false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 customFormat="false" ht="27.75" hidden="false" customHeight="true" outlineLevel="0" collapsed="false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 customFormat="false" ht="27.75" hidden="false" customHeight="true" outlineLevel="0" collapsed="false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 customFormat="false" ht="27.75" hidden="false" customHeight="true" outlineLevel="0" collapsed="false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 customFormat="false" ht="27.75" hidden="false" customHeight="true" outlineLevel="0" collapsed="false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 customFormat="false" ht="27.75" hidden="false" customHeight="true" outlineLevel="0" collapsed="false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 customFormat="false" ht="27.75" hidden="false" customHeight="true" outlineLevel="0" collapsed="false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 customFormat="false" ht="27.75" hidden="false" customHeight="true" outlineLevel="0" collapsed="false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 customFormat="false" ht="27.75" hidden="false" customHeight="true" outlineLevel="0" collapsed="false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 customFormat="false" ht="27.75" hidden="false" customHeight="true" outlineLevel="0" collapsed="false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 customFormat="false" ht="27.75" hidden="false" customHeight="true" outlineLevel="0" collapsed="false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 customFormat="false" ht="27.75" hidden="false" customHeight="true" outlineLevel="0" collapsed="false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 customFormat="false" ht="27.75" hidden="false" customHeight="true" outlineLevel="0" collapsed="false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 customFormat="false" ht="27.75" hidden="false" customHeight="true" outlineLevel="0" collapsed="false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 customFormat="false" ht="27.75" hidden="false" customHeight="true" outlineLevel="0" collapsed="false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 customFormat="false" ht="27.75" hidden="false" customHeight="true" outlineLevel="0" collapsed="false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 customFormat="false" ht="27.75" hidden="false" customHeight="true" outlineLevel="0" collapsed="false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 customFormat="false" ht="27.75" hidden="false" customHeight="true" outlineLevel="0" collapsed="false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 customFormat="false" ht="27.75" hidden="false" customHeight="true" outlineLevel="0" collapsed="false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 customFormat="false" ht="27.75" hidden="false" customHeight="true" outlineLevel="0" collapsed="false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 customFormat="false" ht="27.75" hidden="false" customHeight="true" outlineLevel="0" collapsed="false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 customFormat="false" ht="27.75" hidden="false" customHeight="true" outlineLevel="0" collapsed="false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 customFormat="false" ht="27.75" hidden="false" customHeight="true" outlineLevel="0" collapsed="false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 customFormat="false" ht="27.75" hidden="false" customHeight="true" outlineLevel="0" collapsed="false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 customFormat="false" ht="27.75" hidden="false" customHeight="true" outlineLevel="0" collapsed="false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 customFormat="false" ht="27.75" hidden="false" customHeight="true" outlineLevel="0" collapsed="false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 customFormat="false" ht="27.75" hidden="false" customHeight="true" outlineLevel="0" collapsed="false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 customFormat="false" ht="27.75" hidden="false" customHeight="true" outlineLevel="0" collapsed="false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 customFormat="false" ht="27.75" hidden="false" customHeight="true" outlineLevel="0" collapsed="false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 customFormat="false" ht="27.75" hidden="false" customHeight="true" outlineLevel="0" collapsed="false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 customFormat="false" ht="27.75" hidden="false" customHeight="true" outlineLevel="0" collapsed="false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 customFormat="false" ht="27.75" hidden="false" customHeight="true" outlineLevel="0" collapsed="false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 customFormat="false" ht="27.75" hidden="false" customHeight="true" outlineLevel="0" collapsed="false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 customFormat="false" ht="27.75" hidden="false" customHeight="true" outlineLevel="0" collapsed="false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 customFormat="false" ht="27.75" hidden="false" customHeight="true" outlineLevel="0" collapsed="false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 customFormat="false" ht="27.75" hidden="false" customHeight="true" outlineLevel="0" collapsed="false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 customFormat="false" ht="27.75" hidden="false" customHeight="true" outlineLevel="0" collapsed="false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 customFormat="false" ht="27.75" hidden="false" customHeight="true" outlineLevel="0" collapsed="false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 customFormat="false" ht="27.75" hidden="false" customHeight="true" outlineLevel="0" collapsed="false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 customFormat="false" ht="27.75" hidden="false" customHeight="true" outlineLevel="0" collapsed="false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 customFormat="false" ht="27.75" hidden="false" customHeight="true" outlineLevel="0" collapsed="false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 customFormat="false" ht="27.75" hidden="false" customHeight="true" outlineLevel="0" collapsed="false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 customFormat="false" ht="27.75" hidden="false" customHeight="true" outlineLevel="0" collapsed="false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 customFormat="false" ht="27.75" hidden="false" customHeight="true" outlineLevel="0" collapsed="false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 customFormat="false" ht="27.75" hidden="false" customHeight="true" outlineLevel="0" collapsed="false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 customFormat="false" ht="27.75" hidden="false" customHeight="true" outlineLevel="0" collapsed="false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 customFormat="false" ht="27.75" hidden="false" customHeight="true" outlineLevel="0" collapsed="false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 customFormat="false" ht="27.75" hidden="false" customHeight="true" outlineLevel="0" collapsed="false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 customFormat="false" ht="27.75" hidden="false" customHeight="true" outlineLevel="0" collapsed="false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 customFormat="false" ht="27.75" hidden="false" customHeight="true" outlineLevel="0" collapsed="false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 customFormat="false" ht="27.75" hidden="false" customHeight="true" outlineLevel="0" collapsed="false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 customFormat="false" ht="27.75" hidden="false" customHeight="true" outlineLevel="0" collapsed="false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 customFormat="false" ht="27.75" hidden="false" customHeight="true" outlineLevel="0" collapsed="false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 customFormat="false" ht="27.75" hidden="false" customHeight="true" outlineLevel="0" collapsed="false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 customFormat="false" ht="27.75" hidden="false" customHeight="true" outlineLevel="0" collapsed="false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 customFormat="false" ht="27.75" hidden="false" customHeight="true" outlineLevel="0" collapsed="false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 customFormat="false" ht="27.75" hidden="false" customHeight="true" outlineLevel="0" collapsed="false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 customFormat="false" ht="27.75" hidden="false" customHeight="true" outlineLevel="0" collapsed="false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 customFormat="false" ht="27.75" hidden="false" customHeight="true" outlineLevel="0" collapsed="false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 customFormat="false" ht="27.75" hidden="false" customHeight="true" outlineLevel="0" collapsed="false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 customFormat="false" ht="27.75" hidden="false" customHeight="true" outlineLevel="0" collapsed="false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 customFormat="false" ht="27.75" hidden="false" customHeight="true" outlineLevel="0" collapsed="false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 customFormat="false" ht="27.75" hidden="false" customHeight="true" outlineLevel="0" collapsed="false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 customFormat="false" ht="27.75" hidden="false" customHeight="true" outlineLevel="0" collapsed="false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 customFormat="false" ht="27.75" hidden="false" customHeight="true" outlineLevel="0" collapsed="false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 customFormat="false" ht="27.75" hidden="false" customHeight="true" outlineLevel="0" collapsed="false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 customFormat="false" ht="27.75" hidden="false" customHeight="true" outlineLevel="0" collapsed="false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 customFormat="false" ht="27.75" hidden="false" customHeight="true" outlineLevel="0" collapsed="false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 customFormat="false" ht="27.75" hidden="false" customHeight="true" outlineLevel="0" collapsed="false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 customFormat="false" ht="27.75" hidden="false" customHeight="true" outlineLevel="0" collapsed="false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 customFormat="false" ht="27.75" hidden="false" customHeight="true" outlineLevel="0" collapsed="false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 customFormat="false" ht="27.75" hidden="false" customHeight="true" outlineLevel="0" collapsed="false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 customFormat="false" ht="27.75" hidden="false" customHeight="true" outlineLevel="0" collapsed="false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 customFormat="false" ht="27.75" hidden="false" customHeight="true" outlineLevel="0" collapsed="false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 customFormat="false" ht="27.75" hidden="false" customHeight="true" outlineLevel="0" collapsed="false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 customFormat="false" ht="27.75" hidden="false" customHeight="true" outlineLevel="0" collapsed="false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 customFormat="false" ht="27.75" hidden="false" customHeight="true" outlineLevel="0" collapsed="false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 customFormat="false" ht="27.75" hidden="false" customHeight="true" outlineLevel="0" collapsed="false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 customFormat="false" ht="27.75" hidden="false" customHeight="true" outlineLevel="0" collapsed="false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 customFormat="false" ht="27.75" hidden="false" customHeight="true" outlineLevel="0" collapsed="false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 customFormat="false" ht="27.75" hidden="false" customHeight="true" outlineLevel="0" collapsed="false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 customFormat="false" ht="27.75" hidden="false" customHeight="true" outlineLevel="0" collapsed="false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 customFormat="false" ht="27.75" hidden="false" customHeight="true" outlineLevel="0" collapsed="false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 customFormat="false" ht="27.75" hidden="false" customHeight="true" outlineLevel="0" collapsed="false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 customFormat="false" ht="27.75" hidden="false" customHeight="true" outlineLevel="0" collapsed="false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 customFormat="false" ht="27.75" hidden="false" customHeight="true" outlineLevel="0" collapsed="false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 customFormat="false" ht="27.75" hidden="false" customHeight="true" outlineLevel="0" collapsed="false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 customFormat="false" ht="27.75" hidden="false" customHeight="true" outlineLevel="0" collapsed="false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 customFormat="false" ht="27.75" hidden="false" customHeight="true" outlineLevel="0" collapsed="false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 customFormat="false" ht="27.75" hidden="false" customHeight="true" outlineLevel="0" collapsed="false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 customFormat="false" ht="27.75" hidden="false" customHeight="true" outlineLevel="0" collapsed="false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 customFormat="false" ht="27.75" hidden="false" customHeight="true" outlineLevel="0" collapsed="false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 customFormat="false" ht="27.75" hidden="false" customHeight="true" outlineLevel="0" collapsed="false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 customFormat="false" ht="27.75" hidden="false" customHeight="true" outlineLevel="0" collapsed="false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 customFormat="false" ht="27.75" hidden="false" customHeight="true" outlineLevel="0" collapsed="false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 customFormat="false" ht="27.75" hidden="false" customHeight="true" outlineLevel="0" collapsed="false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 customFormat="false" ht="27.75" hidden="false" customHeight="true" outlineLevel="0" collapsed="false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 customFormat="false" ht="27.75" hidden="false" customHeight="true" outlineLevel="0" collapsed="false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 customFormat="false" ht="27.75" hidden="false" customHeight="true" outlineLevel="0" collapsed="false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 customFormat="false" ht="27.75" hidden="false" customHeight="true" outlineLevel="0" collapsed="false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 customFormat="false" ht="27.75" hidden="false" customHeight="true" outlineLevel="0" collapsed="false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 customFormat="false" ht="27.75" hidden="false" customHeight="true" outlineLevel="0" collapsed="false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 customFormat="false" ht="27.75" hidden="false" customHeight="true" outlineLevel="0" collapsed="false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 customFormat="false" ht="27.75" hidden="false" customHeight="true" outlineLevel="0" collapsed="false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 customFormat="false" ht="27.75" hidden="false" customHeight="true" outlineLevel="0" collapsed="false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 customFormat="false" ht="27.75" hidden="false" customHeight="true" outlineLevel="0" collapsed="false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 customFormat="false" ht="27.75" hidden="false" customHeight="true" outlineLevel="0" collapsed="false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 customFormat="false" ht="27.75" hidden="false" customHeight="true" outlineLevel="0" collapsed="false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 customFormat="false" ht="27.75" hidden="false" customHeight="true" outlineLevel="0" collapsed="false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 customFormat="false" ht="27.75" hidden="false" customHeight="true" outlineLevel="0" collapsed="false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 customFormat="false" ht="27.75" hidden="false" customHeight="true" outlineLevel="0" collapsed="false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 customFormat="false" ht="27.75" hidden="false" customHeight="true" outlineLevel="0" collapsed="false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 customFormat="false" ht="27.75" hidden="false" customHeight="true" outlineLevel="0" collapsed="false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 customFormat="false" ht="27.75" hidden="false" customHeight="true" outlineLevel="0" collapsed="false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 customFormat="false" ht="27.75" hidden="false" customHeight="true" outlineLevel="0" collapsed="false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 customFormat="false" ht="27.75" hidden="false" customHeight="true" outlineLevel="0" collapsed="false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 customFormat="false" ht="27.75" hidden="false" customHeight="true" outlineLevel="0" collapsed="false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 customFormat="false" ht="27.75" hidden="false" customHeight="true" outlineLevel="0" collapsed="false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 customFormat="false" ht="27.75" hidden="false" customHeight="true" outlineLevel="0" collapsed="false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 customFormat="false" ht="27.75" hidden="false" customHeight="true" outlineLevel="0" collapsed="false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 customFormat="false" ht="27.75" hidden="false" customHeight="true" outlineLevel="0" collapsed="false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 customFormat="false" ht="27.75" hidden="false" customHeight="true" outlineLevel="0" collapsed="false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 customFormat="false" ht="27.75" hidden="false" customHeight="true" outlineLevel="0" collapsed="false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 customFormat="false" ht="27.75" hidden="false" customHeight="true" outlineLevel="0" collapsed="false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 customFormat="false" ht="27.75" hidden="false" customHeight="true" outlineLevel="0" collapsed="false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 customFormat="false" ht="27.75" hidden="false" customHeight="true" outlineLevel="0" collapsed="false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 customFormat="false" ht="27.75" hidden="false" customHeight="true" outlineLevel="0" collapsed="false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 customFormat="false" ht="27.75" hidden="false" customHeight="true" outlineLevel="0" collapsed="false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 customFormat="false" ht="27.75" hidden="false" customHeight="true" outlineLevel="0" collapsed="false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 customFormat="false" ht="27.75" hidden="false" customHeight="true" outlineLevel="0" collapsed="false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 customFormat="false" ht="27.75" hidden="false" customHeight="true" outlineLevel="0" collapsed="false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 customFormat="false" ht="27.75" hidden="false" customHeight="true" outlineLevel="0" collapsed="false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 customFormat="false" ht="27.75" hidden="false" customHeight="true" outlineLevel="0" collapsed="false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 customFormat="false" ht="27.75" hidden="false" customHeight="true" outlineLevel="0" collapsed="false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 customFormat="false" ht="27.75" hidden="false" customHeight="true" outlineLevel="0" collapsed="false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 customFormat="false" ht="27.75" hidden="false" customHeight="true" outlineLevel="0" collapsed="false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 customFormat="false" ht="27.75" hidden="false" customHeight="true" outlineLevel="0" collapsed="false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 customFormat="false" ht="27.75" hidden="false" customHeight="true" outlineLevel="0" collapsed="false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 customFormat="false" ht="27.75" hidden="false" customHeight="true" outlineLevel="0" collapsed="false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 customFormat="false" ht="27.75" hidden="false" customHeight="true" outlineLevel="0" collapsed="false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 customFormat="false" ht="27.75" hidden="false" customHeight="true" outlineLevel="0" collapsed="false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 customFormat="false" ht="27.75" hidden="false" customHeight="true" outlineLevel="0" collapsed="false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 customFormat="false" ht="27.75" hidden="false" customHeight="true" outlineLevel="0" collapsed="false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 customFormat="false" ht="27.75" hidden="false" customHeight="true" outlineLevel="0" collapsed="false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 customFormat="false" ht="27.75" hidden="false" customHeight="true" outlineLevel="0" collapsed="false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 customFormat="false" ht="27.75" hidden="false" customHeight="true" outlineLevel="0" collapsed="false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 customFormat="false" ht="27.75" hidden="false" customHeight="true" outlineLevel="0" collapsed="false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 customFormat="false" ht="27.75" hidden="false" customHeight="true" outlineLevel="0" collapsed="false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 customFormat="false" ht="27.75" hidden="false" customHeight="true" outlineLevel="0" collapsed="false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 customFormat="false" ht="27.75" hidden="false" customHeight="true" outlineLevel="0" collapsed="false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 customFormat="false" ht="27.75" hidden="false" customHeight="true" outlineLevel="0" collapsed="false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 customFormat="false" ht="27.75" hidden="false" customHeight="true" outlineLevel="0" collapsed="false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 customFormat="false" ht="27.75" hidden="false" customHeight="true" outlineLevel="0" collapsed="false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 customFormat="false" ht="27.75" hidden="false" customHeight="true" outlineLevel="0" collapsed="false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 customFormat="false" ht="27.75" hidden="false" customHeight="true" outlineLevel="0" collapsed="false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 customFormat="false" ht="27.75" hidden="false" customHeight="true" outlineLevel="0" collapsed="false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 customFormat="false" ht="27.75" hidden="false" customHeight="true" outlineLevel="0" collapsed="false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 customFormat="false" ht="27.75" hidden="false" customHeight="true" outlineLevel="0" collapsed="false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 customFormat="false" ht="27.75" hidden="false" customHeight="true" outlineLevel="0" collapsed="false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 customFormat="false" ht="27.75" hidden="false" customHeight="true" outlineLevel="0" collapsed="false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 customFormat="false" ht="27.75" hidden="false" customHeight="true" outlineLevel="0" collapsed="false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 customFormat="false" ht="27.75" hidden="false" customHeight="true" outlineLevel="0" collapsed="false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 customFormat="false" ht="27.75" hidden="false" customHeight="true" outlineLevel="0" collapsed="false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 customFormat="false" ht="27.75" hidden="false" customHeight="true" outlineLevel="0" collapsed="false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 customFormat="false" ht="27.75" hidden="false" customHeight="true" outlineLevel="0" collapsed="false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 customFormat="false" ht="27.75" hidden="false" customHeight="true" outlineLevel="0" collapsed="false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 customFormat="false" ht="27.75" hidden="false" customHeight="true" outlineLevel="0" collapsed="false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 customFormat="false" ht="27.75" hidden="false" customHeight="true" outlineLevel="0" collapsed="false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 customFormat="false" ht="27.75" hidden="false" customHeight="true" outlineLevel="0" collapsed="false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 customFormat="false" ht="27.75" hidden="false" customHeight="true" outlineLevel="0" collapsed="false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 customFormat="false" ht="27.75" hidden="false" customHeight="true" outlineLevel="0" collapsed="false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 customFormat="false" ht="27.75" hidden="false" customHeight="true" outlineLevel="0" collapsed="false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 customFormat="false" ht="27.75" hidden="false" customHeight="true" outlineLevel="0" collapsed="false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 customFormat="false" ht="27.75" hidden="false" customHeight="true" outlineLevel="0" collapsed="false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 customFormat="false" ht="27.75" hidden="false" customHeight="true" outlineLevel="0" collapsed="false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 customFormat="false" ht="27.75" hidden="false" customHeight="true" outlineLevel="0" collapsed="false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 customFormat="false" ht="27.75" hidden="false" customHeight="true" outlineLevel="0" collapsed="false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 customFormat="false" ht="27.75" hidden="false" customHeight="true" outlineLevel="0" collapsed="false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 customFormat="false" ht="27.75" hidden="false" customHeight="true" outlineLevel="0" collapsed="false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 customFormat="false" ht="27.75" hidden="false" customHeight="true" outlineLevel="0" collapsed="false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 customFormat="false" ht="27.75" hidden="false" customHeight="true" outlineLevel="0" collapsed="false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 customFormat="false" ht="27.75" hidden="false" customHeight="true" outlineLevel="0" collapsed="false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 customFormat="false" ht="27.75" hidden="false" customHeight="true" outlineLevel="0" collapsed="false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 customFormat="false" ht="27.75" hidden="false" customHeight="true" outlineLevel="0" collapsed="false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 customFormat="false" ht="27.75" hidden="false" customHeight="true" outlineLevel="0" collapsed="false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 customFormat="false" ht="27.75" hidden="false" customHeight="true" outlineLevel="0" collapsed="false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 customFormat="false" ht="27.75" hidden="false" customHeight="true" outlineLevel="0" collapsed="false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 customFormat="false" ht="27.75" hidden="false" customHeight="true" outlineLevel="0" collapsed="false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 customFormat="false" ht="27.75" hidden="false" customHeight="true" outlineLevel="0" collapsed="false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 customFormat="false" ht="27.75" hidden="false" customHeight="true" outlineLevel="0" collapsed="false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 customFormat="false" ht="27.75" hidden="false" customHeight="true" outlineLevel="0" collapsed="false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 customFormat="false" ht="27.75" hidden="false" customHeight="true" outlineLevel="0" collapsed="false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 customFormat="false" ht="27.75" hidden="false" customHeight="true" outlineLevel="0" collapsed="false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 customFormat="false" ht="27.75" hidden="false" customHeight="true" outlineLevel="0" collapsed="false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 customFormat="false" ht="27.75" hidden="false" customHeight="true" outlineLevel="0" collapsed="false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 customFormat="false" ht="27.75" hidden="false" customHeight="true" outlineLevel="0" collapsed="false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 customFormat="false" ht="27.75" hidden="false" customHeight="true" outlineLevel="0" collapsed="false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 customFormat="false" ht="27.75" hidden="false" customHeight="true" outlineLevel="0" collapsed="false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 customFormat="false" ht="27.75" hidden="false" customHeight="true" outlineLevel="0" collapsed="false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 customFormat="false" ht="27.75" hidden="false" customHeight="true" outlineLevel="0" collapsed="false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 customFormat="false" ht="27.75" hidden="false" customHeight="true" outlineLevel="0" collapsed="false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 customFormat="false" ht="27.75" hidden="false" customHeight="true" outlineLevel="0" collapsed="false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 customFormat="false" ht="27.75" hidden="false" customHeight="true" outlineLevel="0" collapsed="false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 customFormat="false" ht="27.75" hidden="false" customHeight="true" outlineLevel="0" collapsed="false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 customFormat="false" ht="27.75" hidden="false" customHeight="true" outlineLevel="0" collapsed="false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 customFormat="false" ht="27.75" hidden="false" customHeight="true" outlineLevel="0" collapsed="false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 customFormat="false" ht="27.75" hidden="false" customHeight="true" outlineLevel="0" collapsed="false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 customFormat="false" ht="27.75" hidden="false" customHeight="true" outlineLevel="0" collapsed="false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 customFormat="false" ht="27.75" hidden="false" customHeight="true" outlineLevel="0" collapsed="false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 customFormat="false" ht="27.75" hidden="false" customHeight="true" outlineLevel="0" collapsed="false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 customFormat="false" ht="27.75" hidden="false" customHeight="true" outlineLevel="0" collapsed="false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 customFormat="false" ht="27.75" hidden="false" customHeight="true" outlineLevel="0" collapsed="false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 customFormat="false" ht="27.75" hidden="false" customHeight="true" outlineLevel="0" collapsed="false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 customFormat="false" ht="27.75" hidden="false" customHeight="true" outlineLevel="0" collapsed="false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 customFormat="false" ht="27.75" hidden="false" customHeight="true" outlineLevel="0" collapsed="false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 customFormat="false" ht="27.75" hidden="false" customHeight="true" outlineLevel="0" collapsed="false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 customFormat="false" ht="27.75" hidden="false" customHeight="true" outlineLevel="0" collapsed="false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 customFormat="false" ht="27.75" hidden="false" customHeight="true" outlineLevel="0" collapsed="false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 customFormat="false" ht="27.75" hidden="false" customHeight="true" outlineLevel="0" collapsed="false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 customFormat="false" ht="27.75" hidden="false" customHeight="true" outlineLevel="0" collapsed="false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 customFormat="false" ht="27.75" hidden="false" customHeight="true" outlineLevel="0" collapsed="false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 customFormat="false" ht="27.75" hidden="false" customHeight="true" outlineLevel="0" collapsed="false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 customFormat="false" ht="27.75" hidden="false" customHeight="true" outlineLevel="0" collapsed="false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 customFormat="false" ht="27.75" hidden="false" customHeight="true" outlineLevel="0" collapsed="false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 customFormat="false" ht="27.75" hidden="false" customHeight="true" outlineLevel="0" collapsed="false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 customFormat="false" ht="27.75" hidden="false" customHeight="true" outlineLevel="0" collapsed="false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 customFormat="false" ht="27.75" hidden="false" customHeight="true" outlineLevel="0" collapsed="false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 customFormat="false" ht="27.75" hidden="false" customHeight="true" outlineLevel="0" collapsed="false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 customFormat="false" ht="27.75" hidden="false" customHeight="true" outlineLevel="0" collapsed="false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 customFormat="false" ht="27.75" hidden="false" customHeight="true" outlineLevel="0" collapsed="false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 customFormat="false" ht="27.75" hidden="false" customHeight="true" outlineLevel="0" collapsed="false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 customFormat="false" ht="27.75" hidden="false" customHeight="true" outlineLevel="0" collapsed="false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 customFormat="false" ht="27.75" hidden="false" customHeight="true" outlineLevel="0" collapsed="false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 customFormat="false" ht="27.75" hidden="false" customHeight="true" outlineLevel="0" collapsed="false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 customFormat="false" ht="27.75" hidden="false" customHeight="true" outlineLevel="0" collapsed="false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 customFormat="false" ht="27.75" hidden="false" customHeight="true" outlineLevel="0" collapsed="false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 customFormat="false" ht="27.75" hidden="false" customHeight="true" outlineLevel="0" collapsed="false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 customFormat="false" ht="27.75" hidden="false" customHeight="true" outlineLevel="0" collapsed="false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 customFormat="false" ht="27.75" hidden="false" customHeight="true" outlineLevel="0" collapsed="false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 customFormat="false" ht="27.75" hidden="false" customHeight="true" outlineLevel="0" collapsed="false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 customFormat="false" ht="27.75" hidden="false" customHeight="true" outlineLevel="0" collapsed="false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 customFormat="false" ht="27.75" hidden="false" customHeight="true" outlineLevel="0" collapsed="false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 customFormat="false" ht="27.75" hidden="false" customHeight="true" outlineLevel="0" collapsed="false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 customFormat="false" ht="27.75" hidden="false" customHeight="true" outlineLevel="0" collapsed="false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 customFormat="false" ht="27.75" hidden="false" customHeight="true" outlineLevel="0" collapsed="false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 customFormat="false" ht="27.75" hidden="false" customHeight="true" outlineLevel="0" collapsed="false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 customFormat="false" ht="27.75" hidden="false" customHeight="true" outlineLevel="0" collapsed="false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 customFormat="false" ht="27.75" hidden="false" customHeight="true" outlineLevel="0" collapsed="false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 customFormat="false" ht="27.75" hidden="false" customHeight="true" outlineLevel="0" collapsed="false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 customFormat="false" ht="27.75" hidden="false" customHeight="true" outlineLevel="0" collapsed="false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 customFormat="false" ht="27.75" hidden="false" customHeight="true" outlineLevel="0" collapsed="false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 customFormat="false" ht="27.75" hidden="false" customHeight="true" outlineLevel="0" collapsed="false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 customFormat="false" ht="27.75" hidden="false" customHeight="true" outlineLevel="0" collapsed="false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 customFormat="false" ht="27.75" hidden="false" customHeight="true" outlineLevel="0" collapsed="false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 customFormat="false" ht="27.75" hidden="false" customHeight="true" outlineLevel="0" collapsed="false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 customFormat="false" ht="27.75" hidden="false" customHeight="true" outlineLevel="0" collapsed="false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 customFormat="false" ht="27.75" hidden="false" customHeight="true" outlineLevel="0" collapsed="false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 customFormat="false" ht="27.75" hidden="false" customHeight="true" outlineLevel="0" collapsed="false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 customFormat="false" ht="27.75" hidden="false" customHeight="true" outlineLevel="0" collapsed="false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 customFormat="false" ht="27.75" hidden="false" customHeight="true" outlineLevel="0" collapsed="false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 customFormat="false" ht="27.75" hidden="false" customHeight="true" outlineLevel="0" collapsed="false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 customFormat="false" ht="27.75" hidden="false" customHeight="true" outlineLevel="0" collapsed="false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 customFormat="false" ht="27.75" hidden="false" customHeight="true" outlineLevel="0" collapsed="false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 customFormat="false" ht="27.75" hidden="false" customHeight="true" outlineLevel="0" collapsed="false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 customFormat="false" ht="27.75" hidden="false" customHeight="true" outlineLevel="0" collapsed="false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 customFormat="false" ht="27.75" hidden="false" customHeight="true" outlineLevel="0" collapsed="false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 customFormat="false" ht="27.75" hidden="false" customHeight="true" outlineLevel="0" collapsed="false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 customFormat="false" ht="27.75" hidden="false" customHeight="true" outlineLevel="0" collapsed="false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 customFormat="false" ht="27.75" hidden="false" customHeight="true" outlineLevel="0" collapsed="false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 customFormat="false" ht="27.75" hidden="false" customHeight="true" outlineLevel="0" collapsed="false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 customFormat="false" ht="27.75" hidden="false" customHeight="true" outlineLevel="0" collapsed="false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 customFormat="false" ht="27.75" hidden="false" customHeight="true" outlineLevel="0" collapsed="false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 customFormat="false" ht="27.75" hidden="false" customHeight="true" outlineLevel="0" collapsed="false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 customFormat="false" ht="27.75" hidden="false" customHeight="true" outlineLevel="0" collapsed="false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 customFormat="false" ht="27.75" hidden="false" customHeight="true" outlineLevel="0" collapsed="false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 customFormat="false" ht="27.75" hidden="false" customHeight="true" outlineLevel="0" collapsed="false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 customFormat="false" ht="27.75" hidden="false" customHeight="true" outlineLevel="0" collapsed="false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 customFormat="false" ht="27.75" hidden="false" customHeight="true" outlineLevel="0" collapsed="false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 customFormat="false" ht="27.75" hidden="false" customHeight="true" outlineLevel="0" collapsed="false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 customFormat="false" ht="27.75" hidden="false" customHeight="true" outlineLevel="0" collapsed="false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 customFormat="false" ht="27.75" hidden="false" customHeight="true" outlineLevel="0" collapsed="false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 customFormat="false" ht="27.75" hidden="false" customHeight="true" outlineLevel="0" collapsed="false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 customFormat="false" ht="27.75" hidden="false" customHeight="true" outlineLevel="0" collapsed="false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 customFormat="false" ht="27.75" hidden="false" customHeight="true" outlineLevel="0" collapsed="false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 customFormat="false" ht="27.75" hidden="false" customHeight="true" outlineLevel="0" collapsed="false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 customFormat="false" ht="27.75" hidden="false" customHeight="true" outlineLevel="0" collapsed="false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 customFormat="false" ht="27.75" hidden="false" customHeight="true" outlineLevel="0" collapsed="false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 customFormat="false" ht="27.75" hidden="false" customHeight="true" outlineLevel="0" collapsed="false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 customFormat="false" ht="27.75" hidden="false" customHeight="true" outlineLevel="0" collapsed="false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 customFormat="false" ht="27.75" hidden="false" customHeight="true" outlineLevel="0" collapsed="false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 customFormat="false" ht="27.75" hidden="false" customHeight="true" outlineLevel="0" collapsed="false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 customFormat="false" ht="27.75" hidden="false" customHeight="true" outlineLevel="0" collapsed="false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 customFormat="false" ht="27.75" hidden="false" customHeight="true" outlineLevel="0" collapsed="false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 customFormat="false" ht="27.75" hidden="false" customHeight="true" outlineLevel="0" collapsed="false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 customFormat="false" ht="27.75" hidden="false" customHeight="true" outlineLevel="0" collapsed="false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 customFormat="false" ht="27.75" hidden="false" customHeight="true" outlineLevel="0" collapsed="false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 customFormat="false" ht="27.75" hidden="false" customHeight="true" outlineLevel="0" collapsed="false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 customFormat="false" ht="27.75" hidden="false" customHeight="true" outlineLevel="0" collapsed="false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 customFormat="false" ht="27.75" hidden="false" customHeight="true" outlineLevel="0" collapsed="false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 customFormat="false" ht="27.75" hidden="false" customHeight="true" outlineLevel="0" collapsed="false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 customFormat="false" ht="27.75" hidden="false" customHeight="true" outlineLevel="0" collapsed="false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 customFormat="false" ht="27.75" hidden="false" customHeight="true" outlineLevel="0" collapsed="false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 customFormat="false" ht="27.75" hidden="false" customHeight="true" outlineLevel="0" collapsed="false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 customFormat="false" ht="27.75" hidden="false" customHeight="true" outlineLevel="0" collapsed="false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 customFormat="false" ht="27.75" hidden="false" customHeight="true" outlineLevel="0" collapsed="false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 customFormat="false" ht="27.75" hidden="false" customHeight="true" outlineLevel="0" collapsed="false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 customFormat="false" ht="27.75" hidden="false" customHeight="true" outlineLevel="0" collapsed="false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 customFormat="false" ht="27.75" hidden="false" customHeight="true" outlineLevel="0" collapsed="false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 customFormat="false" ht="27.75" hidden="false" customHeight="true" outlineLevel="0" collapsed="false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 customFormat="false" ht="27.75" hidden="false" customHeight="true" outlineLevel="0" collapsed="false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 customFormat="false" ht="27.75" hidden="false" customHeight="true" outlineLevel="0" collapsed="false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 customFormat="false" ht="27.75" hidden="false" customHeight="true" outlineLevel="0" collapsed="false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 customFormat="false" ht="27.75" hidden="false" customHeight="true" outlineLevel="0" collapsed="false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 customFormat="false" ht="27.75" hidden="false" customHeight="true" outlineLevel="0" collapsed="false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 customFormat="false" ht="27.75" hidden="false" customHeight="true" outlineLevel="0" collapsed="false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 customFormat="false" ht="27.75" hidden="false" customHeight="true" outlineLevel="0" collapsed="false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 customFormat="false" ht="27.75" hidden="false" customHeight="true" outlineLevel="0" collapsed="false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 customFormat="false" ht="27.75" hidden="false" customHeight="true" outlineLevel="0" collapsed="false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 customFormat="false" ht="27.75" hidden="false" customHeight="true" outlineLevel="0" collapsed="false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 customFormat="false" ht="27.75" hidden="false" customHeight="true" outlineLevel="0" collapsed="false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 customFormat="false" ht="27.75" hidden="false" customHeight="true" outlineLevel="0" collapsed="false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 customFormat="false" ht="27.75" hidden="false" customHeight="true" outlineLevel="0" collapsed="false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 customFormat="false" ht="27.75" hidden="false" customHeight="true" outlineLevel="0" collapsed="false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 customFormat="false" ht="27.75" hidden="false" customHeight="true" outlineLevel="0" collapsed="false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 customFormat="false" ht="27.75" hidden="false" customHeight="true" outlineLevel="0" collapsed="false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 customFormat="false" ht="27.75" hidden="false" customHeight="true" outlineLevel="0" collapsed="false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 customFormat="false" ht="27.75" hidden="false" customHeight="true" outlineLevel="0" collapsed="false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 customFormat="false" ht="27.75" hidden="false" customHeight="true" outlineLevel="0" collapsed="false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 customFormat="false" ht="27.75" hidden="false" customHeight="true" outlineLevel="0" collapsed="false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 customFormat="false" ht="27.75" hidden="false" customHeight="true" outlineLevel="0" collapsed="false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 customFormat="false" ht="27.75" hidden="false" customHeight="true" outlineLevel="0" collapsed="false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 customFormat="false" ht="27.75" hidden="false" customHeight="true" outlineLevel="0" collapsed="false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 customFormat="false" ht="27.75" hidden="false" customHeight="true" outlineLevel="0" collapsed="false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 customFormat="false" ht="27.75" hidden="false" customHeight="true" outlineLevel="0" collapsed="false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 customFormat="false" ht="27.75" hidden="false" customHeight="true" outlineLevel="0" collapsed="false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 customFormat="false" ht="27.75" hidden="false" customHeight="true" outlineLevel="0" collapsed="false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 customFormat="false" ht="27.75" hidden="false" customHeight="true" outlineLevel="0" collapsed="false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 customFormat="false" ht="27.75" hidden="false" customHeight="true" outlineLevel="0" collapsed="false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 customFormat="false" ht="27.75" hidden="false" customHeight="true" outlineLevel="0" collapsed="false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 customFormat="false" ht="27.75" hidden="false" customHeight="true" outlineLevel="0" collapsed="false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 customFormat="false" ht="27.75" hidden="false" customHeight="true" outlineLevel="0" collapsed="false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 customFormat="false" ht="27.75" hidden="false" customHeight="true" outlineLevel="0" collapsed="false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 customFormat="false" ht="27.75" hidden="false" customHeight="true" outlineLevel="0" collapsed="false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 customFormat="false" ht="27.75" hidden="false" customHeight="true" outlineLevel="0" collapsed="false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 customFormat="false" ht="27.75" hidden="false" customHeight="true" outlineLevel="0" collapsed="false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 customFormat="false" ht="27.75" hidden="false" customHeight="true" outlineLevel="0" collapsed="false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 customFormat="false" ht="27.75" hidden="false" customHeight="true" outlineLevel="0" collapsed="false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 customFormat="false" ht="27.75" hidden="false" customHeight="true" outlineLevel="0" collapsed="false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 customFormat="false" ht="27.75" hidden="false" customHeight="true" outlineLevel="0" collapsed="false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 customFormat="false" ht="27.75" hidden="false" customHeight="true" outlineLevel="0" collapsed="false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 customFormat="false" ht="27.75" hidden="false" customHeight="true" outlineLevel="0" collapsed="false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 customFormat="false" ht="27.75" hidden="false" customHeight="true" outlineLevel="0" collapsed="false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 customFormat="false" ht="27.75" hidden="false" customHeight="true" outlineLevel="0" collapsed="false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 customFormat="false" ht="27.75" hidden="false" customHeight="true" outlineLevel="0" collapsed="false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 customFormat="false" ht="27.75" hidden="false" customHeight="true" outlineLevel="0" collapsed="false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 customFormat="false" ht="27.75" hidden="false" customHeight="true" outlineLevel="0" collapsed="false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 customFormat="false" ht="27.75" hidden="false" customHeight="true" outlineLevel="0" collapsed="false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 customFormat="false" ht="27.75" hidden="false" customHeight="true" outlineLevel="0" collapsed="false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 customFormat="false" ht="27.75" hidden="false" customHeight="true" outlineLevel="0" collapsed="false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 customFormat="false" ht="27.75" hidden="false" customHeight="true" outlineLevel="0" collapsed="false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 customFormat="false" ht="27.75" hidden="false" customHeight="true" outlineLevel="0" collapsed="false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 customFormat="false" ht="27.75" hidden="false" customHeight="true" outlineLevel="0" collapsed="false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 customFormat="false" ht="27.75" hidden="false" customHeight="true" outlineLevel="0" collapsed="false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 customFormat="false" ht="27.75" hidden="false" customHeight="true" outlineLevel="0" collapsed="false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 customFormat="false" ht="27.75" hidden="false" customHeight="true" outlineLevel="0" collapsed="false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 customFormat="false" ht="27.75" hidden="false" customHeight="true" outlineLevel="0" collapsed="false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r="924" customFormat="false" ht="27.75" hidden="false" customHeight="true" outlineLevel="0" collapsed="false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 customFormat="false" ht="27.75" hidden="false" customHeight="true" outlineLevel="0" collapsed="false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r="926" customFormat="false" ht="27.75" hidden="false" customHeight="true" outlineLevel="0" collapsed="false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 customFormat="false" ht="27.75" hidden="false" customHeight="true" outlineLevel="0" collapsed="false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r="928" customFormat="false" ht="27.75" hidden="false" customHeight="true" outlineLevel="0" collapsed="false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 customFormat="false" ht="27.75" hidden="false" customHeight="true" outlineLevel="0" collapsed="false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r="930" customFormat="false" ht="27.75" hidden="false" customHeight="true" outlineLevel="0" collapsed="false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 customFormat="false" ht="27.75" hidden="false" customHeight="true" outlineLevel="0" collapsed="false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r="932" customFormat="false" ht="27.75" hidden="false" customHeight="true" outlineLevel="0" collapsed="false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 customFormat="false" ht="27.75" hidden="false" customHeight="true" outlineLevel="0" collapsed="false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r="934" customFormat="false" ht="27.75" hidden="false" customHeight="true" outlineLevel="0" collapsed="false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 customFormat="false" ht="27.75" hidden="false" customHeight="true" outlineLevel="0" collapsed="false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r="936" customFormat="false" ht="27.75" hidden="false" customHeight="true" outlineLevel="0" collapsed="false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 customFormat="false" ht="27.75" hidden="false" customHeight="true" outlineLevel="0" collapsed="false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r="938" customFormat="false" ht="27.75" hidden="false" customHeight="true" outlineLevel="0" collapsed="false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 customFormat="false" ht="27.75" hidden="false" customHeight="true" outlineLevel="0" collapsed="false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r="940" customFormat="false" ht="27.75" hidden="false" customHeight="true" outlineLevel="0" collapsed="false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 customFormat="false" ht="27.75" hidden="false" customHeight="true" outlineLevel="0" collapsed="false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</row>
    <row r="942" customFormat="false" ht="27.75" hidden="false" customHeight="true" outlineLevel="0" collapsed="false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r="943" customFormat="false" ht="27.75" hidden="false" customHeight="true" outlineLevel="0" collapsed="false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</row>
    <row r="944" customFormat="false" ht="27.75" hidden="false" customHeight="true" outlineLevel="0" collapsed="false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r="945" customFormat="false" ht="27.75" hidden="false" customHeight="true" outlineLevel="0" collapsed="false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</row>
    <row r="946" customFormat="false" ht="27.75" hidden="false" customHeight="true" outlineLevel="0" collapsed="false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r="947" customFormat="false" ht="27.75" hidden="false" customHeight="true" outlineLevel="0" collapsed="false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r="948" customFormat="false" ht="27.75" hidden="false" customHeight="true" outlineLevel="0" collapsed="false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 customFormat="false" ht="27.75" hidden="false" customHeight="true" outlineLevel="0" collapsed="false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r="950" customFormat="false" ht="27.75" hidden="false" customHeight="true" outlineLevel="0" collapsed="false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 customFormat="false" ht="27.75" hidden="false" customHeight="true" outlineLevel="0" collapsed="false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</row>
    <row r="952" customFormat="false" ht="27.75" hidden="false" customHeight="true" outlineLevel="0" collapsed="false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</row>
    <row r="953" customFormat="false" ht="27.75" hidden="false" customHeight="true" outlineLevel="0" collapsed="false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</row>
    <row r="954" customFormat="false" ht="27.75" hidden="false" customHeight="true" outlineLevel="0" collapsed="false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</row>
    <row r="955" customFormat="false" ht="27.75" hidden="false" customHeight="true" outlineLevel="0" collapsed="false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</row>
    <row r="956" customFormat="false" ht="27.75" hidden="false" customHeight="true" outlineLevel="0" collapsed="false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</row>
    <row r="957" customFormat="false" ht="27.75" hidden="false" customHeight="true" outlineLevel="0" collapsed="false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</row>
    <row r="958" customFormat="false" ht="27.75" hidden="false" customHeight="true" outlineLevel="0" collapsed="false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</row>
    <row r="959" customFormat="false" ht="27.75" hidden="false" customHeight="true" outlineLevel="0" collapsed="false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</row>
    <row r="960" customFormat="false" ht="27.75" hidden="false" customHeight="true" outlineLevel="0" collapsed="false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</row>
    <row r="961" customFormat="false" ht="27.75" hidden="false" customHeight="true" outlineLevel="0" collapsed="false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</row>
    <row r="962" customFormat="false" ht="27.75" hidden="false" customHeight="true" outlineLevel="0" collapsed="false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</row>
    <row r="963" customFormat="false" ht="27.75" hidden="false" customHeight="true" outlineLevel="0" collapsed="false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</row>
    <row r="964" customFormat="false" ht="27.75" hidden="false" customHeight="true" outlineLevel="0" collapsed="false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</row>
    <row r="965" customFormat="false" ht="27.75" hidden="false" customHeight="true" outlineLevel="0" collapsed="false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</row>
    <row r="966" customFormat="false" ht="27.75" hidden="false" customHeight="true" outlineLevel="0" collapsed="false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</row>
    <row r="967" customFormat="false" ht="27.75" hidden="false" customHeight="true" outlineLevel="0" collapsed="false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</row>
    <row r="968" customFormat="false" ht="27.75" hidden="false" customHeight="true" outlineLevel="0" collapsed="false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</row>
    <row r="969" customFormat="false" ht="27.75" hidden="false" customHeight="true" outlineLevel="0" collapsed="false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</row>
    <row r="970" customFormat="false" ht="27.75" hidden="false" customHeight="true" outlineLevel="0" collapsed="false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</row>
    <row r="971" customFormat="false" ht="27.75" hidden="false" customHeight="true" outlineLevel="0" collapsed="false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</row>
    <row r="972" customFormat="false" ht="27.75" hidden="false" customHeight="true" outlineLevel="0" collapsed="false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</row>
    <row r="973" customFormat="false" ht="27.75" hidden="false" customHeight="true" outlineLevel="0" collapsed="false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</row>
    <row r="974" customFormat="false" ht="27.75" hidden="false" customHeight="true" outlineLevel="0" collapsed="false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</row>
    <row r="975" customFormat="false" ht="27.75" hidden="false" customHeight="true" outlineLevel="0" collapsed="false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</row>
    <row r="976" customFormat="false" ht="27.75" hidden="false" customHeight="true" outlineLevel="0" collapsed="false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</row>
    <row r="977" customFormat="false" ht="27.75" hidden="false" customHeight="true" outlineLevel="0" collapsed="false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</row>
    <row r="978" customFormat="false" ht="27.75" hidden="false" customHeight="true" outlineLevel="0" collapsed="false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</row>
    <row r="979" customFormat="false" ht="27.75" hidden="false" customHeight="true" outlineLevel="0" collapsed="false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</row>
    <row r="980" customFormat="false" ht="27.75" hidden="false" customHeight="true" outlineLevel="0" collapsed="false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</row>
    <row r="981" customFormat="false" ht="27.75" hidden="false" customHeight="true" outlineLevel="0" collapsed="false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</row>
    <row r="982" customFormat="false" ht="27.75" hidden="false" customHeight="true" outlineLevel="0" collapsed="false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</row>
    <row r="983" customFormat="false" ht="27.75" hidden="false" customHeight="true" outlineLevel="0" collapsed="false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</row>
    <row r="984" customFormat="false" ht="27.75" hidden="false" customHeight="true" outlineLevel="0" collapsed="false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</row>
    <row r="985" customFormat="false" ht="27.75" hidden="false" customHeight="true" outlineLevel="0" collapsed="false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</row>
    <row r="986" customFormat="false" ht="27.75" hidden="false" customHeight="true" outlineLevel="0" collapsed="false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</row>
    <row r="987" customFormat="false" ht="27.75" hidden="false" customHeight="true" outlineLevel="0" collapsed="false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</row>
    <row r="988" customFormat="false" ht="27.75" hidden="false" customHeight="true" outlineLevel="0" collapsed="false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</row>
    <row r="989" customFormat="false" ht="27.75" hidden="false" customHeight="true" outlineLevel="0" collapsed="false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</row>
    <row r="990" customFormat="false" ht="27.75" hidden="false" customHeight="true" outlineLevel="0" collapsed="false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</row>
    <row r="991" customFormat="false" ht="27.75" hidden="false" customHeight="true" outlineLevel="0" collapsed="false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</row>
    <row r="992" customFormat="false" ht="27.75" hidden="false" customHeight="true" outlineLevel="0" collapsed="false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</row>
    <row r="993" customFormat="false" ht="27.75" hidden="false" customHeight="true" outlineLevel="0" collapsed="false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</row>
    <row r="994" customFormat="false" ht="27.75" hidden="false" customHeight="true" outlineLevel="0" collapsed="false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</row>
    <row r="995" customFormat="false" ht="27.75" hidden="false" customHeight="true" outlineLevel="0" collapsed="false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</row>
    <row r="996" customFormat="false" ht="27.75" hidden="false" customHeight="true" outlineLevel="0" collapsed="false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</row>
    <row r="997" customFormat="false" ht="27.75" hidden="false" customHeight="true" outlineLevel="0" collapsed="false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</row>
    <row r="998" customFormat="false" ht="27.75" hidden="false" customHeight="true" outlineLevel="0" collapsed="false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</row>
    <row r="999" customFormat="false" ht="27.75" hidden="false" customHeight="true" outlineLevel="0" collapsed="false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</row>
    <row r="1000" customFormat="false" ht="27.75" hidden="false" customHeight="true" outlineLevel="0" collapsed="false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</row>
    <row r="1001" customFormat="false" ht="27.75" hidden="false" customHeight="true" outlineLevel="0" collapsed="false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true" outlineLevel="0" max="1" min="1" style="8" width="34.25"/>
    <col collapsed="false" customWidth="true" hidden="false" outlineLevel="0" max="2" min="2" style="8" width="34.25"/>
    <col collapsed="false" customWidth="true" hidden="false" outlineLevel="0" max="3" min="3" style="8" width="13.5"/>
    <col collapsed="false" customWidth="true" hidden="false" outlineLevel="0" max="4" min="4" style="8" width="19.38"/>
    <col collapsed="false" customWidth="true" hidden="false" outlineLevel="0" max="5" min="5" style="8" width="20.75"/>
    <col collapsed="false" customWidth="true" hidden="false" outlineLevel="0" max="6" min="6" style="8" width="17.38"/>
    <col collapsed="false" customWidth="true" hidden="false" outlineLevel="0" max="8" min="8" style="8" width="23.63"/>
    <col collapsed="false" customWidth="true" hidden="false" outlineLevel="0" max="9" min="9" style="8" width="20"/>
    <col collapsed="false" customWidth="true" hidden="false" outlineLevel="0" max="10" min="10" style="8" width="27"/>
  </cols>
  <sheetData>
    <row r="1" customFormat="false" ht="15.75" hidden="false" customHeight="true" outlineLevel="0" collapsed="false">
      <c r="A1" s="44" t="s">
        <v>376</v>
      </c>
      <c r="B1" s="44" t="s">
        <v>376</v>
      </c>
      <c r="C1" s="44" t="s">
        <v>41</v>
      </c>
      <c r="D1" s="44" t="s">
        <v>377</v>
      </c>
      <c r="E1" s="45" t="s">
        <v>45</v>
      </c>
      <c r="F1" s="45" t="s">
        <v>378</v>
      </c>
      <c r="G1" s="9"/>
      <c r="H1" s="46"/>
      <c r="I1" s="46"/>
      <c r="J1" s="46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customFormat="false" ht="15.75" hidden="false" customHeight="true" outlineLevel="0" collapsed="false">
      <c r="A2" s="47" t="s">
        <v>49</v>
      </c>
      <c r="B2" s="47" t="str">
        <f aca="false">TRIM(A2)</f>
        <v>آبتین جباری</v>
      </c>
      <c r="C2" s="47" t="n">
        <v>334</v>
      </c>
      <c r="D2" s="47" t="n">
        <v>8</v>
      </c>
      <c r="E2" s="9" t="n">
        <f aca="false">IFERROR(VLOOKUP(B2,'Operators performance'!B:K,9,0),"-")</f>
        <v>5</v>
      </c>
      <c r="F2" s="9" t="n">
        <v>0</v>
      </c>
      <c r="G2" s="9"/>
      <c r="H2" s="48"/>
      <c r="I2" s="49" t="s">
        <v>379</v>
      </c>
      <c r="J2" s="50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customFormat="false" ht="15.75" hidden="false" customHeight="true" outlineLevel="0" collapsed="false">
      <c r="A3" s="47" t="s">
        <v>51</v>
      </c>
      <c r="B3" s="47" t="str">
        <f aca="false">TRIM(A3)</f>
        <v>علی قناعتی</v>
      </c>
      <c r="C3" s="47" t="n">
        <v>262</v>
      </c>
      <c r="D3" s="47" t="n">
        <v>10</v>
      </c>
      <c r="E3" s="9" t="n">
        <f aca="false">IFERROR(VLOOKUP(B3,'Operators performance'!B:K,9,0),"-")</f>
        <v>5</v>
      </c>
      <c r="F3" s="9" t="n">
        <v>0</v>
      </c>
      <c r="G3" s="9"/>
      <c r="H3" s="51" t="s">
        <v>39</v>
      </c>
      <c r="I3" s="52" t="s">
        <v>380</v>
      </c>
      <c r="J3" s="53" t="s">
        <v>381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customFormat="false" ht="15.75" hidden="false" customHeight="true" outlineLevel="0" collapsed="false">
      <c r="A4" s="47" t="s">
        <v>117</v>
      </c>
      <c r="B4" s="47" t="str">
        <f aca="false">TRIM(A4)</f>
        <v>مرکز صدور هاشم زاده | محمد هاشم زاده</v>
      </c>
      <c r="C4" s="47" t="n">
        <v>79</v>
      </c>
      <c r="D4" s="47" t="n">
        <v>13</v>
      </c>
      <c r="E4" s="9" t="n">
        <f aca="false">IFERROR(VLOOKUP(B4,'Operators performance'!B:K,9,0),"-")</f>
        <v>5</v>
      </c>
      <c r="F4" s="9" t="n">
        <v>0</v>
      </c>
      <c r="G4" s="9"/>
      <c r="H4" s="54" t="s">
        <v>7</v>
      </c>
      <c r="I4" s="55" t="n">
        <v>42</v>
      </c>
      <c r="J4" s="56" t="n">
        <v>2.22619047619048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customFormat="false" ht="15.75" hidden="false" customHeight="true" outlineLevel="0" collapsed="false">
      <c r="A5" s="47" t="s">
        <v>77</v>
      </c>
      <c r="B5" s="47" t="str">
        <f aca="false">TRIM(A5)</f>
        <v>اعظم خردبیشه</v>
      </c>
      <c r="C5" s="47" t="n">
        <v>100</v>
      </c>
      <c r="D5" s="47" t="n">
        <v>14</v>
      </c>
      <c r="E5" s="9" t="n">
        <f aca="false">IFERROR(VLOOKUP(B5,'Operators performance'!B:K,9,0),"-")</f>
        <v>5</v>
      </c>
      <c r="F5" s="9" t="n">
        <v>0</v>
      </c>
      <c r="G5" s="9"/>
      <c r="H5" s="57" t="s">
        <v>8</v>
      </c>
      <c r="I5" s="58" t="n">
        <v>31</v>
      </c>
      <c r="J5" s="59" t="n">
        <v>2.08064516129032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customFormat="false" ht="15.75" hidden="false" customHeight="true" outlineLevel="0" collapsed="false">
      <c r="A6" s="47" t="s">
        <v>52</v>
      </c>
      <c r="B6" s="47" t="str">
        <f aca="false">TRIM(A6)</f>
        <v>علیرضا حمید نیا</v>
      </c>
      <c r="C6" s="47" t="n">
        <v>250</v>
      </c>
      <c r="D6" s="47" t="n">
        <v>15</v>
      </c>
      <c r="E6" s="9" t="n">
        <f aca="false">IFERROR(VLOOKUP(B6,'Operators performance'!B:K,9,0),"-")</f>
        <v>5</v>
      </c>
      <c r="F6" s="9" t="n">
        <v>0</v>
      </c>
      <c r="G6" s="9"/>
      <c r="H6" s="57" t="s">
        <v>9</v>
      </c>
      <c r="I6" s="58" t="n">
        <v>3</v>
      </c>
      <c r="J6" s="59" t="n">
        <v>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customFormat="false" ht="15.75" hidden="false" customHeight="true" outlineLevel="0" collapsed="false">
      <c r="A7" s="47" t="s">
        <v>80</v>
      </c>
      <c r="B7" s="47" t="str">
        <f aca="false">TRIM(A7)</f>
        <v>سمانه فاطمی</v>
      </c>
      <c r="C7" s="47" t="n">
        <v>92</v>
      </c>
      <c r="D7" s="47" t="n">
        <v>15</v>
      </c>
      <c r="E7" s="9" t="n">
        <f aca="false">IFERROR(VLOOKUP(B7,'Operators performance'!B:K,9,0),"-")</f>
        <v>5</v>
      </c>
      <c r="F7" s="9" t="n">
        <v>0</v>
      </c>
      <c r="G7" s="9"/>
      <c r="H7" s="57" t="s">
        <v>10</v>
      </c>
      <c r="I7" s="58" t="n">
        <v>50</v>
      </c>
      <c r="J7" s="59" t="n">
        <v>2.65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customFormat="false" ht="15.75" hidden="false" customHeight="true" outlineLevel="0" collapsed="false">
      <c r="A8" s="47" t="s">
        <v>53</v>
      </c>
      <c r="B8" s="47" t="str">
        <f aca="false">TRIM(A8)</f>
        <v>معراج عزیزی</v>
      </c>
      <c r="C8" s="47" t="n">
        <v>333</v>
      </c>
      <c r="D8" s="47" t="n">
        <v>15</v>
      </c>
      <c r="E8" s="9" t="n">
        <f aca="false">IFERROR(VLOOKUP(B8,'Operators performance'!B:K,9,0),"-")</f>
        <v>5</v>
      </c>
      <c r="F8" s="9" t="n">
        <v>0</v>
      </c>
      <c r="G8" s="9"/>
      <c r="H8" s="57" t="s">
        <v>11</v>
      </c>
      <c r="I8" s="58" t="n">
        <v>44</v>
      </c>
      <c r="J8" s="59" t="n">
        <v>2.18181818181818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customFormat="false" ht="15.75" hidden="false" customHeight="true" outlineLevel="0" collapsed="false">
      <c r="A9" s="47" t="s">
        <v>50</v>
      </c>
      <c r="B9" s="47" t="str">
        <f aca="false">TRIM(A9)</f>
        <v>رویا زارعی</v>
      </c>
      <c r="C9" s="47" t="n">
        <v>219</v>
      </c>
      <c r="D9" s="47" t="n">
        <v>15</v>
      </c>
      <c r="E9" s="9" t="n">
        <f aca="false">IFERROR(VLOOKUP(B9,'Operators performance'!B:K,9,0),"-")</f>
        <v>5</v>
      </c>
      <c r="F9" s="9" t="n">
        <v>0</v>
      </c>
      <c r="G9" s="9"/>
      <c r="H9" s="57" t="s">
        <v>12</v>
      </c>
      <c r="I9" s="58" t="n">
        <v>30</v>
      </c>
      <c r="J9" s="59" t="n">
        <v>2.26666666666667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customFormat="false" ht="15.75" hidden="false" customHeight="true" outlineLevel="0" collapsed="false">
      <c r="A10" s="47" t="s">
        <v>61</v>
      </c>
      <c r="B10" s="47" t="str">
        <f aca="false">TRIM(A10)</f>
        <v>آوا صادق زاده</v>
      </c>
      <c r="C10" s="47" t="n">
        <v>150</v>
      </c>
      <c r="D10" s="47" t="n">
        <v>16</v>
      </c>
      <c r="E10" s="9" t="n">
        <f aca="false">IFERROR(VLOOKUP(B10,'Operators performance'!B:K,9,0),"-")</f>
        <v>5</v>
      </c>
      <c r="F10" s="9" t="n">
        <v>0</v>
      </c>
      <c r="G10" s="9"/>
      <c r="H10" s="57" t="s">
        <v>13</v>
      </c>
      <c r="I10" s="58" t="n">
        <v>29</v>
      </c>
      <c r="J10" s="59" t="n">
        <v>2.03448275862069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customFormat="false" ht="15.75" hidden="false" customHeight="true" outlineLevel="0" collapsed="false">
      <c r="A11" s="47" t="s">
        <v>55</v>
      </c>
      <c r="B11" s="47" t="str">
        <f aca="false">TRIM(A11)</f>
        <v>امیر حسین پزشک پور</v>
      </c>
      <c r="C11" s="47" t="n">
        <v>221</v>
      </c>
      <c r="D11" s="47" t="n">
        <v>16</v>
      </c>
      <c r="E11" s="9" t="n">
        <f aca="false">IFERROR(VLOOKUP(B11,'Operators performance'!B:K,9,0),"-")</f>
        <v>5</v>
      </c>
      <c r="F11" s="9" t="n">
        <v>0</v>
      </c>
      <c r="G11" s="9"/>
      <c r="H11" s="57" t="s">
        <v>14</v>
      </c>
      <c r="I11" s="58" t="n">
        <v>45</v>
      </c>
      <c r="J11" s="59" t="n">
        <v>2.64444444444444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customFormat="false" ht="15.75" hidden="false" customHeight="true" outlineLevel="0" collapsed="false">
      <c r="A12" s="47" t="s">
        <v>57</v>
      </c>
      <c r="B12" s="47" t="str">
        <f aca="false">TRIM(A12)</f>
        <v>سارا رسولی</v>
      </c>
      <c r="C12" s="47" t="n">
        <v>235</v>
      </c>
      <c r="D12" s="47" t="n">
        <v>16</v>
      </c>
      <c r="E12" s="9" t="n">
        <f aca="false">IFERROR(VLOOKUP(B12,'Operators performance'!B:K,9,0),"-")</f>
        <v>5</v>
      </c>
      <c r="F12" s="9" t="n">
        <v>0</v>
      </c>
      <c r="G12" s="9"/>
      <c r="H12" s="57" t="s">
        <v>15</v>
      </c>
      <c r="I12" s="58" t="n">
        <v>6</v>
      </c>
      <c r="J12" s="59" t="n">
        <v>0.916666666666667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customFormat="false" ht="15.75" hidden="false" customHeight="true" outlineLevel="0" collapsed="false">
      <c r="A13" s="47" t="s">
        <v>73</v>
      </c>
      <c r="B13" s="47" t="str">
        <f aca="false">TRIM(A13)</f>
        <v>مرکز صدور رضوانی | طاهارضوانی</v>
      </c>
      <c r="C13" s="47" t="n">
        <v>169</v>
      </c>
      <c r="D13" s="47" t="n">
        <v>16</v>
      </c>
      <c r="E13" s="9" t="n">
        <f aca="false">IFERROR(VLOOKUP(B13,'Operators performance'!B:K,9,0),"-")</f>
        <v>5</v>
      </c>
      <c r="F13" s="9" t="n">
        <v>0</v>
      </c>
      <c r="G13" s="9"/>
      <c r="H13" s="57" t="s">
        <v>382</v>
      </c>
      <c r="I13" s="60"/>
      <c r="J13" s="61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customFormat="false" ht="15.75" hidden="false" customHeight="true" outlineLevel="0" collapsed="false">
      <c r="A14" s="47" t="s">
        <v>94</v>
      </c>
      <c r="B14" s="47" t="str">
        <f aca="false">TRIM(A14)</f>
        <v>الناز بهمنی</v>
      </c>
      <c r="C14" s="47" t="n">
        <v>105</v>
      </c>
      <c r="D14" s="47" t="n">
        <v>16</v>
      </c>
      <c r="E14" s="9" t="n">
        <f aca="false">IFERROR(VLOOKUP(B14,'Operators performance'!B:K,9,0),"-")</f>
        <v>5</v>
      </c>
      <c r="F14" s="9" t="n">
        <v>0</v>
      </c>
      <c r="G14" s="9"/>
      <c r="H14" s="62" t="s">
        <v>383</v>
      </c>
      <c r="I14" s="63" t="n">
        <v>280</v>
      </c>
      <c r="J14" s="64" t="n">
        <v>2.28928571428571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customFormat="false" ht="15.75" hidden="false" customHeight="true" outlineLevel="0" collapsed="false">
      <c r="A15" s="47" t="s">
        <v>60</v>
      </c>
      <c r="B15" s="47" t="str">
        <f aca="false">TRIM(A15)</f>
        <v>مرکز صدور خوش سیرت | نازنین به نظر</v>
      </c>
      <c r="C15" s="47" t="n">
        <v>200</v>
      </c>
      <c r="D15" s="47" t="n">
        <v>16</v>
      </c>
      <c r="E15" s="9" t="n">
        <f aca="false">IFERROR(VLOOKUP(B15,'Operators performance'!B:K,9,0),"-")</f>
        <v>5</v>
      </c>
      <c r="F15" s="9" t="n">
        <v>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customFormat="false" ht="15.75" hidden="false" customHeight="true" outlineLevel="0" collapsed="false">
      <c r="A16" s="47" t="s">
        <v>113</v>
      </c>
      <c r="B16" s="47" t="str">
        <f aca="false">TRIM(A16)</f>
        <v>مرتضی احمدی</v>
      </c>
      <c r="C16" s="47" t="n">
        <v>103</v>
      </c>
      <c r="D16" s="47" t="n">
        <v>17</v>
      </c>
      <c r="E16" s="9" t="n">
        <f aca="false">IFERROR(VLOOKUP(B16,'Operators performance'!B:K,9,0),"-")</f>
        <v>5</v>
      </c>
      <c r="F16" s="9" t="n">
        <v>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customFormat="false" ht="15.75" hidden="false" customHeight="true" outlineLevel="0" collapsed="false">
      <c r="A17" s="47" t="s">
        <v>64</v>
      </c>
      <c r="B17" s="47" t="str">
        <f aca="false">TRIM(A17)</f>
        <v>رویا خیری</v>
      </c>
      <c r="C17" s="47" t="n">
        <v>174</v>
      </c>
      <c r="D17" s="47" t="n">
        <v>17</v>
      </c>
      <c r="E17" s="9" t="n">
        <f aca="false">IFERROR(VLOOKUP(B17,'Operators performance'!B:K,9,0),"-")</f>
        <v>5</v>
      </c>
      <c r="F17" s="9" t="n">
        <v>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customFormat="false" ht="15.75" hidden="false" customHeight="true" outlineLevel="0" collapsed="false">
      <c r="A18" s="47" t="s">
        <v>170</v>
      </c>
      <c r="B18" s="47" t="str">
        <f aca="false">TRIM(A18)</f>
        <v>مهرشاد شقاقی</v>
      </c>
      <c r="C18" s="47" t="n">
        <v>33</v>
      </c>
      <c r="D18" s="47" t="n">
        <v>18</v>
      </c>
      <c r="E18" s="9" t="n">
        <f aca="false">IFERROR(VLOOKUP(B18,'Operators performance'!B:K,9,0),"-")</f>
        <v>5</v>
      </c>
      <c r="F18" s="9" t="n">
        <v>0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customFormat="false" ht="15.75" hidden="false" customHeight="true" outlineLevel="0" collapsed="false">
      <c r="A19" s="47" t="s">
        <v>151</v>
      </c>
      <c r="B19" s="47" t="str">
        <f aca="false">TRIM(A19)</f>
        <v>پریا کشوری</v>
      </c>
      <c r="C19" s="47" t="n">
        <v>15</v>
      </c>
      <c r="D19" s="47" t="n">
        <v>17</v>
      </c>
      <c r="E19" s="9" t="n">
        <f aca="false">IFERROR(VLOOKUP(B19,'Operators performance'!B:K,9,0),"-")</f>
        <v>5</v>
      </c>
      <c r="F19" s="9" t="n">
        <v>0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customFormat="false" ht="15.75" hidden="false" customHeight="true" outlineLevel="0" collapsed="false">
      <c r="A20" s="47" t="s">
        <v>54</v>
      </c>
      <c r="B20" s="47" t="str">
        <f aca="false">TRIM(A20)</f>
        <v>افشین میرزاده</v>
      </c>
      <c r="C20" s="47" t="n">
        <v>269</v>
      </c>
      <c r="D20" s="47" t="n">
        <v>18</v>
      </c>
      <c r="E20" s="9" t="n">
        <f aca="false">IFERROR(VLOOKUP(B20,'Operators performance'!B:K,9,0),"-")</f>
        <v>5</v>
      </c>
      <c r="F20" s="9" t="n">
        <v>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customFormat="false" ht="15.75" hidden="false" customHeight="true" outlineLevel="0" collapsed="false">
      <c r="A21" s="47" t="s">
        <v>95</v>
      </c>
      <c r="B21" s="47" t="str">
        <f aca="false">TRIM(A21)</f>
        <v>امیر حسین رستمی</v>
      </c>
      <c r="C21" s="47" t="n">
        <v>92</v>
      </c>
      <c r="D21" s="47" t="n">
        <v>18</v>
      </c>
      <c r="E21" s="9" t="n">
        <f aca="false">IFERROR(VLOOKUP(B21,'Operators performance'!B:K,9,0),"-")</f>
        <v>5</v>
      </c>
      <c r="F21" s="9" t="n">
        <v>0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customFormat="false" ht="15.75" hidden="false" customHeight="true" outlineLevel="0" collapsed="false">
      <c r="A22" s="47" t="s">
        <v>124</v>
      </c>
      <c r="B22" s="47" t="str">
        <f aca="false">TRIM(A22)</f>
        <v>آرین بحیرایی</v>
      </c>
      <c r="C22" s="47" t="n">
        <v>68</v>
      </c>
      <c r="D22" s="47" t="n">
        <v>18</v>
      </c>
      <c r="E22" s="9" t="n">
        <f aca="false">IFERROR(VLOOKUP(B22,'Operators performance'!B:K,9,0),"-")</f>
        <v>5</v>
      </c>
      <c r="F22" s="9" t="n">
        <v>0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customFormat="false" ht="15.75" hidden="false" customHeight="true" outlineLevel="0" collapsed="false">
      <c r="A23" s="47" t="s">
        <v>132</v>
      </c>
      <c r="B23" s="47" t="str">
        <f aca="false">TRIM(A23)</f>
        <v>زهره ذبیحی</v>
      </c>
      <c r="C23" s="47" t="n">
        <v>65</v>
      </c>
      <c r="D23" s="47" t="n">
        <v>19</v>
      </c>
      <c r="E23" s="9" t="n">
        <f aca="false">IFERROR(VLOOKUP(B23,'Operators performance'!B:K,9,0),"-")</f>
        <v>5</v>
      </c>
      <c r="F23" s="9" t="n">
        <v>0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customFormat="false" ht="15.75" hidden="false" customHeight="true" outlineLevel="0" collapsed="false">
      <c r="A24" s="47" t="s">
        <v>92</v>
      </c>
      <c r="B24" s="47" t="str">
        <f aca="false">TRIM(A24)</f>
        <v>آرزو حمیدی</v>
      </c>
      <c r="C24" s="47" t="n">
        <v>93</v>
      </c>
      <c r="D24" s="47" t="n">
        <v>19</v>
      </c>
      <c r="E24" s="9" t="n">
        <f aca="false">IFERROR(VLOOKUP(B24,'Operators performance'!B:K,9,0),"-")</f>
        <v>5</v>
      </c>
      <c r="F24" s="9" t="n">
        <v>0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customFormat="false" ht="15.75" hidden="false" customHeight="true" outlineLevel="0" collapsed="false">
      <c r="A25" s="47" t="s">
        <v>56</v>
      </c>
      <c r="B25" s="47" t="str">
        <f aca="false">TRIM(A25)</f>
        <v>سارا جاوری</v>
      </c>
      <c r="C25" s="47" t="n">
        <v>269</v>
      </c>
      <c r="D25" s="47" t="n">
        <v>19</v>
      </c>
      <c r="E25" s="9" t="n">
        <f aca="false">IFERROR(VLOOKUP(B25,'Operators performance'!B:K,9,0),"-")</f>
        <v>5</v>
      </c>
      <c r="F25" s="9" t="n">
        <v>0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customFormat="false" ht="15.75" hidden="false" customHeight="true" outlineLevel="0" collapsed="false">
      <c r="A26" s="47" t="s">
        <v>71</v>
      </c>
      <c r="B26" s="47" t="str">
        <f aca="false">TRIM(A26)</f>
        <v>قاسم شکری</v>
      </c>
      <c r="C26" s="47" t="n">
        <v>178</v>
      </c>
      <c r="D26" s="47" t="n">
        <v>18</v>
      </c>
      <c r="E26" s="9" t="n">
        <f aca="false">IFERROR(VLOOKUP(B26,'Operators performance'!B:K,9,0),"-")</f>
        <v>5</v>
      </c>
      <c r="F26" s="9" t="n">
        <v>0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customFormat="false" ht="15.75" hidden="false" customHeight="true" outlineLevel="0" collapsed="false">
      <c r="A27" s="47" t="s">
        <v>128</v>
      </c>
      <c r="B27" s="47" t="str">
        <f aca="false">TRIM(A27)</f>
        <v>حسین بهزادی مقدم</v>
      </c>
      <c r="C27" s="47" t="n">
        <v>69</v>
      </c>
      <c r="D27" s="47" t="n">
        <v>19</v>
      </c>
      <c r="E27" s="9" t="n">
        <f aca="false">IFERROR(VLOOKUP(B27,'Operators performance'!B:K,9,0),"-")</f>
        <v>5</v>
      </c>
      <c r="F27" s="9" t="n">
        <v>0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customFormat="false" ht="15.75" hidden="false" customHeight="true" outlineLevel="0" collapsed="false">
      <c r="A28" s="47" t="s">
        <v>105</v>
      </c>
      <c r="B28" s="47" t="str">
        <f aca="false">TRIM(A28)</f>
        <v>صبا صباغ</v>
      </c>
      <c r="C28" s="47" t="n">
        <v>108</v>
      </c>
      <c r="D28" s="47" t="n">
        <v>19</v>
      </c>
      <c r="E28" s="9" t="n">
        <f aca="false">IFERROR(VLOOKUP(B28,'Operators performance'!B:K,9,0),"-")</f>
        <v>5</v>
      </c>
      <c r="F28" s="9" t="n">
        <v>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customFormat="false" ht="15.75" hidden="false" customHeight="true" outlineLevel="0" collapsed="false">
      <c r="A29" s="47" t="s">
        <v>98</v>
      </c>
      <c r="B29" s="47" t="str">
        <f aca="false">TRIM(A29)</f>
        <v>پویا شهبازی</v>
      </c>
      <c r="C29" s="47" t="n">
        <v>109</v>
      </c>
      <c r="D29" s="47" t="n">
        <v>19</v>
      </c>
      <c r="E29" s="9" t="n">
        <f aca="false">IFERROR(VLOOKUP(B29,'Operators performance'!B:K,9,0),"-")</f>
        <v>5</v>
      </c>
      <c r="F29" s="9" t="n">
        <v>0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customFormat="false" ht="15.75" hidden="false" customHeight="true" outlineLevel="0" collapsed="false">
      <c r="A30" s="47" t="s">
        <v>59</v>
      </c>
      <c r="B30" s="47" t="str">
        <f aca="false">TRIM(A30)</f>
        <v>محمد سعیدیان</v>
      </c>
      <c r="C30" s="47" t="n">
        <v>239</v>
      </c>
      <c r="D30" s="47" t="n">
        <v>19</v>
      </c>
      <c r="E30" s="9" t="n">
        <f aca="false">IFERROR(VLOOKUP(B30,'Operators performance'!B:K,9,0),"-")</f>
        <v>5</v>
      </c>
      <c r="F30" s="9" t="n">
        <v>0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customFormat="false" ht="15.75" hidden="false" customHeight="true" outlineLevel="0" collapsed="false">
      <c r="A31" s="47" t="s">
        <v>58</v>
      </c>
      <c r="B31" s="47" t="str">
        <f aca="false">TRIM(A31)</f>
        <v>فاطمه بهزادی</v>
      </c>
      <c r="C31" s="47" t="n">
        <v>252</v>
      </c>
      <c r="D31" s="47" t="n">
        <v>20</v>
      </c>
      <c r="E31" s="9" t="n">
        <f aca="false">IFERROR(VLOOKUP(B31,'Operators performance'!B:K,9,0),"-")</f>
        <v>5</v>
      </c>
      <c r="F31" s="9" t="n">
        <v>0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customFormat="false" ht="15.75" hidden="false" customHeight="true" outlineLevel="0" collapsed="false">
      <c r="A32" s="47" t="s">
        <v>149</v>
      </c>
      <c r="B32" s="47" t="str">
        <f aca="false">TRIM(A32)</f>
        <v>امیر محمد فیروزی</v>
      </c>
      <c r="C32" s="47" t="n">
        <v>7</v>
      </c>
      <c r="D32" s="47" t="n">
        <v>20</v>
      </c>
      <c r="E32" s="9" t="n">
        <f aca="false">IFERROR(VLOOKUP(B32,'Operators performance'!B:K,9,0),"-")</f>
        <v>5</v>
      </c>
      <c r="F32" s="9" t="n">
        <v>0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customFormat="false" ht="15.75" hidden="false" customHeight="true" outlineLevel="0" collapsed="false">
      <c r="A33" s="47" t="s">
        <v>96</v>
      </c>
      <c r="B33" s="47" t="str">
        <f aca="false">TRIM(A33)</f>
        <v>پارسا نصراللهی</v>
      </c>
      <c r="C33" s="47" t="n">
        <v>107</v>
      </c>
      <c r="D33" s="47" t="n">
        <v>20</v>
      </c>
      <c r="E33" s="9" t="n">
        <f aca="false">IFERROR(VLOOKUP(B33,'Operators performance'!B:K,9,0),"-")</f>
        <v>5</v>
      </c>
      <c r="F33" s="9" t="n">
        <v>0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customFormat="false" ht="15.75" hidden="false" customHeight="true" outlineLevel="0" collapsed="false">
      <c r="A34" s="47" t="s">
        <v>84</v>
      </c>
      <c r="B34" s="47" t="str">
        <f aca="false">TRIM(A34)</f>
        <v>فرشته باشتنی</v>
      </c>
      <c r="C34" s="47" t="n">
        <v>138</v>
      </c>
      <c r="D34" s="47" t="n">
        <v>20</v>
      </c>
      <c r="E34" s="9" t="n">
        <f aca="false">IFERROR(VLOOKUP(B34,'Operators performance'!B:K,9,0),"-")</f>
        <v>5</v>
      </c>
      <c r="F34" s="9" t="n">
        <v>0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customFormat="false" ht="15.75" hidden="false" customHeight="true" outlineLevel="0" collapsed="false">
      <c r="A35" s="47" t="s">
        <v>141</v>
      </c>
      <c r="B35" s="47" t="str">
        <f aca="false">TRIM(A35)</f>
        <v>معصومه یعقوبی</v>
      </c>
      <c r="C35" s="47" t="n">
        <v>78</v>
      </c>
      <c r="D35" s="47" t="n">
        <v>20</v>
      </c>
      <c r="E35" s="9" t="n">
        <f aca="false">IFERROR(VLOOKUP(B35,'Operators performance'!B:K,9,0),"-")</f>
        <v>5</v>
      </c>
      <c r="F35" s="9" t="n">
        <v>0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customFormat="false" ht="15.75" hidden="false" customHeight="true" outlineLevel="0" collapsed="false">
      <c r="A36" s="47" t="s">
        <v>75</v>
      </c>
      <c r="B36" s="47" t="str">
        <f aca="false">TRIM(A36)</f>
        <v>نرگس نصیری</v>
      </c>
      <c r="C36" s="47" t="n">
        <v>332</v>
      </c>
      <c r="D36" s="47" t="n">
        <v>21</v>
      </c>
      <c r="E36" s="9" t="n">
        <f aca="false">IFERROR(VLOOKUP(B36,'Operators performance'!B:K,9,0),"-")</f>
        <v>4</v>
      </c>
      <c r="F36" s="9" t="n">
        <v>0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customFormat="false" ht="15.75" hidden="false" customHeight="true" outlineLevel="0" collapsed="false">
      <c r="A37" s="47" t="s">
        <v>155</v>
      </c>
      <c r="B37" s="47" t="str">
        <f aca="false">TRIM(A37)</f>
        <v>زهرا اکبری</v>
      </c>
      <c r="C37" s="47" t="n">
        <v>21</v>
      </c>
      <c r="D37" s="47" t="n">
        <v>20</v>
      </c>
      <c r="E37" s="9" t="n">
        <f aca="false">IFERROR(VLOOKUP(B37,'Operators performance'!B:K,9,0),"-")</f>
        <v>5</v>
      </c>
      <c r="F37" s="9" t="n">
        <v>0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customFormat="false" ht="15.75" hidden="false" customHeight="true" outlineLevel="0" collapsed="false">
      <c r="A38" s="47" t="s">
        <v>171</v>
      </c>
      <c r="B38" s="47" t="str">
        <f aca="false">TRIM(A38)</f>
        <v>مهسا بابائی</v>
      </c>
      <c r="C38" s="47" t="n">
        <v>63</v>
      </c>
      <c r="D38" s="47" t="n">
        <v>21</v>
      </c>
      <c r="E38" s="9" t="n">
        <f aca="false">IFERROR(VLOOKUP(B38,'Operators performance'!B:K,9,0),"-")</f>
        <v>4</v>
      </c>
      <c r="F38" s="9" t="n">
        <v>0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customFormat="false" ht="15.75" hidden="false" customHeight="true" outlineLevel="0" collapsed="false">
      <c r="A39" s="47" t="s">
        <v>101</v>
      </c>
      <c r="B39" s="47" t="str">
        <f aca="false">TRIM(A39)</f>
        <v>حمیدرضا احمدی</v>
      </c>
      <c r="C39" s="47" t="n">
        <v>125</v>
      </c>
      <c r="D39" s="47" t="n">
        <v>21</v>
      </c>
      <c r="E39" s="9" t="n">
        <f aca="false">IFERROR(VLOOKUP(B39,'Operators performance'!B:K,9,0),"-")</f>
        <v>4</v>
      </c>
      <c r="F39" s="9" t="n">
        <v>0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customFormat="false" ht="15.75" hidden="false" customHeight="true" outlineLevel="0" collapsed="false">
      <c r="A40" s="47" t="s">
        <v>162</v>
      </c>
      <c r="B40" s="47" t="str">
        <f aca="false">TRIM(A40)</f>
        <v>علی رمضی</v>
      </c>
      <c r="C40" s="47" t="n">
        <v>63</v>
      </c>
      <c r="D40" s="47" t="n">
        <v>21</v>
      </c>
      <c r="E40" s="9" t="n">
        <f aca="false">IFERROR(VLOOKUP(B40,'Operators performance'!B:K,9,0),"-")</f>
        <v>4</v>
      </c>
      <c r="F40" s="9" t="n">
        <v>0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customFormat="false" ht="15.75" hidden="false" customHeight="true" outlineLevel="0" collapsed="false">
      <c r="A41" s="47" t="s">
        <v>145</v>
      </c>
      <c r="B41" s="47" t="str">
        <f aca="false">TRIM(A41)</f>
        <v>مهنا رئوف</v>
      </c>
      <c r="C41" s="47" t="n">
        <v>93</v>
      </c>
      <c r="D41" s="47" t="n">
        <v>21</v>
      </c>
      <c r="E41" s="9" t="n">
        <f aca="false">IFERROR(VLOOKUP(B41,'Operators performance'!B:K,9,0),"-")</f>
        <v>4</v>
      </c>
      <c r="F41" s="9" t="n">
        <v>0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customFormat="false" ht="15.75" hidden="false" customHeight="true" outlineLevel="0" collapsed="false">
      <c r="A42" s="47" t="s">
        <v>89</v>
      </c>
      <c r="B42" s="47" t="str">
        <f aca="false">TRIM(A42)</f>
        <v>مریم هاشمی</v>
      </c>
      <c r="C42" s="47" t="n">
        <v>155</v>
      </c>
      <c r="D42" s="47" t="n">
        <v>21</v>
      </c>
      <c r="E42" s="9" t="n">
        <f aca="false">IFERROR(VLOOKUP(B42,'Operators performance'!B:K,9,0),"-")</f>
        <v>4</v>
      </c>
      <c r="F42" s="9" t="n">
        <v>0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customFormat="false" ht="15.75" hidden="false" customHeight="true" outlineLevel="0" collapsed="false">
      <c r="A43" s="47" t="s">
        <v>209</v>
      </c>
      <c r="B43" s="47" t="str">
        <f aca="false">TRIM(A43)</f>
        <v>مهدی سالاری</v>
      </c>
      <c r="C43" s="47" t="n">
        <v>44</v>
      </c>
      <c r="D43" s="47" t="n">
        <v>22</v>
      </c>
      <c r="E43" s="9" t="n">
        <f aca="false">IFERROR(VLOOKUP(B43,'Operators performance'!B:K,9,0),"-")</f>
        <v>4</v>
      </c>
      <c r="F43" s="9" t="n">
        <v>0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customFormat="false" ht="15.75" hidden="false" customHeight="true" outlineLevel="0" collapsed="false">
      <c r="A44" s="47" t="s">
        <v>160</v>
      </c>
      <c r="B44" s="47" t="str">
        <f aca="false">TRIM(A44)</f>
        <v>سمانه آشوری</v>
      </c>
      <c r="C44" s="47" t="n">
        <v>88</v>
      </c>
      <c r="D44" s="47" t="n">
        <v>22</v>
      </c>
      <c r="E44" s="9" t="n">
        <f aca="false">IFERROR(VLOOKUP(B44,'Operators performance'!B:K,9,0),"-")</f>
        <v>4</v>
      </c>
      <c r="F44" s="9" t="n">
        <v>0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customFormat="false" ht="15.75" hidden="false" customHeight="true" outlineLevel="0" collapsed="false">
      <c r="A45" s="47" t="s">
        <v>70</v>
      </c>
      <c r="B45" s="47" t="str">
        <f aca="false">TRIM(A45)</f>
        <v>فاطمه هاشمی</v>
      </c>
      <c r="C45" s="47" t="n">
        <v>213</v>
      </c>
      <c r="D45" s="47" t="n">
        <v>21</v>
      </c>
      <c r="E45" s="9" t="n">
        <f aca="false">IFERROR(VLOOKUP(B45,'Operators performance'!B:K,9,0),"-")</f>
        <v>4</v>
      </c>
      <c r="F45" s="9" t="n">
        <v>0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customFormat="false" ht="15.75" hidden="false" customHeight="true" outlineLevel="0" collapsed="false">
      <c r="A46" s="47" t="s">
        <v>186</v>
      </c>
      <c r="B46" s="47" t="str">
        <f aca="false">TRIM(A46)</f>
        <v>حمید قربانی</v>
      </c>
      <c r="C46" s="47" t="n">
        <v>42</v>
      </c>
      <c r="D46" s="47" t="n">
        <v>22</v>
      </c>
      <c r="E46" s="9" t="n">
        <f aca="false">IFERROR(VLOOKUP(B46,'Operators performance'!B:K,9,0),"-")</f>
        <v>4</v>
      </c>
      <c r="F46" s="9" t="n">
        <v>0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customFormat="false" ht="15.75" hidden="false" customHeight="true" outlineLevel="0" collapsed="false">
      <c r="A47" s="47" t="s">
        <v>150</v>
      </c>
      <c r="B47" s="47" t="str">
        <f aca="false">TRIM(A47)</f>
        <v>امیرمحمد نسائی</v>
      </c>
      <c r="C47" s="47" t="n">
        <v>86</v>
      </c>
      <c r="D47" s="47" t="n">
        <v>22</v>
      </c>
      <c r="E47" s="9" t="n">
        <f aca="false">IFERROR(VLOOKUP(B47,'Operators performance'!B:K,9,0),"-")</f>
        <v>4</v>
      </c>
      <c r="F47" s="9" t="n">
        <v>0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customFormat="false" ht="15.75" hidden="false" customHeight="true" outlineLevel="0" collapsed="false">
      <c r="A48" s="47" t="s">
        <v>74</v>
      </c>
      <c r="B48" s="47" t="str">
        <f aca="false">TRIM(A48)</f>
        <v>مهسا قادری</v>
      </c>
      <c r="C48" s="47" t="n">
        <v>205</v>
      </c>
      <c r="D48" s="47" t="n">
        <v>22</v>
      </c>
      <c r="E48" s="9" t="n">
        <f aca="false">IFERROR(VLOOKUP(B48,'Operators performance'!B:K,9,0),"-")</f>
        <v>4</v>
      </c>
      <c r="F48" s="9" t="n">
        <v>0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customFormat="false" ht="15.75" hidden="false" customHeight="true" outlineLevel="0" collapsed="false">
      <c r="A49" s="47" t="s">
        <v>103</v>
      </c>
      <c r="B49" s="47" t="str">
        <f aca="false">TRIM(A49)</f>
        <v>سایه ملکی</v>
      </c>
      <c r="C49" s="47" t="n">
        <v>122</v>
      </c>
      <c r="D49" s="47" t="n">
        <v>22</v>
      </c>
      <c r="E49" s="9" t="n">
        <f aca="false">IFERROR(VLOOKUP(B49,'Operators performance'!B:K,9,0),"-")</f>
        <v>4</v>
      </c>
      <c r="F49" s="9" t="n">
        <v>0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customFormat="false" ht="15.75" hidden="false" customHeight="true" outlineLevel="0" collapsed="false">
      <c r="A50" s="47" t="s">
        <v>135</v>
      </c>
      <c r="B50" s="47" t="str">
        <f aca="false">TRIM(A50)</f>
        <v>فاطمه شریفی</v>
      </c>
      <c r="C50" s="47" t="n">
        <v>115</v>
      </c>
      <c r="D50" s="47" t="n">
        <v>22</v>
      </c>
      <c r="E50" s="9" t="n">
        <f aca="false">IFERROR(VLOOKUP(B50,'Operators performance'!B:K,9,0),"-")</f>
        <v>4</v>
      </c>
      <c r="F50" s="9" t="n">
        <v>0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customFormat="false" ht="15.75" hidden="false" customHeight="true" outlineLevel="0" collapsed="false">
      <c r="A51" s="47" t="s">
        <v>88</v>
      </c>
      <c r="B51" s="47" t="str">
        <f aca="false">TRIM(A51)</f>
        <v>مرکز صدور هاشم زاده | شیما هاشم زاده</v>
      </c>
      <c r="C51" s="47" t="n">
        <v>155</v>
      </c>
      <c r="D51" s="47" t="n">
        <v>22</v>
      </c>
      <c r="E51" s="9" t="n">
        <f aca="false">IFERROR(VLOOKUP(B51,'Operators performance'!B:K,9,0),"-")</f>
        <v>4</v>
      </c>
      <c r="F51" s="9" t="n">
        <v>0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customFormat="false" ht="15.75" hidden="false" customHeight="true" outlineLevel="0" collapsed="false">
      <c r="A52" s="47" t="s">
        <v>104</v>
      </c>
      <c r="B52" s="47" t="str">
        <f aca="false">TRIM(A52)</f>
        <v>سمیرا فتاحی</v>
      </c>
      <c r="C52" s="47" t="n">
        <v>141</v>
      </c>
      <c r="D52" s="47" t="n">
        <v>22</v>
      </c>
      <c r="E52" s="9" t="n">
        <f aca="false">IFERROR(VLOOKUP(B52,'Operators performance'!B:K,9,0),"-")</f>
        <v>4</v>
      </c>
      <c r="F52" s="9" t="n">
        <v>0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customFormat="false" ht="15.75" hidden="false" customHeight="true" outlineLevel="0" collapsed="false">
      <c r="A53" s="47" t="s">
        <v>72</v>
      </c>
      <c r="B53" s="47" t="str">
        <f aca="false">TRIM(A53)</f>
        <v>مرکز صدور رضوانی | رضا رضوانی</v>
      </c>
      <c r="C53" s="47" t="n">
        <v>211</v>
      </c>
      <c r="D53" s="47" t="n">
        <v>22</v>
      </c>
      <c r="E53" s="9" t="n">
        <f aca="false">IFERROR(VLOOKUP(B53,'Operators performance'!B:K,9,0),"-")</f>
        <v>4</v>
      </c>
      <c r="F53" s="9" t="n">
        <v>0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customFormat="false" ht="15.75" hidden="false" customHeight="true" outlineLevel="0" collapsed="false">
      <c r="A54" s="47" t="s">
        <v>187</v>
      </c>
      <c r="B54" s="47" t="str">
        <f aca="false">TRIM(A54)</f>
        <v>حنانه خیرالهی</v>
      </c>
      <c r="C54" s="47" t="n">
        <v>28</v>
      </c>
      <c r="D54" s="47" t="n">
        <v>22</v>
      </c>
      <c r="E54" s="9" t="n">
        <f aca="false">IFERROR(VLOOKUP(B54,'Operators performance'!B:K,9,0),"-")</f>
        <v>4</v>
      </c>
      <c r="F54" s="9" t="n">
        <v>0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customFormat="false" ht="15.75" hidden="false" customHeight="true" outlineLevel="0" collapsed="false">
      <c r="A55" s="47" t="s">
        <v>122</v>
      </c>
      <c r="B55" s="47" t="str">
        <f aca="false">TRIM(A55)</f>
        <v>هانیه همتی</v>
      </c>
      <c r="C55" s="47" t="n">
        <v>138</v>
      </c>
      <c r="D55" s="47" t="n">
        <v>23</v>
      </c>
      <c r="E55" s="9" t="n">
        <f aca="false">IFERROR(VLOOKUP(B55,'Operators performance'!B:K,9,0),"-")</f>
        <v>4</v>
      </c>
      <c r="F55" s="9" t="n">
        <v>0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customFormat="false" ht="15.75" hidden="false" customHeight="true" outlineLevel="0" collapsed="false">
      <c r="A56" s="47" t="s">
        <v>206</v>
      </c>
      <c r="B56" s="47" t="str">
        <f aca="false">TRIM(A56)</f>
        <v>مرکز صدور مجید رضوانی</v>
      </c>
      <c r="C56" s="47" t="n">
        <v>6</v>
      </c>
      <c r="D56" s="47" t="n">
        <v>23</v>
      </c>
      <c r="E56" s="9" t="n">
        <f aca="false">IFERROR(VLOOKUP(B56,'Operators performance'!B:K,9,0),"-")</f>
        <v>4</v>
      </c>
      <c r="F56" s="9" t="n">
        <v>0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customFormat="false" ht="15.75" hidden="false" customHeight="true" outlineLevel="0" collapsed="false">
      <c r="A57" s="47" t="s">
        <v>69</v>
      </c>
      <c r="B57" s="47" t="str">
        <f aca="false">TRIM(A57)</f>
        <v>فاطمه عبدی</v>
      </c>
      <c r="C57" s="47" t="n">
        <v>347</v>
      </c>
      <c r="D57" s="47" t="n">
        <v>23</v>
      </c>
      <c r="E57" s="9" t="n">
        <f aca="false">IFERROR(VLOOKUP(B57,'Operators performance'!B:K,9,0),"-")</f>
        <v>4</v>
      </c>
      <c r="F57" s="9" t="n">
        <v>0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customFormat="false" ht="15.75" hidden="false" customHeight="true" outlineLevel="0" collapsed="false">
      <c r="A58" s="47" t="s">
        <v>154</v>
      </c>
      <c r="B58" s="47" t="str">
        <f aca="false">TRIM(A58)</f>
        <v>دنیا سیسختی</v>
      </c>
      <c r="C58" s="47" t="n">
        <v>70</v>
      </c>
      <c r="D58" s="47" t="n">
        <v>23</v>
      </c>
      <c r="E58" s="9" t="n">
        <f aca="false">IFERROR(VLOOKUP(B58,'Operators performance'!B:K,9,0),"-")</f>
        <v>4</v>
      </c>
      <c r="F58" s="9" t="n">
        <v>0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customFormat="false" ht="15.75" hidden="false" customHeight="true" outlineLevel="0" collapsed="false">
      <c r="A59" s="47" t="s">
        <v>118</v>
      </c>
      <c r="B59" s="47" t="str">
        <f aca="false">TRIM(A59)</f>
        <v>مصطفی نوری</v>
      </c>
      <c r="C59" s="47" t="n">
        <v>149</v>
      </c>
      <c r="D59" s="47" t="n">
        <v>23</v>
      </c>
      <c r="E59" s="9" t="n">
        <f aca="false">IFERROR(VLOOKUP(B59,'Operators performance'!B:K,9,0),"-")</f>
        <v>4</v>
      </c>
      <c r="F59" s="9" t="n">
        <v>0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customFormat="false" ht="15.75" hidden="false" customHeight="true" outlineLevel="0" collapsed="false">
      <c r="A60" s="47" t="s">
        <v>178</v>
      </c>
      <c r="B60" s="47" t="str">
        <f aca="false">TRIM(A60)</f>
        <v>مرکز صدور رضوانی | امیرحسین صابر</v>
      </c>
      <c r="C60" s="47" t="n">
        <v>85</v>
      </c>
      <c r="D60" s="47" t="n">
        <v>23</v>
      </c>
      <c r="E60" s="9" t="n">
        <f aca="false">IFERROR(VLOOKUP(B60,'Operators performance'!B:K,9,0),"-")</f>
        <v>4</v>
      </c>
      <c r="F60" s="9" t="n">
        <v>0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customFormat="false" ht="15.75" hidden="false" customHeight="true" outlineLevel="0" collapsed="false">
      <c r="A61" s="47" t="s">
        <v>86</v>
      </c>
      <c r="B61" s="47" t="str">
        <f aca="false">TRIM(A61)</f>
        <v>ماهدخت حسنی</v>
      </c>
      <c r="C61" s="47" t="n">
        <v>160</v>
      </c>
      <c r="D61" s="47" t="n">
        <v>24</v>
      </c>
      <c r="E61" s="9" t="n">
        <f aca="false">IFERROR(VLOOKUP(B61,'Operators performance'!B:K,9,0),"-")</f>
        <v>4</v>
      </c>
      <c r="F61" s="9" t="n">
        <v>0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customFormat="false" ht="15.75" hidden="false" customHeight="true" outlineLevel="0" collapsed="false">
      <c r="A62" s="47" t="s">
        <v>165</v>
      </c>
      <c r="B62" s="47" t="str">
        <f aca="false">TRIM(A62)</f>
        <v>فاطمه نیکوبین</v>
      </c>
      <c r="C62" s="47" t="n">
        <v>81</v>
      </c>
      <c r="D62" s="47" t="n">
        <v>23</v>
      </c>
      <c r="E62" s="9" t="n">
        <f aca="false">IFERROR(VLOOKUP(B62,'Operators performance'!B:K,9,0),"-")</f>
        <v>4</v>
      </c>
      <c r="F62" s="9" t="n">
        <v>0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customFormat="false" ht="15.75" hidden="false" customHeight="true" outlineLevel="0" collapsed="false">
      <c r="A63" s="47" t="s">
        <v>111</v>
      </c>
      <c r="B63" s="47" t="str">
        <f aca="false">TRIM(A63)</f>
        <v>محمد افتخاری</v>
      </c>
      <c r="C63" s="47" t="n">
        <v>138</v>
      </c>
      <c r="D63" s="47" t="n">
        <v>23</v>
      </c>
      <c r="E63" s="9" t="n">
        <f aca="false">IFERROR(VLOOKUP(B63,'Operators performance'!B:K,9,0),"-")</f>
        <v>4</v>
      </c>
      <c r="F63" s="9" t="n">
        <v>0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customFormat="false" ht="15.75" hidden="false" customHeight="true" outlineLevel="0" collapsed="false">
      <c r="A64" s="47" t="s">
        <v>115</v>
      </c>
      <c r="B64" s="47" t="str">
        <f aca="false">TRIM(A64)</f>
        <v>مرکز صدور شاه محمدی | شیوا شجاعی</v>
      </c>
      <c r="C64" s="47" t="n">
        <v>123</v>
      </c>
      <c r="D64" s="47" t="n">
        <v>24</v>
      </c>
      <c r="E64" s="9" t="n">
        <f aca="false">IFERROR(VLOOKUP(B64,'Operators performance'!B:K,9,0),"-")</f>
        <v>4</v>
      </c>
      <c r="F64" s="9" t="n">
        <v>0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customFormat="false" ht="15.75" hidden="false" customHeight="true" outlineLevel="0" collapsed="false">
      <c r="A65" s="47" t="s">
        <v>193</v>
      </c>
      <c r="B65" s="47" t="str">
        <f aca="false">TRIM(A65)</f>
        <v>سعید براری</v>
      </c>
      <c r="C65" s="47" t="n">
        <v>51</v>
      </c>
      <c r="D65" s="47" t="n">
        <v>24</v>
      </c>
      <c r="E65" s="9" t="n">
        <f aca="false">IFERROR(VLOOKUP(B65,'Operators performance'!B:K,9,0),"-")</f>
        <v>4</v>
      </c>
      <c r="F65" s="9" t="n">
        <v>0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customFormat="false" ht="15.75" hidden="false" customHeight="true" outlineLevel="0" collapsed="false">
      <c r="A66" s="47" t="s">
        <v>100</v>
      </c>
      <c r="B66" s="47" t="str">
        <f aca="false">TRIM(A66)</f>
        <v>حسین حقیقت</v>
      </c>
      <c r="C66" s="47" t="n">
        <v>125</v>
      </c>
      <c r="D66" s="47" t="n">
        <v>24</v>
      </c>
      <c r="E66" s="9" t="n">
        <f aca="false">IFERROR(VLOOKUP(B66,'Operators performance'!B:K,9,0),"-")</f>
        <v>4</v>
      </c>
      <c r="F66" s="9" t="n">
        <v>0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customFormat="false" ht="15.75" hidden="false" customHeight="true" outlineLevel="0" collapsed="false">
      <c r="A67" s="47" t="s">
        <v>63</v>
      </c>
      <c r="B67" s="47" t="str">
        <f aca="false">TRIM(A67)</f>
        <v>رامینا برنجیان</v>
      </c>
      <c r="C67" s="47" t="n">
        <v>305</v>
      </c>
      <c r="D67" s="47" t="n">
        <v>24</v>
      </c>
      <c r="E67" s="9" t="n">
        <f aca="false">IFERROR(VLOOKUP(B67,'Operators performance'!B:K,9,0),"-")</f>
        <v>4</v>
      </c>
      <c r="F67" s="9" t="n">
        <v>0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customFormat="false" ht="15.75" hidden="false" customHeight="true" outlineLevel="0" collapsed="false">
      <c r="A68" s="47" t="s">
        <v>138</v>
      </c>
      <c r="B68" s="47" t="str">
        <f aca="false">TRIM(A68)</f>
        <v>محمدامین شصتی</v>
      </c>
      <c r="C68" s="47" t="n">
        <v>117</v>
      </c>
      <c r="D68" s="47" t="n">
        <v>24</v>
      </c>
      <c r="E68" s="9" t="n">
        <f aca="false">IFERROR(VLOOKUP(B68,'Operators performance'!B:K,9,0),"-")</f>
        <v>4</v>
      </c>
      <c r="F68" s="9" t="n">
        <v>0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customFormat="false" ht="15.75" hidden="false" customHeight="true" outlineLevel="0" collapsed="false">
      <c r="A69" s="47" t="s">
        <v>66</v>
      </c>
      <c r="B69" s="47" t="str">
        <f aca="false">TRIM(A69)</f>
        <v>زهرا عبدی</v>
      </c>
      <c r="C69" s="47" t="n">
        <v>247</v>
      </c>
      <c r="D69" s="47" t="n">
        <v>24</v>
      </c>
      <c r="E69" s="9" t="n">
        <f aca="false">IFERROR(VLOOKUP(B69,'Operators performance'!B:K,9,0),"-")</f>
        <v>4</v>
      </c>
      <c r="F69" s="9" t="n">
        <v>0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customFormat="false" ht="15.75" hidden="false" customHeight="true" outlineLevel="0" collapsed="false">
      <c r="A70" s="47" t="s">
        <v>78</v>
      </c>
      <c r="B70" s="47" t="str">
        <f aca="false">TRIM(A70)</f>
        <v>زهرا قربانی</v>
      </c>
      <c r="C70" s="47" t="n">
        <v>164</v>
      </c>
      <c r="D70" s="47" t="n">
        <v>24</v>
      </c>
      <c r="E70" s="9" t="n">
        <f aca="false">IFERROR(VLOOKUP(B70,'Operators performance'!B:K,9,0),"-")</f>
        <v>4</v>
      </c>
      <c r="F70" s="9" t="n">
        <v>0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customFormat="false" ht="15.75" hidden="false" customHeight="true" outlineLevel="0" collapsed="false">
      <c r="A71" s="47" t="s">
        <v>179</v>
      </c>
      <c r="B71" s="47" t="str">
        <f aca="false">TRIM(A71)</f>
        <v>آروین کیخسروی</v>
      </c>
      <c r="C71" s="47" t="n">
        <v>54</v>
      </c>
      <c r="D71" s="47" t="n">
        <v>25</v>
      </c>
      <c r="E71" s="9" t="n">
        <f aca="false">IFERROR(VLOOKUP(B71,'Operators performance'!B:K,9,0),"-")</f>
        <v>4</v>
      </c>
      <c r="F71" s="9" t="n">
        <v>0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customFormat="false" ht="15.75" hidden="false" customHeight="true" outlineLevel="0" collapsed="false">
      <c r="A72" s="47" t="s">
        <v>68</v>
      </c>
      <c r="B72" s="47" t="str">
        <f aca="false">TRIM(A72)</f>
        <v>صادق عبدی</v>
      </c>
      <c r="C72" s="47" t="n">
        <v>208</v>
      </c>
      <c r="D72" s="47" t="n">
        <v>24</v>
      </c>
      <c r="E72" s="9" t="n">
        <f aca="false">IFERROR(VLOOKUP(B72,'Operators performance'!B:K,9,0),"-")</f>
        <v>4</v>
      </c>
      <c r="F72" s="9" t="n">
        <v>0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customFormat="false" ht="15.75" hidden="false" customHeight="true" outlineLevel="0" collapsed="false">
      <c r="A73" s="47" t="s">
        <v>67</v>
      </c>
      <c r="B73" s="47" t="str">
        <f aca="false">TRIM(A73)</f>
        <v>سولماز اسدپور</v>
      </c>
      <c r="C73" s="47" t="n">
        <v>244</v>
      </c>
      <c r="D73" s="47" t="n">
        <v>25</v>
      </c>
      <c r="E73" s="9" t="n">
        <f aca="false">IFERROR(VLOOKUP(B73,'Operators performance'!B:K,9,0),"-")</f>
        <v>4</v>
      </c>
      <c r="F73" s="9" t="n">
        <v>0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customFormat="false" ht="15.75" hidden="false" customHeight="true" outlineLevel="0" collapsed="false">
      <c r="A74" s="47" t="s">
        <v>129</v>
      </c>
      <c r="B74" s="47" t="str">
        <f aca="false">TRIM(A74)</f>
        <v>ریحانه کمالی</v>
      </c>
      <c r="C74" s="47" t="n">
        <v>97</v>
      </c>
      <c r="D74" s="47" t="n">
        <v>25</v>
      </c>
      <c r="E74" s="9" t="n">
        <f aca="false">IFERROR(VLOOKUP(B74,'Operators performance'!B:K,9,0),"-")</f>
        <v>4</v>
      </c>
      <c r="F74" s="9" t="n">
        <v>0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customFormat="false" ht="15.75" hidden="false" customHeight="true" outlineLevel="0" collapsed="false">
      <c r="A75" s="47" t="s">
        <v>183</v>
      </c>
      <c r="B75" s="47" t="str">
        <f aca="false">TRIM(A75)</f>
        <v>امیر قربانی</v>
      </c>
      <c r="C75" s="47" t="n">
        <v>59</v>
      </c>
      <c r="D75" s="47" t="n">
        <v>24</v>
      </c>
      <c r="E75" s="9" t="n">
        <f aca="false">IFERROR(VLOOKUP(B75,'Operators performance'!B:K,9,0),"-")</f>
        <v>4</v>
      </c>
      <c r="F75" s="9" t="n">
        <v>0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customFormat="false" ht="15.75" hidden="false" customHeight="true" outlineLevel="0" collapsed="false">
      <c r="A76" s="47" t="s">
        <v>127</v>
      </c>
      <c r="B76" s="47" t="str">
        <f aca="false">TRIM(A76)</f>
        <v>حسن خادمی</v>
      </c>
      <c r="C76" s="47" t="n">
        <v>118</v>
      </c>
      <c r="D76" s="47" t="n">
        <v>25</v>
      </c>
      <c r="E76" s="9" t="n">
        <f aca="false">IFERROR(VLOOKUP(B76,'Operators performance'!B:K,9,0),"-")</f>
        <v>4</v>
      </c>
      <c r="F76" s="9" t="n">
        <v>0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customFormat="false" ht="15.75" hidden="false" customHeight="true" outlineLevel="0" collapsed="false">
      <c r="A77" s="47" t="s">
        <v>163</v>
      </c>
      <c r="B77" s="47" t="str">
        <f aca="false">TRIM(A77)</f>
        <v>فاطمه قاسمی</v>
      </c>
      <c r="C77" s="47" t="n">
        <v>78</v>
      </c>
      <c r="D77" s="47" t="n">
        <v>25</v>
      </c>
      <c r="E77" s="9" t="n">
        <f aca="false">IFERROR(VLOOKUP(B77,'Operators performance'!B:K,9,0),"-")</f>
        <v>4</v>
      </c>
      <c r="F77" s="9" t="n">
        <v>0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customFormat="false" ht="15.75" hidden="false" customHeight="true" outlineLevel="0" collapsed="false">
      <c r="A78" s="47" t="s">
        <v>167</v>
      </c>
      <c r="B78" s="47" t="str">
        <f aca="false">TRIM(A78)</f>
        <v>مرکز صدور رسول اسماعیل پوراقدم</v>
      </c>
      <c r="C78" s="47" t="n">
        <v>84</v>
      </c>
      <c r="D78" s="47" t="n">
        <v>25</v>
      </c>
      <c r="E78" s="9" t="n">
        <f aca="false">IFERROR(VLOOKUP(B78,'Operators performance'!B:K,9,0),"-")</f>
        <v>4</v>
      </c>
      <c r="F78" s="9" t="n">
        <v>0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customFormat="false" ht="15.75" hidden="false" customHeight="true" outlineLevel="0" collapsed="false">
      <c r="A79" s="47" t="s">
        <v>144</v>
      </c>
      <c r="B79" s="47" t="str">
        <f aca="false">TRIM(A79)</f>
        <v>مهدیه آزادی</v>
      </c>
      <c r="C79" s="47" t="n">
        <v>93</v>
      </c>
      <c r="D79" s="47" t="n">
        <v>25</v>
      </c>
      <c r="E79" s="9" t="n">
        <f aca="false">IFERROR(VLOOKUP(B79,'Operators performance'!B:K,9,0),"-")</f>
        <v>4</v>
      </c>
      <c r="F79" s="9" t="n">
        <v>0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customFormat="false" ht="15.75" hidden="false" customHeight="true" outlineLevel="0" collapsed="false">
      <c r="A80" s="47" t="s">
        <v>82</v>
      </c>
      <c r="B80" s="47" t="str">
        <f aca="false">TRIM(A80)</f>
        <v>فاطمه الهیاری</v>
      </c>
      <c r="C80" s="47" t="n">
        <v>173</v>
      </c>
      <c r="D80" s="47" t="n">
        <v>25</v>
      </c>
      <c r="E80" s="9" t="n">
        <f aca="false">IFERROR(VLOOKUP(B80,'Operators performance'!B:K,9,0),"-")</f>
        <v>4</v>
      </c>
      <c r="F80" s="9" t="n">
        <v>0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customFormat="false" ht="15.75" hidden="false" customHeight="true" outlineLevel="0" collapsed="false">
      <c r="A81" s="47" t="s">
        <v>119</v>
      </c>
      <c r="B81" s="47" t="str">
        <f aca="false">TRIM(A81)</f>
        <v>معصومه صمدی</v>
      </c>
      <c r="C81" s="47" t="n">
        <v>147</v>
      </c>
      <c r="D81" s="47" t="n">
        <v>25</v>
      </c>
      <c r="E81" s="9" t="n">
        <f aca="false">IFERROR(VLOOKUP(B81,'Operators performance'!B:K,9,0),"-")</f>
        <v>4</v>
      </c>
      <c r="F81" s="9" t="n">
        <v>0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customFormat="false" ht="15.75" hidden="false" customHeight="true" outlineLevel="0" collapsed="false">
      <c r="A82" s="47" t="s">
        <v>184</v>
      </c>
      <c r="B82" s="47" t="str">
        <f aca="false">TRIM(A82)</f>
        <v>امیرحسین کاروند</v>
      </c>
      <c r="C82" s="47" t="n">
        <v>46</v>
      </c>
      <c r="D82" s="47" t="n">
        <v>25</v>
      </c>
      <c r="E82" s="9" t="n">
        <f aca="false">IFERROR(VLOOKUP(B82,'Operators performance'!B:K,9,0),"-")</f>
        <v>4</v>
      </c>
      <c r="F82" s="9" t="n">
        <v>0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customFormat="false" ht="15.75" hidden="false" customHeight="true" outlineLevel="0" collapsed="false">
      <c r="A83" s="47" t="s">
        <v>121</v>
      </c>
      <c r="B83" s="47" t="str">
        <f aca="false">TRIM(A83)</f>
        <v>مهسا سحری</v>
      </c>
      <c r="C83" s="47" t="n">
        <v>134</v>
      </c>
      <c r="D83" s="47" t="n">
        <v>26</v>
      </c>
      <c r="E83" s="9" t="n">
        <f aca="false">IFERROR(VLOOKUP(B83,'Operators performance'!B:K,9,0),"-")</f>
        <v>4</v>
      </c>
      <c r="F83" s="9" t="n">
        <v>0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customFormat="false" ht="15.75" hidden="false" customHeight="true" outlineLevel="0" collapsed="false">
      <c r="A84" s="47" t="s">
        <v>196</v>
      </c>
      <c r="B84" s="47" t="str">
        <f aca="false">TRIM(A84)</f>
        <v>شاهین صباحی</v>
      </c>
      <c r="C84" s="47" t="n">
        <v>54</v>
      </c>
      <c r="D84" s="47" t="n">
        <v>26</v>
      </c>
      <c r="E84" s="9" t="n">
        <f aca="false">IFERROR(VLOOKUP(B84,'Operators performance'!B:K,9,0),"-")</f>
        <v>4</v>
      </c>
      <c r="F84" s="9" t="n">
        <v>0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customFormat="false" ht="15.75" hidden="false" customHeight="true" outlineLevel="0" collapsed="false">
      <c r="A85" s="47" t="s">
        <v>107</v>
      </c>
      <c r="B85" s="47" t="str">
        <f aca="false">TRIM(A85)</f>
        <v>فاطمه اقلیمی</v>
      </c>
      <c r="C85" s="47" t="n">
        <v>143</v>
      </c>
      <c r="D85" s="47" t="n">
        <v>26</v>
      </c>
      <c r="E85" s="9" t="n">
        <f aca="false">IFERROR(VLOOKUP(B85,'Operators performance'!B:K,9,0),"-")</f>
        <v>4</v>
      </c>
      <c r="F85" s="9" t="n">
        <v>0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customFormat="false" ht="15.75" hidden="false" customHeight="true" outlineLevel="0" collapsed="false">
      <c r="A86" s="47" t="s">
        <v>139</v>
      </c>
      <c r="B86" s="47" t="str">
        <f aca="false">TRIM(A86)</f>
        <v>مرکز صدور اسکندری | نرگس حسنی</v>
      </c>
      <c r="C86" s="47" t="n">
        <v>119</v>
      </c>
      <c r="D86" s="47" t="n">
        <v>26</v>
      </c>
      <c r="E86" s="9" t="n">
        <f aca="false">IFERROR(VLOOKUP(B86,'Operators performance'!B:K,9,0),"-")</f>
        <v>4</v>
      </c>
      <c r="F86" s="9" t="n">
        <v>0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customFormat="false" ht="15.75" hidden="false" customHeight="true" outlineLevel="0" collapsed="false">
      <c r="A87" s="47" t="s">
        <v>229</v>
      </c>
      <c r="B87" s="47" t="str">
        <f aca="false">TRIM(A87)</f>
        <v>صبا اکبری</v>
      </c>
      <c r="C87" s="47" t="n">
        <v>59</v>
      </c>
      <c r="D87" s="47" t="n">
        <v>27</v>
      </c>
      <c r="E87" s="9" t="n">
        <f aca="false">IFERROR(VLOOKUP(B87,'Operators performance'!B:K,9,0),"-")</f>
        <v>3</v>
      </c>
      <c r="F87" s="9" t="n">
        <v>0</v>
      </c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customFormat="false" ht="15.75" hidden="false" customHeight="true" outlineLevel="0" collapsed="false">
      <c r="A88" s="47" t="s">
        <v>147</v>
      </c>
      <c r="B88" s="47" t="str">
        <f aca="false">TRIM(A88)</f>
        <v>ابوالفضل بختیاری</v>
      </c>
      <c r="C88" s="47" t="n">
        <v>103</v>
      </c>
      <c r="D88" s="47" t="n">
        <v>27</v>
      </c>
      <c r="E88" s="9" t="n">
        <f aca="false">IFERROR(VLOOKUP(B88,'Operators performance'!B:K,9,0),"-")</f>
        <v>3</v>
      </c>
      <c r="F88" s="9" t="n">
        <v>0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customFormat="false" ht="15.75" hidden="false" customHeight="true" outlineLevel="0" collapsed="false">
      <c r="A89" s="47" t="s">
        <v>200</v>
      </c>
      <c r="B89" s="47" t="str">
        <f aca="false">TRIM(A89)</f>
        <v>فرناز اشجع</v>
      </c>
      <c r="C89" s="47" t="n">
        <v>81</v>
      </c>
      <c r="D89" s="47" t="n">
        <v>27</v>
      </c>
      <c r="E89" s="9" t="n">
        <f aca="false">IFERROR(VLOOKUP(B89,'Operators performance'!B:K,9,0),"-")</f>
        <v>3</v>
      </c>
      <c r="F89" s="9" t="n">
        <v>0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customFormat="false" ht="15.75" hidden="false" customHeight="true" outlineLevel="0" collapsed="false">
      <c r="A90" s="47" t="s">
        <v>62</v>
      </c>
      <c r="B90" s="47" t="str">
        <f aca="false">TRIM(A90)</f>
        <v>چنور قاسمی</v>
      </c>
      <c r="C90" s="47" t="n">
        <v>205</v>
      </c>
      <c r="D90" s="47" t="n">
        <v>26</v>
      </c>
      <c r="E90" s="9" t="n">
        <f aca="false">IFERROR(VLOOKUP(B90,'Operators performance'!B:K,9,0),"-")</f>
        <v>4</v>
      </c>
      <c r="F90" s="9" t="n">
        <v>0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customFormat="false" ht="15.75" hidden="false" customHeight="true" outlineLevel="0" collapsed="false">
      <c r="A91" s="47" t="s">
        <v>146</v>
      </c>
      <c r="B91" s="47" t="str">
        <f aca="false">TRIM(A91)</f>
        <v>آزیتا عبدی</v>
      </c>
      <c r="C91" s="47" t="n">
        <v>84</v>
      </c>
      <c r="D91" s="47" t="n">
        <v>26</v>
      </c>
      <c r="E91" s="9" t="n">
        <f aca="false">IFERROR(VLOOKUP(B91,'Operators performance'!B:K,9,0),"-")</f>
        <v>4</v>
      </c>
      <c r="F91" s="9" t="n">
        <v>0</v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customFormat="false" ht="15.75" hidden="false" customHeight="true" outlineLevel="0" collapsed="false">
      <c r="A92" s="47" t="s">
        <v>125</v>
      </c>
      <c r="B92" s="47" t="str">
        <f aca="false">TRIM(A92)</f>
        <v>آمنه رنجبری</v>
      </c>
      <c r="C92" s="47" t="n">
        <v>92</v>
      </c>
      <c r="D92" s="47" t="n">
        <v>26</v>
      </c>
      <c r="E92" s="9" t="n">
        <f aca="false">IFERROR(VLOOKUP(B92,'Operators performance'!B:K,9,0),"-")</f>
        <v>4</v>
      </c>
      <c r="F92" s="9" t="n">
        <v>0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customFormat="false" ht="15.75" hidden="false" customHeight="true" outlineLevel="0" collapsed="false">
      <c r="A93" s="47" t="s">
        <v>114</v>
      </c>
      <c r="B93" s="47" t="str">
        <f aca="false">TRIM(A93)</f>
        <v>مرکز صدور خلیلی | حمید خلیلی</v>
      </c>
      <c r="C93" s="47" t="n">
        <v>149</v>
      </c>
      <c r="D93" s="47" t="n">
        <v>26</v>
      </c>
      <c r="E93" s="9" t="n">
        <f aca="false">IFERROR(VLOOKUP(B93,'Operators performance'!B:K,9,0),"-")</f>
        <v>4</v>
      </c>
      <c r="F93" s="9" t="n">
        <v>0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customFormat="false" ht="15.75" hidden="false" customHeight="true" outlineLevel="0" collapsed="false">
      <c r="A94" s="47" t="s">
        <v>65</v>
      </c>
      <c r="B94" s="47" t="str">
        <f aca="false">TRIM(A94)</f>
        <v>زهرا براتیان</v>
      </c>
      <c r="C94" s="47" t="n">
        <v>250</v>
      </c>
      <c r="D94" s="47" t="n">
        <v>26</v>
      </c>
      <c r="E94" s="9" t="n">
        <f aca="false">IFERROR(VLOOKUP(B94,'Operators performance'!B:K,9,0),"-")</f>
        <v>4</v>
      </c>
      <c r="F94" s="9" t="n">
        <v>0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customFormat="false" ht="15.75" hidden="false" customHeight="true" outlineLevel="0" collapsed="false">
      <c r="A95" s="47" t="s">
        <v>148</v>
      </c>
      <c r="B95" s="47" t="str">
        <f aca="false">TRIM(A95)</f>
        <v>احسان بشیرزاده هنگامی</v>
      </c>
      <c r="C95" s="47" t="n">
        <v>86</v>
      </c>
      <c r="D95" s="47" t="n">
        <v>26</v>
      </c>
      <c r="E95" s="9" t="n">
        <f aca="false">IFERROR(VLOOKUP(B95,'Operators performance'!B:K,9,0),"-")</f>
        <v>4</v>
      </c>
      <c r="F95" s="9" t="n">
        <v>0</v>
      </c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customFormat="false" ht="15.75" hidden="false" customHeight="true" outlineLevel="0" collapsed="false">
      <c r="A96" s="47" t="s">
        <v>157</v>
      </c>
      <c r="B96" s="47" t="str">
        <f aca="false">TRIM(A96)</f>
        <v>زهره شمس</v>
      </c>
      <c r="C96" s="47" t="n">
        <v>67</v>
      </c>
      <c r="D96" s="47" t="n">
        <v>26</v>
      </c>
      <c r="E96" s="9" t="n">
        <f aca="false">IFERROR(VLOOKUP(B96,'Operators performance'!B:K,9,0),"-")</f>
        <v>4</v>
      </c>
      <c r="F96" s="9" t="n">
        <v>0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customFormat="false" ht="15.75" hidden="false" customHeight="true" outlineLevel="0" collapsed="false">
      <c r="A97" s="47" t="s">
        <v>112</v>
      </c>
      <c r="B97" s="47" t="str">
        <f aca="false">TRIM(A97)</f>
        <v>محمدمهدی پارسا</v>
      </c>
      <c r="C97" s="47" t="n">
        <v>151</v>
      </c>
      <c r="D97" s="47" t="n">
        <v>27</v>
      </c>
      <c r="E97" s="9" t="n">
        <f aca="false">IFERROR(VLOOKUP(B97,'Operators performance'!B:K,9,0),"-")</f>
        <v>3</v>
      </c>
      <c r="F97" s="9" t="n">
        <v>0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customFormat="false" ht="15.75" hidden="false" customHeight="true" outlineLevel="0" collapsed="false">
      <c r="A98" s="47" t="s">
        <v>85</v>
      </c>
      <c r="B98" s="47" t="str">
        <f aca="false">TRIM(A98)</f>
        <v>لیلا داوطلب</v>
      </c>
      <c r="C98" s="47" t="n">
        <v>320</v>
      </c>
      <c r="D98" s="47" t="n">
        <v>27</v>
      </c>
      <c r="E98" s="9" t="n">
        <f aca="false">IFERROR(VLOOKUP(B98,'Operators performance'!B:K,9,0),"-")</f>
        <v>3</v>
      </c>
      <c r="F98" s="9" t="n">
        <v>0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customFormat="false" ht="15.75" hidden="false" customHeight="true" outlineLevel="0" collapsed="false">
      <c r="A99" s="47" t="s">
        <v>106</v>
      </c>
      <c r="B99" s="47" t="str">
        <f aca="false">TRIM(A99)</f>
        <v>علی جمالی</v>
      </c>
      <c r="C99" s="47" t="n">
        <v>164</v>
      </c>
      <c r="D99" s="47" t="n">
        <v>27</v>
      </c>
      <c r="E99" s="9" t="n">
        <f aca="false">IFERROR(VLOOKUP(B99,'Operators performance'!B:K,9,0),"-")</f>
        <v>3</v>
      </c>
      <c r="F99" s="9" t="n">
        <v>0</v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customFormat="false" ht="15.75" hidden="false" customHeight="true" outlineLevel="0" collapsed="false">
      <c r="A100" s="47" t="s">
        <v>153</v>
      </c>
      <c r="B100" s="47" t="str">
        <f aca="false">TRIM(A100)</f>
        <v>حنانه حنانی</v>
      </c>
      <c r="C100" s="47" t="n">
        <v>96</v>
      </c>
      <c r="D100" s="47" t="n">
        <v>27</v>
      </c>
      <c r="E100" s="9" t="n">
        <f aca="false">IFERROR(VLOOKUP(B100,'Operators performance'!B:K,9,0),"-")</f>
        <v>3</v>
      </c>
      <c r="F100" s="9" t="n">
        <v>0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customFormat="false" ht="15.75" hidden="false" customHeight="true" outlineLevel="0" collapsed="false">
      <c r="A101" s="47" t="s">
        <v>238</v>
      </c>
      <c r="B101" s="47" t="str">
        <f aca="false">TRIM(A101)</f>
        <v>مرکز صدور رضوانی | محدثه رضوانی</v>
      </c>
      <c r="C101" s="47" t="n">
        <v>48</v>
      </c>
      <c r="D101" s="47" t="n">
        <v>27</v>
      </c>
      <c r="E101" s="9" t="n">
        <f aca="false">IFERROR(VLOOKUP(B101,'Operators performance'!B:K,9,0),"-")</f>
        <v>3</v>
      </c>
      <c r="F101" s="9" t="n">
        <v>0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customFormat="false" ht="15.75" hidden="false" customHeight="true" outlineLevel="0" collapsed="false">
      <c r="A102" s="47" t="s">
        <v>195</v>
      </c>
      <c r="B102" s="47" t="str">
        <f aca="false">TRIM(A102)</f>
        <v>سید امیررضا فیض آبادی</v>
      </c>
      <c r="C102" s="47" t="n">
        <v>63</v>
      </c>
      <c r="D102" s="47" t="n">
        <v>27</v>
      </c>
      <c r="E102" s="9" t="n">
        <f aca="false">IFERROR(VLOOKUP(B102,'Operators performance'!B:K,9,0),"-")</f>
        <v>3</v>
      </c>
      <c r="F102" s="9" t="n">
        <v>0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customFormat="false" ht="15.75" hidden="false" customHeight="true" outlineLevel="0" collapsed="false">
      <c r="A103" s="47" t="s">
        <v>174</v>
      </c>
      <c r="B103" s="47" t="str">
        <f aca="false">TRIM(A103)</f>
        <v>نرگس خزلی</v>
      </c>
      <c r="C103" s="47" t="n">
        <v>102</v>
      </c>
      <c r="D103" s="47" t="n">
        <v>27</v>
      </c>
      <c r="E103" s="9" t="n">
        <f aca="false">IFERROR(VLOOKUP(B103,'Operators performance'!B:K,9,0),"-")</f>
        <v>3</v>
      </c>
      <c r="F103" s="9" t="n">
        <v>0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customFormat="false" ht="15.75" hidden="false" customHeight="true" outlineLevel="0" collapsed="false">
      <c r="A104" s="47" t="s">
        <v>130</v>
      </c>
      <c r="B104" s="47" t="str">
        <f aca="false">TRIM(A104)</f>
        <v>زهرا اسماعیلی</v>
      </c>
      <c r="C104" s="47" t="n">
        <v>137</v>
      </c>
      <c r="D104" s="47" t="n">
        <v>27</v>
      </c>
      <c r="E104" s="9" t="n">
        <f aca="false">IFERROR(VLOOKUP(B104,'Operators performance'!B:K,9,0),"-")</f>
        <v>3</v>
      </c>
      <c r="F104" s="9" t="n">
        <v>0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customFormat="false" ht="15.75" hidden="false" customHeight="true" outlineLevel="0" collapsed="false">
      <c r="A105" s="47" t="s">
        <v>133</v>
      </c>
      <c r="B105" s="47" t="str">
        <f aca="false">TRIM(A105)</f>
        <v>زیبا زارعی</v>
      </c>
      <c r="C105" s="47" t="n">
        <v>138</v>
      </c>
      <c r="D105" s="47" t="n">
        <v>28</v>
      </c>
      <c r="E105" s="9" t="n">
        <f aca="false">IFERROR(VLOOKUP(B105,'Operators performance'!B:K,9,0),"-")</f>
        <v>3</v>
      </c>
      <c r="F105" s="9" t="n">
        <v>0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customFormat="false" ht="15.75" hidden="false" customHeight="true" outlineLevel="0" collapsed="false">
      <c r="A106" s="47" t="s">
        <v>227</v>
      </c>
      <c r="B106" s="47" t="str">
        <f aca="false">TRIM(A106)</f>
        <v>ستایش ارفع نیا</v>
      </c>
      <c r="C106" s="47" t="n">
        <v>45</v>
      </c>
      <c r="D106" s="47" t="n">
        <v>28</v>
      </c>
      <c r="E106" s="9" t="n">
        <f aca="false">IFERROR(VLOOKUP(B106,'Operators performance'!B:K,9,0),"-")</f>
        <v>3</v>
      </c>
      <c r="F106" s="9" t="n">
        <v>0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customFormat="false" ht="15.75" hidden="false" customHeight="true" outlineLevel="0" collapsed="false">
      <c r="A107" s="47" t="s">
        <v>176</v>
      </c>
      <c r="B107" s="47" t="str">
        <f aca="false">TRIM(A107)</f>
        <v>همایون فرحدل</v>
      </c>
      <c r="C107" s="47" t="n">
        <v>98</v>
      </c>
      <c r="D107" s="47" t="n">
        <v>28</v>
      </c>
      <c r="E107" s="9" t="n">
        <f aca="false">IFERROR(VLOOKUP(B107,'Operators performance'!B:K,9,0),"-")</f>
        <v>3</v>
      </c>
      <c r="F107" s="9" t="n">
        <v>0</v>
      </c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customFormat="false" ht="15.75" hidden="false" customHeight="true" outlineLevel="0" collapsed="false">
      <c r="A108" s="47" t="s">
        <v>234</v>
      </c>
      <c r="B108" s="47" t="str">
        <f aca="false">TRIM(A108)</f>
        <v>لیلا حسن نیا</v>
      </c>
      <c r="C108" s="47" t="n">
        <v>57</v>
      </c>
      <c r="D108" s="47" t="n">
        <v>28</v>
      </c>
      <c r="E108" s="9" t="n">
        <f aca="false">IFERROR(VLOOKUP(B108,'Operators performance'!B:K,9,0),"-")</f>
        <v>3</v>
      </c>
      <c r="F108" s="9" t="n">
        <v>0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customFormat="false" ht="15.75" hidden="false" customHeight="true" outlineLevel="0" collapsed="false">
      <c r="A109" s="47" t="s">
        <v>182</v>
      </c>
      <c r="B109" s="47" t="str">
        <f aca="false">TRIM(A109)</f>
        <v>امیر حسین گل محمدی</v>
      </c>
      <c r="C109" s="47" t="n">
        <v>77</v>
      </c>
      <c r="D109" s="47" t="n">
        <v>27</v>
      </c>
      <c r="E109" s="9" t="n">
        <f aca="false">IFERROR(VLOOKUP(B109,'Operators performance'!B:K,9,0),"-")</f>
        <v>3</v>
      </c>
      <c r="F109" s="9" t="n">
        <v>0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customFormat="false" ht="15.75" hidden="false" customHeight="true" outlineLevel="0" collapsed="false">
      <c r="A110" s="47" t="s">
        <v>91</v>
      </c>
      <c r="B110" s="47" t="str">
        <f aca="false">TRIM(A110)</f>
        <v>نسرین بابالو</v>
      </c>
      <c r="C110" s="47" t="n">
        <v>191</v>
      </c>
      <c r="D110" s="47" t="n">
        <v>27</v>
      </c>
      <c r="E110" s="9" t="n">
        <f aca="false">IFERROR(VLOOKUP(B110,'Operators performance'!B:K,9,0),"-")</f>
        <v>3</v>
      </c>
      <c r="F110" s="9" t="n">
        <v>0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customFormat="false" ht="15.75" hidden="false" customHeight="true" outlineLevel="0" collapsed="false">
      <c r="A111" s="47" t="s">
        <v>204</v>
      </c>
      <c r="B111" s="47" t="str">
        <f aca="false">TRIM(A111)</f>
        <v>مجتبی رفیع زاده بنادک</v>
      </c>
      <c r="C111" s="47" t="n">
        <v>65</v>
      </c>
      <c r="D111" s="47" t="n">
        <v>28</v>
      </c>
      <c r="E111" s="9" t="n">
        <f aca="false">IFERROR(VLOOKUP(B111,'Operators performance'!B:K,9,0),"-")</f>
        <v>3</v>
      </c>
      <c r="F111" s="9" t="n">
        <v>0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customFormat="false" ht="15.75" hidden="false" customHeight="true" outlineLevel="0" collapsed="false">
      <c r="A112" s="47" t="s">
        <v>205</v>
      </c>
      <c r="B112" s="47" t="str">
        <f aca="false">TRIM(A112)</f>
        <v>مرکز صدور کاظمی | فائزه ابراهیمی</v>
      </c>
      <c r="C112" s="47" t="n">
        <v>65</v>
      </c>
      <c r="D112" s="47" t="n">
        <v>28</v>
      </c>
      <c r="E112" s="9" t="n">
        <f aca="false">IFERROR(VLOOKUP(B112,'Operators performance'!B:K,9,0),"-")</f>
        <v>3</v>
      </c>
      <c r="F112" s="9" t="n">
        <v>0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customFormat="false" ht="15.75" hidden="false" customHeight="true" outlineLevel="0" collapsed="false">
      <c r="A113" s="47" t="s">
        <v>201</v>
      </c>
      <c r="B113" s="47" t="str">
        <f aca="false">TRIM(A113)</f>
        <v>لیلی خالقی</v>
      </c>
      <c r="C113" s="47" t="n">
        <v>81</v>
      </c>
      <c r="D113" s="47" t="n">
        <v>28</v>
      </c>
      <c r="E113" s="9" t="n">
        <f aca="false">IFERROR(VLOOKUP(B113,'Operators performance'!B:K,9,0),"-")</f>
        <v>3</v>
      </c>
      <c r="F113" s="9" t="n">
        <v>0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customFormat="false" ht="15.75" hidden="false" customHeight="true" outlineLevel="0" collapsed="false">
      <c r="A114" s="47" t="s">
        <v>87</v>
      </c>
      <c r="B114" s="47" t="str">
        <f aca="false">TRIM(A114)</f>
        <v>مرکز صدور کاظمی | فاطمه عسگری</v>
      </c>
      <c r="C114" s="47" t="n">
        <v>195</v>
      </c>
      <c r="D114" s="47" t="n">
        <v>28</v>
      </c>
      <c r="E114" s="9" t="n">
        <f aca="false">IFERROR(VLOOKUP(B114,'Operators performance'!B:K,9,0),"-")</f>
        <v>3</v>
      </c>
      <c r="F114" s="9" t="n">
        <v>0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customFormat="false" ht="15.75" hidden="false" customHeight="true" outlineLevel="0" collapsed="false">
      <c r="A115" s="47" t="s">
        <v>76</v>
      </c>
      <c r="B115" s="47" t="str">
        <f aca="false">TRIM(A115)</f>
        <v>آرزو عسگری</v>
      </c>
      <c r="C115" s="47" t="n">
        <v>216</v>
      </c>
      <c r="D115" s="47" t="n">
        <v>28</v>
      </c>
      <c r="E115" s="9" t="n">
        <f aca="false">IFERROR(VLOOKUP(B115,'Operators performance'!B:K,9,0),"-")</f>
        <v>3</v>
      </c>
      <c r="F115" s="9" t="n">
        <v>0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customFormat="false" ht="15.75" hidden="false" customHeight="true" outlineLevel="0" collapsed="false">
      <c r="A116" s="47" t="s">
        <v>197</v>
      </c>
      <c r="B116" s="47" t="str">
        <f aca="false">TRIM(A116)</f>
        <v>عباس نصیری</v>
      </c>
      <c r="C116" s="47" t="n">
        <v>86</v>
      </c>
      <c r="D116" s="47" t="n">
        <v>28</v>
      </c>
      <c r="E116" s="9" t="n">
        <f aca="false">IFERROR(VLOOKUP(B116,'Operators performance'!B:K,9,0),"-")</f>
        <v>3</v>
      </c>
      <c r="F116" s="9" t="n">
        <v>0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customFormat="false" ht="15.75" hidden="false" customHeight="true" outlineLevel="0" collapsed="false">
      <c r="A117" s="47" t="s">
        <v>224</v>
      </c>
      <c r="B117" s="47" t="str">
        <f aca="false">TRIM(A117)</f>
        <v>زهرا رحیمی احسان</v>
      </c>
      <c r="C117" s="47" t="n">
        <v>38</v>
      </c>
      <c r="D117" s="47" t="n">
        <v>28</v>
      </c>
      <c r="E117" s="9" t="n">
        <f aca="false">IFERROR(VLOOKUP(B117,'Operators performance'!B:K,9,0),"-")</f>
        <v>3</v>
      </c>
      <c r="F117" s="9" t="n">
        <v>0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customFormat="false" ht="15.75" hidden="false" customHeight="true" outlineLevel="0" collapsed="false">
      <c r="A118" s="47" t="s">
        <v>99</v>
      </c>
      <c r="B118" s="47" t="str">
        <f aca="false">TRIM(A118)</f>
        <v>حسین پیرمرادی</v>
      </c>
      <c r="C118" s="47" t="n">
        <v>174</v>
      </c>
      <c r="D118" s="47" t="n">
        <v>29</v>
      </c>
      <c r="E118" s="9" t="n">
        <f aca="false">IFERROR(VLOOKUP(B118,'Operators performance'!B:K,9,0),"-")</f>
        <v>3</v>
      </c>
      <c r="F118" s="9" t="n">
        <v>0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customFormat="false" ht="15.75" hidden="false" customHeight="true" outlineLevel="0" collapsed="false">
      <c r="A119" s="47" t="s">
        <v>192</v>
      </c>
      <c r="B119" s="47" t="str">
        <f aca="false">TRIM(A119)</f>
        <v>سپیده عبدی پور</v>
      </c>
      <c r="C119" s="47" t="n">
        <v>66</v>
      </c>
      <c r="D119" s="47" t="n">
        <v>29</v>
      </c>
      <c r="E119" s="9" t="n">
        <f aca="false">IFERROR(VLOOKUP(B119,'Operators performance'!B:K,9,0),"-")</f>
        <v>3</v>
      </c>
      <c r="F119" s="9" t="n">
        <v>0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customFormat="false" ht="15.75" hidden="false" customHeight="true" outlineLevel="0" collapsed="false">
      <c r="A120" s="47" t="s">
        <v>142</v>
      </c>
      <c r="B120" s="47" t="str">
        <f aca="false">TRIM(A120)</f>
        <v>منیر مغفوری</v>
      </c>
      <c r="C120" s="47" t="n">
        <v>143</v>
      </c>
      <c r="D120" s="47" t="n">
        <v>29</v>
      </c>
      <c r="E120" s="9" t="n">
        <f aca="false">IFERROR(VLOOKUP(B120,'Operators performance'!B:K,9,0),"-")</f>
        <v>3</v>
      </c>
      <c r="F120" s="9" t="n">
        <v>0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customFormat="false" ht="15.75" hidden="false" customHeight="true" outlineLevel="0" collapsed="false">
      <c r="A121" s="47" t="s">
        <v>93</v>
      </c>
      <c r="B121" s="47" t="str">
        <f aca="false">TRIM(A121)</f>
        <v>آرمان صاحبی</v>
      </c>
      <c r="C121" s="47" t="n">
        <v>171</v>
      </c>
      <c r="D121" s="47" t="n">
        <v>29</v>
      </c>
      <c r="E121" s="9" t="n">
        <f aca="false">IFERROR(VLOOKUP(B121,'Operators performance'!B:K,9,0),"-")</f>
        <v>3</v>
      </c>
      <c r="F121" s="9" t="n">
        <v>0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customFormat="false" ht="15.75" hidden="false" customHeight="true" outlineLevel="0" collapsed="false">
      <c r="A122" s="47" t="s">
        <v>173</v>
      </c>
      <c r="B122" s="47" t="str">
        <f aca="false">TRIM(A122)</f>
        <v>مهشید حمیدی</v>
      </c>
      <c r="C122" s="47" t="n">
        <v>97</v>
      </c>
      <c r="D122" s="47" t="n">
        <v>29</v>
      </c>
      <c r="E122" s="9" t="n">
        <f aca="false">IFERROR(VLOOKUP(B122,'Operators performance'!B:K,9,0),"-")</f>
        <v>3</v>
      </c>
      <c r="F122" s="9" t="n">
        <v>0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customFormat="false" ht="15.75" hidden="false" customHeight="true" outlineLevel="0" collapsed="false">
      <c r="A123" s="47" t="s">
        <v>239</v>
      </c>
      <c r="B123" s="47" t="str">
        <f aca="false">TRIM(A123)</f>
        <v>مرکز صدور غفوری | حسن غفوری</v>
      </c>
      <c r="C123" s="47" t="n">
        <v>57</v>
      </c>
      <c r="D123" s="47" t="n">
        <v>29</v>
      </c>
      <c r="E123" s="9" t="n">
        <f aca="false">IFERROR(VLOOKUP(B123,'Operators performance'!B:K,9,0),"-")</f>
        <v>3</v>
      </c>
      <c r="F123" s="9" t="n">
        <v>0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customFormat="false" ht="15.75" hidden="false" customHeight="true" outlineLevel="0" collapsed="false">
      <c r="A124" s="47" t="s">
        <v>212</v>
      </c>
      <c r="B124" s="47" t="str">
        <f aca="false">TRIM(A124)</f>
        <v>مینا صفرپور</v>
      </c>
      <c r="C124" s="47" t="n">
        <v>84</v>
      </c>
      <c r="D124" s="47" t="n">
        <v>29</v>
      </c>
      <c r="E124" s="9" t="n">
        <f aca="false">IFERROR(VLOOKUP(B124,'Operators performance'!B:K,9,0),"-")</f>
        <v>3</v>
      </c>
      <c r="F124" s="9" t="n">
        <v>0</v>
      </c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customFormat="false" ht="15.75" hidden="false" customHeight="true" outlineLevel="0" collapsed="false">
      <c r="A125" s="47" t="s">
        <v>216</v>
      </c>
      <c r="B125" s="47" t="str">
        <f aca="false">TRIM(A125)</f>
        <v>مرکز صدور خوش سیرت | فاطمه خوش سیرت</v>
      </c>
      <c r="C125" s="47" t="n">
        <v>74</v>
      </c>
      <c r="D125" s="47" t="n">
        <v>29</v>
      </c>
      <c r="E125" s="9" t="n">
        <f aca="false">IFERROR(VLOOKUP(B125,'Operators performance'!B:K,9,0),"-")</f>
        <v>3</v>
      </c>
      <c r="F125" s="9" t="n">
        <v>0</v>
      </c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customFormat="false" ht="15.75" hidden="false" customHeight="true" outlineLevel="0" collapsed="false">
      <c r="A126" s="47" t="s">
        <v>188</v>
      </c>
      <c r="B126" s="47" t="str">
        <f aca="false">TRIM(A126)</f>
        <v>رویا نادرالوارس</v>
      </c>
      <c r="C126" s="47" t="n">
        <v>69</v>
      </c>
      <c r="D126" s="47" t="n">
        <v>29</v>
      </c>
      <c r="E126" s="9" t="n">
        <f aca="false">IFERROR(VLOOKUP(B126,'Operators performance'!B:K,9,0),"-")</f>
        <v>3</v>
      </c>
      <c r="F126" s="9" t="n">
        <v>0</v>
      </c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customFormat="false" ht="15.75" hidden="false" customHeight="true" outlineLevel="0" collapsed="false">
      <c r="A127" s="47" t="s">
        <v>210</v>
      </c>
      <c r="B127" s="47" t="str">
        <f aca="false">TRIM(A127)</f>
        <v>مهدیه داودی</v>
      </c>
      <c r="C127" s="47" t="n">
        <v>68</v>
      </c>
      <c r="D127" s="47" t="n">
        <v>29</v>
      </c>
      <c r="E127" s="9" t="n">
        <f aca="false">IFERROR(VLOOKUP(B127,'Operators performance'!B:K,9,0),"-")</f>
        <v>3</v>
      </c>
      <c r="F127" s="9" t="n">
        <v>0</v>
      </c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customFormat="false" ht="15.75" hidden="false" customHeight="true" outlineLevel="0" collapsed="false">
      <c r="A128" s="47" t="s">
        <v>181</v>
      </c>
      <c r="B128" s="47" t="str">
        <f aca="false">TRIM(A128)</f>
        <v>الهه دریکوند</v>
      </c>
      <c r="C128" s="47" t="n">
        <v>83</v>
      </c>
      <c r="D128" s="47" t="n">
        <v>29</v>
      </c>
      <c r="E128" s="9" t="n">
        <f aca="false">IFERROR(VLOOKUP(B128,'Operators performance'!B:K,9,0),"-")</f>
        <v>3</v>
      </c>
      <c r="F128" s="9" t="n">
        <v>0</v>
      </c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customFormat="false" ht="15.75" hidden="false" customHeight="true" outlineLevel="0" collapsed="false">
      <c r="A129" s="47" t="s">
        <v>214</v>
      </c>
      <c r="B129" s="47" t="str">
        <f aca="false">TRIM(A129)</f>
        <v>هاجر کمالی</v>
      </c>
      <c r="C129" s="47" t="n">
        <v>81</v>
      </c>
      <c r="D129" s="47" t="n">
        <v>29</v>
      </c>
      <c r="E129" s="9" t="n">
        <f aca="false">IFERROR(VLOOKUP(B129,'Operators performance'!B:K,9,0),"-")</f>
        <v>3</v>
      </c>
      <c r="F129" s="9" t="n">
        <v>0</v>
      </c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customFormat="false" ht="15.75" hidden="false" customHeight="true" outlineLevel="0" collapsed="false">
      <c r="A130" s="47" t="s">
        <v>90</v>
      </c>
      <c r="B130" s="47" t="str">
        <f aca="false">TRIM(A130)</f>
        <v>میکائیل بابکی</v>
      </c>
      <c r="C130" s="47" t="n">
        <v>243</v>
      </c>
      <c r="D130" s="47" t="n">
        <v>29</v>
      </c>
      <c r="E130" s="9" t="n">
        <f aca="false">IFERROR(VLOOKUP(B130,'Operators performance'!B:K,9,0),"-")</f>
        <v>3</v>
      </c>
      <c r="F130" s="9" t="n">
        <v>0</v>
      </c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customFormat="false" ht="15.75" hidden="false" customHeight="true" outlineLevel="0" collapsed="false">
      <c r="A131" s="47" t="s">
        <v>83</v>
      </c>
      <c r="B131" s="47" t="str">
        <f aca="false">TRIM(A131)</f>
        <v>فاطمه خوئینی</v>
      </c>
      <c r="C131" s="47" t="n">
        <v>281</v>
      </c>
      <c r="D131" s="47" t="n">
        <v>30</v>
      </c>
      <c r="E131" s="9" t="n">
        <f aca="false">IFERROR(VLOOKUP(B131,'Operators performance'!B:K,9,0),"-")</f>
        <v>3</v>
      </c>
      <c r="F131" s="9" t="n">
        <v>0</v>
      </c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customFormat="false" ht="15.75" hidden="false" customHeight="true" outlineLevel="0" collapsed="false">
      <c r="A132" s="47" t="s">
        <v>211</v>
      </c>
      <c r="B132" s="47" t="str">
        <f aca="false">TRIM(A132)</f>
        <v>مهناز کبریتی</v>
      </c>
      <c r="C132" s="47" t="n">
        <v>80</v>
      </c>
      <c r="D132" s="47" t="n">
        <v>30</v>
      </c>
      <c r="E132" s="9" t="n">
        <f aca="false">IFERROR(VLOOKUP(B132,'Operators performance'!B:K,9,0),"-")</f>
        <v>3</v>
      </c>
      <c r="F132" s="9" t="n">
        <v>0</v>
      </c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customFormat="false" ht="15.75" hidden="false" customHeight="true" outlineLevel="0" collapsed="false">
      <c r="A133" s="47" t="s">
        <v>251</v>
      </c>
      <c r="B133" s="47" t="str">
        <f aca="false">TRIM(A133)</f>
        <v>نرگس کدخدایی</v>
      </c>
      <c r="C133" s="47" t="n">
        <v>53</v>
      </c>
      <c r="D133" s="47" t="n">
        <v>30</v>
      </c>
      <c r="E133" s="9" t="n">
        <f aca="false">IFERROR(VLOOKUP(B133,'Operators performance'!B:K,9,0),"-")</f>
        <v>3</v>
      </c>
      <c r="F133" s="9" t="n">
        <v>0</v>
      </c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customFormat="false" ht="15.75" hidden="false" customHeight="true" outlineLevel="0" collapsed="false">
      <c r="A134" s="47" t="s">
        <v>218</v>
      </c>
      <c r="B134" s="47" t="str">
        <f aca="false">TRIM(A134)</f>
        <v>امیر حسین سبزیانی داویجانی</v>
      </c>
      <c r="C134" s="47" t="n">
        <v>19</v>
      </c>
      <c r="D134" s="47" t="n">
        <v>30</v>
      </c>
      <c r="E134" s="9" t="n">
        <f aca="false">IFERROR(VLOOKUP(B134,'Operators performance'!B:K,9,0),"-")</f>
        <v>3</v>
      </c>
      <c r="F134" s="9" t="n">
        <v>0</v>
      </c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customFormat="false" ht="15.75" hidden="false" customHeight="true" outlineLevel="0" collapsed="false">
      <c r="A135" s="47" t="s">
        <v>79</v>
      </c>
      <c r="B135" s="47" t="str">
        <f aca="false">TRIM(A135)</f>
        <v>زینب جعفری</v>
      </c>
      <c r="C135" s="47" t="n">
        <v>193</v>
      </c>
      <c r="D135" s="47" t="n">
        <v>30</v>
      </c>
      <c r="E135" s="9" t="n">
        <f aca="false">IFERROR(VLOOKUP(B135,'Operators performance'!B:K,9,0),"-")</f>
        <v>3</v>
      </c>
      <c r="F135" s="9" t="n">
        <v>0</v>
      </c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customFormat="false" ht="15.75" hidden="false" customHeight="true" outlineLevel="0" collapsed="false">
      <c r="A136" s="47" t="s">
        <v>242</v>
      </c>
      <c r="B136" s="47" t="str">
        <f aca="false">TRIM(A136)</f>
        <v>مریم احمدی</v>
      </c>
      <c r="C136" s="47" t="n">
        <v>50</v>
      </c>
      <c r="D136" s="47" t="n">
        <v>30</v>
      </c>
      <c r="E136" s="9" t="n">
        <f aca="false">IFERROR(VLOOKUP(B136,'Operators performance'!B:K,9,0),"-")</f>
        <v>3</v>
      </c>
      <c r="F136" s="9" t="n">
        <v>0</v>
      </c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customFormat="false" ht="15.75" hidden="false" customHeight="true" outlineLevel="0" collapsed="false">
      <c r="A137" s="47" t="s">
        <v>250</v>
      </c>
      <c r="B137" s="47" t="str">
        <f aca="false">TRIM(A137)</f>
        <v>ناهید عباس زاده</v>
      </c>
      <c r="C137" s="47" t="n">
        <v>57</v>
      </c>
      <c r="D137" s="47" t="n">
        <v>30</v>
      </c>
      <c r="E137" s="9" t="n">
        <f aca="false">IFERROR(VLOOKUP(B137,'Operators performance'!B:K,9,0),"-")</f>
        <v>3</v>
      </c>
      <c r="F137" s="9" t="n">
        <v>0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customFormat="false" ht="15.75" hidden="false" customHeight="true" outlineLevel="0" collapsed="false">
      <c r="A138" s="47" t="s">
        <v>237</v>
      </c>
      <c r="B138" s="47" t="str">
        <f aca="false">TRIM(A138)</f>
        <v>مرکز صدور خوش سیرت | آیدا افشاری</v>
      </c>
      <c r="C138" s="47" t="n">
        <v>59</v>
      </c>
      <c r="D138" s="47" t="n">
        <v>30</v>
      </c>
      <c r="E138" s="9" t="n">
        <f aca="false">IFERROR(VLOOKUP(B138,'Operators performance'!B:K,9,0),"-")</f>
        <v>3</v>
      </c>
      <c r="F138" s="9" t="n">
        <v>0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customFormat="false" ht="15.75" hidden="false" customHeight="true" outlineLevel="0" collapsed="false">
      <c r="A139" s="47" t="s">
        <v>190</v>
      </c>
      <c r="B139" s="47" t="str">
        <f aca="false">TRIM(A139)</f>
        <v>سارا غفاری</v>
      </c>
      <c r="C139" s="47" t="n">
        <v>89</v>
      </c>
      <c r="D139" s="47" t="n">
        <v>31</v>
      </c>
      <c r="E139" s="9" t="n">
        <f aca="false">IFERROR(VLOOKUP(B139,'Operators performance'!B:K,9,0),"-")</f>
        <v>3</v>
      </c>
      <c r="F139" s="9" t="n">
        <v>0</v>
      </c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customFormat="false" ht="15.75" hidden="false" customHeight="true" outlineLevel="0" collapsed="false">
      <c r="A140" s="47" t="s">
        <v>215</v>
      </c>
      <c r="B140" s="47" t="str">
        <f aca="false">TRIM(A140)</f>
        <v>یاسین صحرایی</v>
      </c>
      <c r="C140" s="47" t="n">
        <v>60</v>
      </c>
      <c r="D140" s="47" t="n">
        <v>31</v>
      </c>
      <c r="E140" s="9" t="n">
        <f aca="false">IFERROR(VLOOKUP(B140,'Operators performance'!B:K,9,0),"-")</f>
        <v>3</v>
      </c>
      <c r="F140" s="9" t="n">
        <v>0</v>
      </c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customFormat="false" ht="15.75" hidden="false" customHeight="true" outlineLevel="0" collapsed="false">
      <c r="A141" s="47" t="s">
        <v>180</v>
      </c>
      <c r="B141" s="47" t="str">
        <f aca="false">TRIM(A141)</f>
        <v>آزاده محبی</v>
      </c>
      <c r="C141" s="47" t="n">
        <v>77</v>
      </c>
      <c r="D141" s="47" t="n">
        <v>30</v>
      </c>
      <c r="E141" s="9" t="n">
        <f aca="false">IFERROR(VLOOKUP(B141,'Operators performance'!B:K,9,0),"-")</f>
        <v>3</v>
      </c>
      <c r="F141" s="9" t="n">
        <v>0</v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customFormat="false" ht="15.75" hidden="false" customHeight="true" outlineLevel="0" collapsed="false">
      <c r="A142" s="47" t="s">
        <v>172</v>
      </c>
      <c r="B142" s="47" t="str">
        <f aca="false">TRIM(A142)</f>
        <v>مهسا عبدی پور</v>
      </c>
      <c r="C142" s="47" t="n">
        <v>114</v>
      </c>
      <c r="D142" s="47" t="n">
        <v>31</v>
      </c>
      <c r="E142" s="9" t="n">
        <f aca="false">IFERROR(VLOOKUP(B142,'Operators performance'!B:K,9,0),"-")</f>
        <v>3</v>
      </c>
      <c r="F142" s="9" t="n">
        <v>0</v>
      </c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customFormat="false" ht="15.75" hidden="false" customHeight="true" outlineLevel="0" collapsed="false">
      <c r="A143" s="47" t="s">
        <v>110</v>
      </c>
      <c r="B143" s="47" t="str">
        <f aca="false">TRIM(A143)</f>
        <v>مبینا شکری</v>
      </c>
      <c r="C143" s="47" t="n">
        <v>155</v>
      </c>
      <c r="D143" s="47" t="n">
        <v>30</v>
      </c>
      <c r="E143" s="9" t="n">
        <f aca="false">IFERROR(VLOOKUP(B143,'Operators performance'!B:K,9,0),"-")</f>
        <v>3</v>
      </c>
      <c r="F143" s="9" t="n">
        <v>0</v>
      </c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customFormat="false" ht="15.75" hidden="false" customHeight="true" outlineLevel="0" collapsed="false">
      <c r="A144" s="47" t="s">
        <v>208</v>
      </c>
      <c r="B144" s="47" t="str">
        <f aca="false">TRIM(A144)</f>
        <v>ملیکا جعفریان</v>
      </c>
      <c r="C144" s="47" t="n">
        <v>61</v>
      </c>
      <c r="D144" s="47" t="n">
        <v>30</v>
      </c>
      <c r="E144" s="9" t="n">
        <f aca="false">IFERROR(VLOOKUP(B144,'Operators performance'!B:K,9,0),"-")</f>
        <v>3</v>
      </c>
      <c r="F144" s="9" t="n">
        <v>0</v>
      </c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customFormat="false" ht="15.75" hidden="false" customHeight="true" outlineLevel="0" collapsed="false">
      <c r="A145" s="47" t="s">
        <v>166</v>
      </c>
      <c r="B145" s="47" t="str">
        <f aca="false">TRIM(A145)</f>
        <v>کیمیا غلامی</v>
      </c>
      <c r="C145" s="47" t="n">
        <v>104</v>
      </c>
      <c r="D145" s="47" t="n">
        <v>31</v>
      </c>
      <c r="E145" s="9" t="n">
        <f aca="false">IFERROR(VLOOKUP(B145,'Operators performance'!B:K,9,0),"-")</f>
        <v>3</v>
      </c>
      <c r="F145" s="9" t="n">
        <v>0</v>
      </c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customFormat="false" ht="15.75" hidden="false" customHeight="true" outlineLevel="0" collapsed="false">
      <c r="A146" s="47" t="s">
        <v>231</v>
      </c>
      <c r="B146" s="47" t="str">
        <f aca="false">TRIM(A146)</f>
        <v>غزل فردی تبریزی</v>
      </c>
      <c r="C146" s="47" t="n">
        <v>28</v>
      </c>
      <c r="D146" s="47" t="n">
        <v>30</v>
      </c>
      <c r="E146" s="9" t="n">
        <f aca="false">IFERROR(VLOOKUP(B146,'Operators performance'!B:K,9,0),"-")</f>
        <v>3</v>
      </c>
      <c r="F146" s="9" t="n">
        <v>0</v>
      </c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customFormat="false" ht="15.75" hidden="false" customHeight="true" outlineLevel="0" collapsed="false">
      <c r="A147" s="47" t="s">
        <v>81</v>
      </c>
      <c r="B147" s="47" t="str">
        <f aca="false">TRIM(A147)</f>
        <v>عالم جعفری</v>
      </c>
      <c r="C147" s="47" t="n">
        <v>182</v>
      </c>
      <c r="D147" s="47" t="n">
        <v>31</v>
      </c>
      <c r="E147" s="9" t="n">
        <f aca="false">IFERROR(VLOOKUP(B147,'Operators performance'!B:K,9,0),"-")</f>
        <v>3</v>
      </c>
      <c r="F147" s="9" t="n">
        <v>0</v>
      </c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customFormat="false" ht="15.75" hidden="false" customHeight="true" outlineLevel="0" collapsed="false">
      <c r="A148" s="47" t="s">
        <v>240</v>
      </c>
      <c r="B148" s="47" t="str">
        <f aca="false">TRIM(A148)</f>
        <v>مرکز صدور کاظمی | امیرحسین ارجمند</v>
      </c>
      <c r="C148" s="47" t="n">
        <v>22</v>
      </c>
      <c r="D148" s="47" t="n">
        <v>31</v>
      </c>
      <c r="E148" s="9" t="n">
        <f aca="false">IFERROR(VLOOKUP(B148,'Operators performance'!B:K,9,0),"-")</f>
        <v>3</v>
      </c>
      <c r="F148" s="9" t="n">
        <v>0</v>
      </c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customFormat="false" ht="15.75" hidden="false" customHeight="true" outlineLevel="0" collapsed="false">
      <c r="A149" s="47" t="s">
        <v>116</v>
      </c>
      <c r="B149" s="47" t="str">
        <f aca="false">TRIM(A149)</f>
        <v>مرکز صدور کاظمی | ملیکاحسینی</v>
      </c>
      <c r="C149" s="47" t="n">
        <v>174</v>
      </c>
      <c r="D149" s="47" t="n">
        <v>31</v>
      </c>
      <c r="E149" s="9" t="n">
        <f aca="false">IFERROR(VLOOKUP(B149,'Operators performance'!B:K,9,0),"-")</f>
        <v>3</v>
      </c>
      <c r="F149" s="9" t="n">
        <v>0</v>
      </c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customFormat="false" ht="15.75" hidden="false" customHeight="true" outlineLevel="0" collapsed="false">
      <c r="A150" s="47" t="s">
        <v>159</v>
      </c>
      <c r="B150" s="47" t="str">
        <f aca="false">TRIM(A150)</f>
        <v>سکینه کاروند</v>
      </c>
      <c r="C150" s="47" t="n">
        <v>106</v>
      </c>
      <c r="D150" s="47" t="n">
        <v>31</v>
      </c>
      <c r="E150" s="9" t="n">
        <f aca="false">IFERROR(VLOOKUP(B150,'Operators performance'!B:K,9,0),"-")</f>
        <v>3</v>
      </c>
      <c r="F150" s="9" t="n">
        <v>0</v>
      </c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customFormat="false" ht="15.75" hidden="false" customHeight="true" outlineLevel="0" collapsed="false">
      <c r="A151" s="47" t="s">
        <v>247</v>
      </c>
      <c r="B151" s="47" t="str">
        <f aca="false">TRIM(A151)</f>
        <v>مهدیه زند</v>
      </c>
      <c r="C151" s="47" t="n">
        <v>39</v>
      </c>
      <c r="D151" s="47" t="n">
        <v>31</v>
      </c>
      <c r="E151" s="9" t="n">
        <f aca="false">IFERROR(VLOOKUP(B151,'Operators performance'!B:K,9,0),"-")</f>
        <v>3</v>
      </c>
      <c r="F151" s="9" t="n">
        <v>0</v>
      </c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customFormat="false" ht="15.75" hidden="false" customHeight="true" outlineLevel="0" collapsed="false">
      <c r="A152" s="47" t="s">
        <v>202</v>
      </c>
      <c r="B152" s="47" t="str">
        <f aca="false">TRIM(A152)</f>
        <v>ماهرخ باوکان</v>
      </c>
      <c r="C152" s="47" t="n">
        <v>87</v>
      </c>
      <c r="D152" s="47" t="n">
        <v>32</v>
      </c>
      <c r="E152" s="9" t="n">
        <f aca="false">IFERROR(VLOOKUP(B152,'Operators performance'!B:K,9,0),"-")</f>
        <v>3</v>
      </c>
      <c r="F152" s="9" t="n">
        <v>0</v>
      </c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customFormat="false" ht="15.75" hidden="false" customHeight="true" outlineLevel="0" collapsed="false">
      <c r="A153" s="47" t="s">
        <v>221</v>
      </c>
      <c r="B153" s="47" t="str">
        <f aca="false">TRIM(A153)</f>
        <v>پریسا شعبانی</v>
      </c>
      <c r="C153" s="47" t="n">
        <v>39</v>
      </c>
      <c r="D153" s="47" t="n">
        <v>32</v>
      </c>
      <c r="E153" s="9" t="n">
        <f aca="false">IFERROR(VLOOKUP(B153,'Operators performance'!B:K,9,0),"-")</f>
        <v>3</v>
      </c>
      <c r="F153" s="9" t="n">
        <v>0</v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customFormat="false" ht="15.75" hidden="false" customHeight="true" outlineLevel="0" collapsed="false">
      <c r="A154" s="47" t="s">
        <v>213</v>
      </c>
      <c r="B154" s="47" t="str">
        <f aca="false">TRIM(A154)</f>
        <v>نگین سالاریان نژاد</v>
      </c>
      <c r="C154" s="47" t="n">
        <v>73</v>
      </c>
      <c r="D154" s="47" t="n">
        <v>32</v>
      </c>
      <c r="E154" s="9" t="n">
        <f aca="false">IFERROR(VLOOKUP(B154,'Operators performance'!B:K,9,0),"-")</f>
        <v>3</v>
      </c>
      <c r="F154" s="9" t="n">
        <v>0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customFormat="false" ht="15.75" hidden="false" customHeight="true" outlineLevel="0" collapsed="false">
      <c r="A155" s="47" t="s">
        <v>185</v>
      </c>
      <c r="B155" s="47" t="str">
        <f aca="false">TRIM(A155)</f>
        <v>امیرمحمد بادکوبه</v>
      </c>
      <c r="C155" s="47" t="n">
        <v>61</v>
      </c>
      <c r="D155" s="47" t="n">
        <v>32</v>
      </c>
      <c r="E155" s="9" t="n">
        <f aca="false">IFERROR(VLOOKUP(B155,'Operators performance'!B:K,9,0),"-")</f>
        <v>3</v>
      </c>
      <c r="F155" s="9" t="n">
        <v>0</v>
      </c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customFormat="false" ht="15.75" hidden="false" customHeight="true" outlineLevel="0" collapsed="false">
      <c r="A156" s="47" t="s">
        <v>161</v>
      </c>
      <c r="B156" s="47" t="str">
        <f aca="false">TRIM(A156)</f>
        <v>سمیه اسماعیلی</v>
      </c>
      <c r="C156" s="47" t="n">
        <v>114</v>
      </c>
      <c r="D156" s="47" t="n">
        <v>32</v>
      </c>
      <c r="E156" s="9" t="n">
        <f aca="false">IFERROR(VLOOKUP(B156,'Operators performance'!B:K,9,0),"-")</f>
        <v>3</v>
      </c>
      <c r="F156" s="9" t="n">
        <v>0</v>
      </c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customFormat="false" ht="15.75" hidden="false" customHeight="true" outlineLevel="0" collapsed="false">
      <c r="A157" s="47" t="s">
        <v>164</v>
      </c>
      <c r="B157" s="47" t="str">
        <f aca="false">TRIM(A157)</f>
        <v>فاطمه کمالی</v>
      </c>
      <c r="C157" s="47" t="n">
        <v>104</v>
      </c>
      <c r="D157" s="47" t="n">
        <v>32</v>
      </c>
      <c r="E157" s="9" t="n">
        <f aca="false">IFERROR(VLOOKUP(B157,'Operators performance'!B:K,9,0),"-")</f>
        <v>3</v>
      </c>
      <c r="F157" s="9" t="n">
        <v>0</v>
      </c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customFormat="false" ht="15.75" hidden="false" customHeight="true" outlineLevel="0" collapsed="false">
      <c r="A158" s="47" t="s">
        <v>230</v>
      </c>
      <c r="B158" s="47" t="str">
        <f aca="false">TRIM(A158)</f>
        <v>علی کمالی</v>
      </c>
      <c r="C158" s="47" t="n">
        <v>44</v>
      </c>
      <c r="D158" s="47" t="n">
        <v>32</v>
      </c>
      <c r="E158" s="9" t="n">
        <f aca="false">IFERROR(VLOOKUP(B158,'Operators performance'!B:K,9,0),"-")</f>
        <v>3</v>
      </c>
      <c r="F158" s="9" t="n">
        <v>0</v>
      </c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customFormat="false" ht="15.75" hidden="false" customHeight="true" outlineLevel="0" collapsed="false">
      <c r="A159" s="47" t="s">
        <v>191</v>
      </c>
      <c r="B159" s="47" t="str">
        <f aca="false">TRIM(A159)</f>
        <v>سبا نصرالهی</v>
      </c>
      <c r="C159" s="47" t="n">
        <v>102</v>
      </c>
      <c r="D159" s="47" t="n">
        <v>33</v>
      </c>
      <c r="E159" s="9" t="n">
        <f aca="false">IFERROR(VLOOKUP(B159,'Operators performance'!B:K,9,0),"-")</f>
        <v>2</v>
      </c>
      <c r="F159" s="9" t="n">
        <v>0</v>
      </c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customFormat="false" ht="15.75" hidden="false" customHeight="true" outlineLevel="0" collapsed="false">
      <c r="A160" s="47" t="s">
        <v>232</v>
      </c>
      <c r="B160" s="47" t="str">
        <f aca="false">TRIM(A160)</f>
        <v>فاطمه شصتی</v>
      </c>
      <c r="C160" s="47" t="n">
        <v>33</v>
      </c>
      <c r="D160" s="47" t="n">
        <v>32</v>
      </c>
      <c r="E160" s="9" t="n">
        <f aca="false">IFERROR(VLOOKUP(B160,'Operators performance'!B:K,9,0),"-")</f>
        <v>3</v>
      </c>
      <c r="F160" s="9" t="n">
        <v>0</v>
      </c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customFormat="false" ht="15.75" hidden="false" customHeight="true" outlineLevel="0" collapsed="false">
      <c r="A161" s="47" t="s">
        <v>219</v>
      </c>
      <c r="B161" s="47" t="str">
        <f aca="false">TRIM(A161)</f>
        <v>امین سلیمانی فرد</v>
      </c>
      <c r="C161" s="47" t="n">
        <v>9</v>
      </c>
      <c r="D161" s="47" t="n">
        <v>32</v>
      </c>
      <c r="E161" s="9" t="n">
        <f aca="false">IFERROR(VLOOKUP(B161,'Operators performance'!B:K,9,0),"-")</f>
        <v>3</v>
      </c>
      <c r="F161" s="9" t="n">
        <v>0</v>
      </c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customFormat="false" ht="15.75" hidden="false" customHeight="true" outlineLevel="0" collapsed="false">
      <c r="A162" s="47" t="s">
        <v>217</v>
      </c>
      <c r="B162" s="47" t="str">
        <f aca="false">TRIM(A162)</f>
        <v>احسان محمدی</v>
      </c>
      <c r="C162" s="47" t="n">
        <v>45</v>
      </c>
      <c r="D162" s="47" t="n">
        <v>32</v>
      </c>
      <c r="E162" s="9" t="n">
        <f aca="false">IFERROR(VLOOKUP(B162,'Operators performance'!B:K,9,0),"-")</f>
        <v>3</v>
      </c>
      <c r="F162" s="9" t="n">
        <v>0</v>
      </c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customFormat="false" ht="15.75" hidden="false" customHeight="true" outlineLevel="0" collapsed="false">
      <c r="A163" s="47" t="s">
        <v>123</v>
      </c>
      <c r="B163" s="47" t="str">
        <f aca="false">TRIM(A163)</f>
        <v>آتنا محبی</v>
      </c>
      <c r="C163" s="47" t="n">
        <v>147</v>
      </c>
      <c r="D163" s="47" t="n">
        <v>32</v>
      </c>
      <c r="E163" s="9" t="n">
        <f aca="false">IFERROR(VLOOKUP(B163,'Operators performance'!B:K,9,0),"-")</f>
        <v>3</v>
      </c>
      <c r="F163" s="9" t="n">
        <v>0</v>
      </c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customFormat="false" ht="15.75" hidden="false" customHeight="true" outlineLevel="0" collapsed="false">
      <c r="A164" s="47" t="s">
        <v>109</v>
      </c>
      <c r="B164" s="47" t="str">
        <f aca="false">TRIM(A164)</f>
        <v>ماهان عبدی</v>
      </c>
      <c r="C164" s="47" t="n">
        <v>235</v>
      </c>
      <c r="D164" s="47" t="n">
        <v>33</v>
      </c>
      <c r="E164" s="9" t="n">
        <f aca="false">IFERROR(VLOOKUP(B164,'Operators performance'!B:K,9,0),"-")</f>
        <v>2</v>
      </c>
      <c r="F164" s="9" t="n">
        <v>0</v>
      </c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customFormat="false" ht="15.75" hidden="false" customHeight="true" outlineLevel="0" collapsed="false">
      <c r="A165" s="47" t="s">
        <v>199</v>
      </c>
      <c r="B165" s="47" t="str">
        <f aca="false">TRIM(A165)</f>
        <v>فربد طاهر پور</v>
      </c>
      <c r="C165" s="47" t="n">
        <v>101</v>
      </c>
      <c r="D165" s="47" t="n">
        <v>33</v>
      </c>
      <c r="E165" s="9" t="n">
        <f aca="false">IFERROR(VLOOKUP(B165,'Operators performance'!B:K,9,0),"-")</f>
        <v>2</v>
      </c>
      <c r="F165" s="9" t="n">
        <v>0</v>
      </c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customFormat="false" ht="15.75" hidden="false" customHeight="true" outlineLevel="0" collapsed="false">
      <c r="A166" s="47" t="s">
        <v>289</v>
      </c>
      <c r="B166" s="47" t="str">
        <f aca="false">TRIM(A166)</f>
        <v>مرکز صدور شاه محمدی | مبینا یارمحمدی</v>
      </c>
      <c r="C166" s="47" t="n">
        <v>54</v>
      </c>
      <c r="D166" s="47" t="n">
        <v>33</v>
      </c>
      <c r="E166" s="9" t="n">
        <f aca="false">IFERROR(VLOOKUP(B166,'Operators performance'!B:K,9,0),"-")</f>
        <v>2</v>
      </c>
      <c r="F166" s="9" t="n">
        <v>0</v>
      </c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customFormat="false" ht="15.75" hidden="false" customHeight="true" outlineLevel="0" collapsed="false">
      <c r="A167" s="47" t="s">
        <v>255</v>
      </c>
      <c r="B167" s="47" t="str">
        <f aca="false">TRIM(A167)</f>
        <v>اکبر یوسفی</v>
      </c>
      <c r="C167" s="47" t="n">
        <v>24</v>
      </c>
      <c r="D167" s="47" t="n">
        <v>33</v>
      </c>
      <c r="E167" s="9" t="n">
        <f aca="false">IFERROR(VLOOKUP(B167,'Operators performance'!B:K,9,0),"-")</f>
        <v>2</v>
      </c>
      <c r="F167" s="9" t="n">
        <v>0</v>
      </c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customFormat="false" ht="15.75" hidden="false" customHeight="true" outlineLevel="0" collapsed="false">
      <c r="A168" s="47" t="s">
        <v>203</v>
      </c>
      <c r="B168" s="47" t="str">
        <f aca="false">TRIM(A168)</f>
        <v>مجتبی درزی</v>
      </c>
      <c r="C168" s="47" t="n">
        <v>103</v>
      </c>
      <c r="D168" s="47" t="n">
        <v>33</v>
      </c>
      <c r="E168" s="9" t="n">
        <f aca="false">IFERROR(VLOOKUP(B168,'Operators performance'!B:K,9,0),"-")</f>
        <v>2</v>
      </c>
      <c r="F168" s="9" t="n">
        <v>0</v>
      </c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 customFormat="false" ht="15.75" hidden="false" customHeight="true" outlineLevel="0" collapsed="false">
      <c r="A169" s="47" t="s">
        <v>156</v>
      </c>
      <c r="B169" s="47" t="str">
        <f aca="false">TRIM(A169)</f>
        <v>زهرا عسگری</v>
      </c>
      <c r="C169" s="47" t="n">
        <v>142</v>
      </c>
      <c r="D169" s="47" t="n">
        <v>33</v>
      </c>
      <c r="E169" s="9" t="n">
        <f aca="false">IFERROR(VLOOKUP(B169,'Operators performance'!B:K,9,0),"-")</f>
        <v>2</v>
      </c>
      <c r="F169" s="9" t="n">
        <v>0</v>
      </c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customFormat="false" ht="15.75" hidden="false" customHeight="true" outlineLevel="0" collapsed="false">
      <c r="A170" s="47" t="s">
        <v>175</v>
      </c>
      <c r="B170" s="47" t="str">
        <f aca="false">TRIM(A170)</f>
        <v>نسترن نیک کار</v>
      </c>
      <c r="C170" s="47" t="n">
        <v>137</v>
      </c>
      <c r="D170" s="47" t="n">
        <v>33</v>
      </c>
      <c r="E170" s="9" t="n">
        <f aca="false">IFERROR(VLOOKUP(B170,'Operators performance'!B:K,9,0),"-")</f>
        <v>2</v>
      </c>
      <c r="F170" s="9" t="n">
        <v>0</v>
      </c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customFormat="false" ht="15.75" hidden="false" customHeight="true" outlineLevel="0" collapsed="false">
      <c r="A171" s="47" t="s">
        <v>220</v>
      </c>
      <c r="B171" s="47" t="str">
        <f aca="false">TRIM(A171)</f>
        <v>بهار آبنار</v>
      </c>
      <c r="C171" s="47" t="n">
        <v>62</v>
      </c>
      <c r="D171" s="47" t="n">
        <v>33</v>
      </c>
      <c r="E171" s="9" t="n">
        <f aca="false">IFERROR(VLOOKUP(B171,'Operators performance'!B:K,9,0),"-")</f>
        <v>2</v>
      </c>
      <c r="F171" s="9" t="n">
        <v>0</v>
      </c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customFormat="false" ht="15.75" hidden="false" customHeight="true" outlineLevel="0" collapsed="false">
      <c r="A172" s="47" t="s">
        <v>194</v>
      </c>
      <c r="B172" s="47" t="str">
        <f aca="false">TRIM(A172)</f>
        <v>سعید عزیزی میرحسنی</v>
      </c>
      <c r="C172" s="47" t="n">
        <v>93</v>
      </c>
      <c r="D172" s="47" t="n">
        <v>34</v>
      </c>
      <c r="E172" s="9" t="n">
        <f aca="false">IFERROR(VLOOKUP(B172,'Operators performance'!B:K,9,0),"-")</f>
        <v>2</v>
      </c>
      <c r="F172" s="9" t="n">
        <v>0</v>
      </c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 customFormat="false" ht="15.75" hidden="false" customHeight="true" outlineLevel="0" collapsed="false">
      <c r="A173" s="47" t="s">
        <v>207</v>
      </c>
      <c r="B173" s="47" t="str">
        <f aca="false">TRIM(A173)</f>
        <v>مریم محمدی</v>
      </c>
      <c r="C173" s="47" t="n">
        <v>103</v>
      </c>
      <c r="D173" s="47" t="n">
        <v>33</v>
      </c>
      <c r="E173" s="9" t="n">
        <f aca="false">IFERROR(VLOOKUP(B173,'Operators performance'!B:K,9,0),"-")</f>
        <v>2</v>
      </c>
      <c r="F173" s="9" t="n">
        <v>0</v>
      </c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customFormat="false" ht="15.75" hidden="false" customHeight="true" outlineLevel="0" collapsed="false">
      <c r="A174" s="47" t="s">
        <v>264</v>
      </c>
      <c r="B174" s="47" t="str">
        <f aca="false">TRIM(A174)</f>
        <v>درسا ناصری</v>
      </c>
      <c r="C174" s="47" t="n">
        <v>11</v>
      </c>
      <c r="D174" s="47" t="n">
        <v>34</v>
      </c>
      <c r="E174" s="9" t="n">
        <f aca="false">IFERROR(VLOOKUP(B174,'Operators performance'!B:K,9,0),"-")</f>
        <v>2</v>
      </c>
      <c r="F174" s="9" t="n">
        <v>0</v>
      </c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 customFormat="false" ht="15.75" hidden="false" customHeight="true" outlineLevel="0" collapsed="false">
      <c r="A175" s="47" t="s">
        <v>249</v>
      </c>
      <c r="B175" s="47" t="str">
        <f aca="false">TRIM(A175)</f>
        <v>مونا منصوری</v>
      </c>
      <c r="C175" s="47" t="n">
        <v>77</v>
      </c>
      <c r="D175" s="47" t="n">
        <v>34</v>
      </c>
      <c r="E175" s="9" t="n">
        <f aca="false">IFERROR(VLOOKUP(B175,'Operators performance'!B:K,9,0),"-")</f>
        <v>2</v>
      </c>
      <c r="F175" s="9" t="n">
        <v>0</v>
      </c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customFormat="false" ht="15.75" hidden="false" customHeight="true" outlineLevel="0" collapsed="false">
      <c r="A176" s="47" t="s">
        <v>286</v>
      </c>
      <c r="B176" s="47" t="str">
        <f aca="false">TRIM(A176)</f>
        <v>مهیار مصطفی نژاد</v>
      </c>
      <c r="C176" s="47" t="n">
        <v>33</v>
      </c>
      <c r="D176" s="47" t="n">
        <v>34</v>
      </c>
      <c r="E176" s="9" t="n">
        <f aca="false">IFERROR(VLOOKUP(B176,'Operators performance'!B:K,9,0),"-")</f>
        <v>2</v>
      </c>
      <c r="F176" s="9" t="n">
        <v>0</v>
      </c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customFormat="false" ht="15.75" hidden="false" customHeight="true" outlineLevel="0" collapsed="false">
      <c r="A177" s="47" t="s">
        <v>136</v>
      </c>
      <c r="B177" s="47" t="str">
        <f aca="false">TRIM(A177)</f>
        <v>محبوبه شیرزاد</v>
      </c>
      <c r="C177" s="47" t="n">
        <v>158</v>
      </c>
      <c r="D177" s="47" t="n">
        <v>34</v>
      </c>
      <c r="E177" s="9" t="n">
        <f aca="false">IFERROR(VLOOKUP(B177,'Operators performance'!B:K,9,0),"-")</f>
        <v>2</v>
      </c>
      <c r="F177" s="9" t="n">
        <v>0</v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customFormat="false" ht="15.75" hidden="false" customHeight="true" outlineLevel="0" collapsed="false">
      <c r="A178" s="47" t="s">
        <v>120</v>
      </c>
      <c r="B178" s="47" t="str">
        <f aca="false">TRIM(A178)</f>
        <v>ملیکا جان محمدی</v>
      </c>
      <c r="C178" s="47" t="n">
        <v>226</v>
      </c>
      <c r="D178" s="47" t="n">
        <v>35</v>
      </c>
      <c r="E178" s="9" t="n">
        <f aca="false">IFERROR(VLOOKUP(B178,'Operators performance'!B:K,9,0),"-")</f>
        <v>2</v>
      </c>
      <c r="F178" s="9" t="n">
        <v>0</v>
      </c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 customFormat="false" ht="15.75" hidden="false" customHeight="true" outlineLevel="0" collapsed="false">
      <c r="A179" s="47" t="s">
        <v>177</v>
      </c>
      <c r="B179" s="47" t="str">
        <f aca="false">TRIM(A179)</f>
        <v>یلدا نعمتی</v>
      </c>
      <c r="C179" s="47" t="n">
        <v>146</v>
      </c>
      <c r="D179" s="47" t="n">
        <v>35</v>
      </c>
      <c r="E179" s="9" t="n">
        <f aca="false">IFERROR(VLOOKUP(B179,'Operators performance'!B:K,9,0),"-")</f>
        <v>2</v>
      </c>
      <c r="F179" s="9" t="n">
        <v>0</v>
      </c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customFormat="false" ht="15.75" hidden="false" customHeight="true" outlineLevel="0" collapsed="false">
      <c r="A180" s="47" t="s">
        <v>279</v>
      </c>
      <c r="B180" s="47" t="str">
        <f aca="false">TRIM(A180)</f>
        <v>مرکز صدور افسر | علی قاسمی</v>
      </c>
      <c r="C180" s="47" t="n">
        <v>30</v>
      </c>
      <c r="D180" s="47" t="n">
        <v>35</v>
      </c>
      <c r="E180" s="9" t="n">
        <f aca="false">IFERROR(VLOOKUP(B180,'Operators performance'!B:K,9,0),"-")</f>
        <v>2</v>
      </c>
      <c r="F180" s="9" t="n">
        <v>0</v>
      </c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customFormat="false" ht="15.75" hidden="false" customHeight="true" outlineLevel="0" collapsed="false">
      <c r="A181" s="47" t="s">
        <v>285</v>
      </c>
      <c r="B181" s="47" t="str">
        <f aca="false">TRIM(A181)</f>
        <v>مهدی خاوری</v>
      </c>
      <c r="C181" s="47" t="n">
        <v>8</v>
      </c>
      <c r="D181" s="47" t="n">
        <v>35</v>
      </c>
      <c r="E181" s="9" t="n">
        <f aca="false">IFERROR(VLOOKUP(B181,'Operators performance'!B:K,9,0),"-")</f>
        <v>2</v>
      </c>
      <c r="F181" s="9" t="n">
        <v>0</v>
      </c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customFormat="false" ht="15.75" hidden="false" customHeight="true" outlineLevel="0" collapsed="false">
      <c r="A182" s="47" t="s">
        <v>158</v>
      </c>
      <c r="B182" s="47" t="str">
        <f aca="false">TRIM(A182)</f>
        <v>سحر خدابنده</v>
      </c>
      <c r="C182" s="47" t="n">
        <v>131</v>
      </c>
      <c r="D182" s="47" t="n">
        <v>35</v>
      </c>
      <c r="E182" s="9" t="n">
        <f aca="false">IFERROR(VLOOKUP(B182,'Operators performance'!B:K,9,0),"-")</f>
        <v>2</v>
      </c>
      <c r="F182" s="9" t="n">
        <v>0</v>
      </c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customFormat="false" ht="15.75" hidden="false" customHeight="true" outlineLevel="0" collapsed="false">
      <c r="A183" s="47" t="s">
        <v>290</v>
      </c>
      <c r="B183" s="47" t="str">
        <f aca="false">TRIM(A183)</f>
        <v>مرکز صدور کیانی| تانیا کیانی بیگدلی</v>
      </c>
      <c r="C183" s="47" t="n">
        <v>36</v>
      </c>
      <c r="D183" s="47" t="n">
        <v>35</v>
      </c>
      <c r="E183" s="9" t="n">
        <f aca="false">IFERROR(VLOOKUP(B183,'Operators performance'!B:K,9,0),"-")</f>
        <v>2</v>
      </c>
      <c r="F183" s="9" t="n">
        <v>0</v>
      </c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customFormat="false" ht="15.75" hidden="false" customHeight="true" outlineLevel="0" collapsed="false">
      <c r="A184" s="47" t="s">
        <v>252</v>
      </c>
      <c r="B184" s="47" t="str">
        <f aca="false">TRIM(A184)</f>
        <v>نیلوفر آقاموسی</v>
      </c>
      <c r="C184" s="47" t="n">
        <v>83</v>
      </c>
      <c r="D184" s="47" t="n">
        <v>35</v>
      </c>
      <c r="E184" s="9" t="n">
        <f aca="false">IFERROR(VLOOKUP(B184,'Operators performance'!B:K,9,0),"-")</f>
        <v>2</v>
      </c>
      <c r="F184" s="9" t="n">
        <v>0</v>
      </c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 customFormat="false" ht="15.75" hidden="false" customHeight="true" outlineLevel="0" collapsed="false">
      <c r="A185" s="47" t="s">
        <v>283</v>
      </c>
      <c r="B185" s="47" t="str">
        <f aca="false">TRIM(A185)</f>
        <v>مریم خسرو جردی</v>
      </c>
      <c r="C185" s="47" t="n">
        <v>21</v>
      </c>
      <c r="D185" s="47" t="n">
        <v>35</v>
      </c>
      <c r="E185" s="9" t="n">
        <f aca="false">IFERROR(VLOOKUP(B185,'Operators performance'!B:K,9,0),"-")</f>
        <v>2</v>
      </c>
      <c r="F185" s="9" t="n">
        <v>0</v>
      </c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 customFormat="false" ht="15.75" hidden="false" customHeight="true" outlineLevel="0" collapsed="false">
      <c r="A186" s="47" t="s">
        <v>258</v>
      </c>
      <c r="B186" s="47" t="str">
        <f aca="false">TRIM(A186)</f>
        <v>پرنیان امیری</v>
      </c>
      <c r="C186" s="47" t="n">
        <v>52</v>
      </c>
      <c r="D186" s="47" t="n">
        <v>35</v>
      </c>
      <c r="E186" s="9" t="n">
        <f aca="false">IFERROR(VLOOKUP(B186,'Operators performance'!B:K,9,0),"-")</f>
        <v>2</v>
      </c>
      <c r="F186" s="9" t="n">
        <v>0</v>
      </c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customFormat="false" ht="15.75" hidden="false" customHeight="true" outlineLevel="0" collapsed="false">
      <c r="A187" s="47" t="s">
        <v>257</v>
      </c>
      <c r="B187" s="47" t="str">
        <f aca="false">TRIM(A187)</f>
        <v>بهناز رستگار رامشه</v>
      </c>
      <c r="C187" s="47" t="n">
        <v>22</v>
      </c>
      <c r="D187" s="47" t="n">
        <v>35</v>
      </c>
      <c r="E187" s="9" t="n">
        <f aca="false">IFERROR(VLOOKUP(B187,'Operators performance'!B:K,9,0),"-")</f>
        <v>2</v>
      </c>
      <c r="F187" s="9" t="n">
        <v>0</v>
      </c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customFormat="false" ht="15.75" hidden="false" customHeight="true" outlineLevel="0" collapsed="false">
      <c r="A188" s="47" t="s">
        <v>189</v>
      </c>
      <c r="B188" s="47" t="str">
        <f aca="false">TRIM(A188)</f>
        <v>زهره صفری</v>
      </c>
      <c r="C188" s="47" t="n">
        <v>99</v>
      </c>
      <c r="D188" s="47" t="n">
        <v>35</v>
      </c>
      <c r="E188" s="9" t="n">
        <f aca="false">IFERROR(VLOOKUP(B188,'Operators performance'!B:K,9,0),"-")</f>
        <v>2</v>
      </c>
      <c r="F188" s="9" t="n">
        <v>0</v>
      </c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 customFormat="false" ht="15.75" hidden="false" customHeight="true" outlineLevel="0" collapsed="false">
      <c r="A189" s="47" t="s">
        <v>276</v>
      </c>
      <c r="B189" s="47" t="str">
        <f aca="false">TRIM(A189)</f>
        <v>لیلا یگانه</v>
      </c>
      <c r="C189" s="47" t="n">
        <v>57</v>
      </c>
      <c r="D189" s="47" t="n">
        <v>35</v>
      </c>
      <c r="E189" s="9" t="n">
        <f aca="false">IFERROR(VLOOKUP(B189,'Operators performance'!B:K,9,0),"-")</f>
        <v>2</v>
      </c>
      <c r="F189" s="9" t="n">
        <v>0</v>
      </c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customFormat="false" ht="15.75" hidden="false" customHeight="true" outlineLevel="0" collapsed="false">
      <c r="A190" s="47" t="s">
        <v>248</v>
      </c>
      <c r="B190" s="47" t="str">
        <f aca="false">TRIM(A190)</f>
        <v>موژان رونقی</v>
      </c>
      <c r="C190" s="47" t="n">
        <v>78</v>
      </c>
      <c r="D190" s="47" t="n">
        <v>35</v>
      </c>
      <c r="E190" s="9" t="n">
        <f aca="false">IFERROR(VLOOKUP(B190,'Operators performance'!B:K,9,0),"-")</f>
        <v>2</v>
      </c>
      <c r="F190" s="9" t="n">
        <v>0</v>
      </c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customFormat="false" ht="15.75" hidden="false" customHeight="true" outlineLevel="0" collapsed="false">
      <c r="A191" s="47" t="s">
        <v>233</v>
      </c>
      <c r="B191" s="47" t="str">
        <f aca="false">TRIM(A191)</f>
        <v>کیان مهر شجاعی</v>
      </c>
      <c r="C191" s="47" t="n">
        <v>89</v>
      </c>
      <c r="D191" s="47" t="n">
        <v>36</v>
      </c>
      <c r="E191" s="9" t="n">
        <f aca="false">IFERROR(VLOOKUP(B191,'Operators performance'!B:K,9,0),"-")</f>
        <v>2</v>
      </c>
      <c r="F191" s="9" t="n">
        <v>0</v>
      </c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customFormat="false" ht="15.75" hidden="false" customHeight="true" outlineLevel="0" collapsed="false">
      <c r="A192" s="47" t="s">
        <v>282</v>
      </c>
      <c r="B192" s="47" t="str">
        <f aca="false">TRIM(A192)</f>
        <v>مریم جلالیان</v>
      </c>
      <c r="C192" s="47" t="n">
        <v>19</v>
      </c>
      <c r="D192" s="47" t="n">
        <v>36</v>
      </c>
      <c r="E192" s="9" t="n">
        <f aca="false">IFERROR(VLOOKUP(B192,'Operators performance'!B:K,9,0),"-")</f>
        <v>2</v>
      </c>
      <c r="F192" s="9" t="n">
        <v>0</v>
      </c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customFormat="false" ht="15.75" hidden="false" customHeight="true" outlineLevel="0" collapsed="false">
      <c r="A193" s="47" t="s">
        <v>241</v>
      </c>
      <c r="B193" s="47" t="str">
        <f aca="false">TRIM(A193)</f>
        <v>مرکز صدور کاظمی | ویدا نوری</v>
      </c>
      <c r="C193" s="47" t="n">
        <v>65</v>
      </c>
      <c r="D193" s="47" t="n">
        <v>36</v>
      </c>
      <c r="E193" s="9" t="n">
        <f aca="false">IFERROR(VLOOKUP(B193,'Operators performance'!B:K,9,0),"-")</f>
        <v>2</v>
      </c>
      <c r="F193" s="9" t="n">
        <v>0</v>
      </c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customFormat="false" ht="15.75" hidden="false" customHeight="true" outlineLevel="0" collapsed="false">
      <c r="A194" s="47" t="s">
        <v>140</v>
      </c>
      <c r="B194" s="47" t="str">
        <f aca="false">TRIM(A194)</f>
        <v>مرکز صدور علی دادی | زهرا چهرآزاد</v>
      </c>
      <c r="C194" s="47" t="n">
        <v>152</v>
      </c>
      <c r="D194" s="47" t="n">
        <v>36</v>
      </c>
      <c r="E194" s="9" t="n">
        <f aca="false">IFERROR(VLOOKUP(B194,'Operators performance'!B:K,9,0),"-")</f>
        <v>2</v>
      </c>
      <c r="F194" s="9" t="n">
        <v>0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customFormat="false" ht="15.75" hidden="false" customHeight="true" outlineLevel="0" collapsed="false">
      <c r="A195" s="47" t="s">
        <v>263</v>
      </c>
      <c r="B195" s="47" t="str">
        <f aca="false">TRIM(A195)</f>
        <v>دانیال سعادت منش</v>
      </c>
      <c r="C195" s="47" t="n">
        <v>49</v>
      </c>
      <c r="D195" s="47" t="n">
        <v>36</v>
      </c>
      <c r="E195" s="9" t="n">
        <f aca="false">IFERROR(VLOOKUP(B195,'Operators performance'!B:K,9,0),"-")</f>
        <v>2</v>
      </c>
      <c r="F195" s="9" t="n">
        <v>0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customFormat="false" ht="15.75" hidden="false" customHeight="true" outlineLevel="0" collapsed="false">
      <c r="A196" s="47" t="s">
        <v>244</v>
      </c>
      <c r="B196" s="47" t="str">
        <f aca="false">TRIM(A196)</f>
        <v>مژگان فدایی منفرد</v>
      </c>
      <c r="C196" s="47" t="n">
        <v>81</v>
      </c>
      <c r="D196" s="47" t="n">
        <v>37</v>
      </c>
      <c r="E196" s="9" t="n">
        <f aca="false">IFERROR(VLOOKUP(B196,'Operators performance'!B:K,9,0),"-")</f>
        <v>2</v>
      </c>
      <c r="F196" s="9" t="n">
        <v>0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customFormat="false" ht="15.75" hidden="false" customHeight="true" outlineLevel="0" collapsed="false">
      <c r="A197" s="47" t="s">
        <v>97</v>
      </c>
      <c r="B197" s="47" t="str">
        <f aca="false">TRIM(A197)</f>
        <v>پریسا تولائی</v>
      </c>
      <c r="C197" s="47" t="n">
        <v>261</v>
      </c>
      <c r="D197" s="47" t="n">
        <v>37</v>
      </c>
      <c r="E197" s="9" t="n">
        <f aca="false">IFERROR(VLOOKUP(B197,'Operators performance'!B:K,9,0),"-")</f>
        <v>2</v>
      </c>
      <c r="F197" s="9" t="n">
        <v>0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customFormat="false" ht="15.75" hidden="false" customHeight="true" outlineLevel="0" collapsed="false">
      <c r="A198" s="47" t="s">
        <v>243</v>
      </c>
      <c r="B198" s="47" t="str">
        <f aca="false">TRIM(A198)</f>
        <v>مریم منیری</v>
      </c>
      <c r="C198" s="47" t="n">
        <v>81</v>
      </c>
      <c r="D198" s="47" t="n">
        <v>37</v>
      </c>
      <c r="E198" s="9" t="n">
        <f aca="false">IFERROR(VLOOKUP(B198,'Operators performance'!B:K,9,0),"-")</f>
        <v>2</v>
      </c>
      <c r="F198" s="9" t="n">
        <v>0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customFormat="false" ht="15.75" hidden="false" customHeight="true" outlineLevel="0" collapsed="false">
      <c r="A199" s="47" t="s">
        <v>169</v>
      </c>
      <c r="B199" s="47" t="str">
        <f aca="false">TRIM(A199)</f>
        <v>مریم بیشه بان</v>
      </c>
      <c r="C199" s="47" t="n">
        <v>135</v>
      </c>
      <c r="D199" s="47" t="n">
        <v>37</v>
      </c>
      <c r="E199" s="9" t="n">
        <f aca="false">IFERROR(VLOOKUP(B199,'Operators performance'!B:K,9,0),"-")</f>
        <v>2</v>
      </c>
      <c r="F199" s="9" t="n">
        <v>0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customFormat="false" ht="15.75" hidden="false" customHeight="true" outlineLevel="0" collapsed="false">
      <c r="A200" s="47" t="s">
        <v>222</v>
      </c>
      <c r="B200" s="47" t="str">
        <f aca="false">TRIM(A200)</f>
        <v>حدیثه آباده</v>
      </c>
      <c r="C200" s="47" t="n">
        <v>70</v>
      </c>
      <c r="D200" s="47" t="n">
        <v>37</v>
      </c>
      <c r="E200" s="9" t="n">
        <f aca="false">IFERROR(VLOOKUP(B200,'Operators performance'!B:K,9,0),"-")</f>
        <v>2</v>
      </c>
      <c r="F200" s="9" t="n">
        <v>0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customFormat="false" ht="15.75" hidden="false" customHeight="true" outlineLevel="0" collapsed="false">
      <c r="A201" s="47" t="s">
        <v>223</v>
      </c>
      <c r="B201" s="47" t="str">
        <f aca="false">TRIM(A201)</f>
        <v>حسین موذنی فرد</v>
      </c>
      <c r="C201" s="47" t="n">
        <v>68</v>
      </c>
      <c r="D201" s="47" t="n">
        <v>38</v>
      </c>
      <c r="E201" s="9" t="n">
        <f aca="false">IFERROR(VLOOKUP(B201,'Operators performance'!B:K,9,0),"-")</f>
        <v>2</v>
      </c>
      <c r="F201" s="9" t="n">
        <v>0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customFormat="false" ht="15.75" hidden="false" customHeight="true" outlineLevel="0" collapsed="false">
      <c r="A202" s="47" t="s">
        <v>168</v>
      </c>
      <c r="B202" s="47" t="str">
        <f aca="false">TRIM(A202)</f>
        <v>مرکز صدور علی دادی | ستاره علی دادی</v>
      </c>
      <c r="C202" s="47" t="n">
        <v>136</v>
      </c>
      <c r="D202" s="47" t="n">
        <v>38</v>
      </c>
      <c r="E202" s="9" t="n">
        <f aca="false">IFERROR(VLOOKUP(B202,'Operators performance'!B:K,9,0),"-")</f>
        <v>2</v>
      </c>
      <c r="F202" s="9" t="n">
        <v>0</v>
      </c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 customFormat="false" ht="15.75" hidden="false" customHeight="true" outlineLevel="0" collapsed="false">
      <c r="A203" s="47" t="s">
        <v>268</v>
      </c>
      <c r="B203" s="47" t="str">
        <f aca="false">TRIM(A203)</f>
        <v>سکینه کوپاهی</v>
      </c>
      <c r="C203" s="47" t="n">
        <v>29</v>
      </c>
      <c r="D203" s="47" t="n">
        <v>38</v>
      </c>
      <c r="E203" s="9" t="n">
        <f aca="false">IFERROR(VLOOKUP(B203,'Operators performance'!B:K,9,0),"-")</f>
        <v>2</v>
      </c>
      <c r="F203" s="9" t="n">
        <v>0</v>
      </c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customFormat="false" ht="15.75" hidden="false" customHeight="true" outlineLevel="0" collapsed="false">
      <c r="A204" s="47" t="s">
        <v>134</v>
      </c>
      <c r="B204" s="47" t="str">
        <f aca="false">TRIM(A204)</f>
        <v>سهراب ایروانی</v>
      </c>
      <c r="C204" s="47" t="n">
        <v>166</v>
      </c>
      <c r="D204" s="47" t="n">
        <v>38</v>
      </c>
      <c r="E204" s="9" t="n">
        <f aca="false">IFERROR(VLOOKUP(B204,'Operators performance'!B:K,9,0),"-")</f>
        <v>2</v>
      </c>
      <c r="F204" s="9" t="n">
        <v>0</v>
      </c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customFormat="false" ht="15.75" hidden="false" customHeight="true" outlineLevel="0" collapsed="false">
      <c r="A205" s="47" t="s">
        <v>152</v>
      </c>
      <c r="B205" s="47" t="str">
        <f aca="false">TRIM(A205)</f>
        <v>حامد رضایی</v>
      </c>
      <c r="C205" s="47" t="n">
        <v>133</v>
      </c>
      <c r="D205" s="47" t="n">
        <v>39</v>
      </c>
      <c r="E205" s="9" t="n">
        <f aca="false">IFERROR(VLOOKUP(B205,'Operators performance'!B:K,9,0),"-")</f>
        <v>2</v>
      </c>
      <c r="F205" s="9" t="n">
        <v>0</v>
      </c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customFormat="false" ht="15.75" hidden="false" customHeight="true" outlineLevel="0" collapsed="false">
      <c r="A206" s="47" t="s">
        <v>108</v>
      </c>
      <c r="B206" s="47" t="str">
        <f aca="false">TRIM(A206)</f>
        <v>کوثر بلالی</v>
      </c>
      <c r="C206" s="47" t="n">
        <v>212</v>
      </c>
      <c r="D206" s="47" t="n">
        <v>38</v>
      </c>
      <c r="E206" s="9" t="n">
        <f aca="false">IFERROR(VLOOKUP(B206,'Operators performance'!B:K,9,0),"-")</f>
        <v>2</v>
      </c>
      <c r="F206" s="9" t="n">
        <v>0</v>
      </c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customFormat="false" ht="15.75" hidden="false" customHeight="true" outlineLevel="0" collapsed="false">
      <c r="A207" s="47" t="s">
        <v>102</v>
      </c>
      <c r="B207" s="47" t="str">
        <f aca="false">TRIM(A207)</f>
        <v>زهرا طاهری</v>
      </c>
      <c r="C207" s="47" t="n">
        <v>248</v>
      </c>
      <c r="D207" s="47" t="n">
        <v>38</v>
      </c>
      <c r="E207" s="9" t="n">
        <f aca="false">IFERROR(VLOOKUP(B207,'Operators performance'!B:K,9,0),"-")</f>
        <v>2</v>
      </c>
      <c r="F207" s="9" t="n">
        <v>0</v>
      </c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customFormat="false" ht="15.75" hidden="false" customHeight="true" outlineLevel="0" collapsed="false">
      <c r="A208" s="47" t="s">
        <v>281</v>
      </c>
      <c r="B208" s="47" t="str">
        <f aca="false">TRIM(A208)</f>
        <v>مرکز صدور شاه محمدی | مهدیس کامران</v>
      </c>
      <c r="C208" s="47" t="n">
        <v>51</v>
      </c>
      <c r="D208" s="47" t="n">
        <v>39</v>
      </c>
      <c r="E208" s="9" t="n">
        <f aca="false">IFERROR(VLOOKUP(B208,'Operators performance'!B:K,9,0),"-")</f>
        <v>2</v>
      </c>
      <c r="F208" s="9" t="n">
        <v>0</v>
      </c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customFormat="false" ht="15.75" hidden="false" customHeight="true" outlineLevel="0" collapsed="false">
      <c r="A209" s="47" t="s">
        <v>225</v>
      </c>
      <c r="B209" s="47" t="str">
        <f aca="false">TRIM(A209)</f>
        <v>زهرا صحرایی</v>
      </c>
      <c r="C209" s="47" t="n">
        <v>71</v>
      </c>
      <c r="D209" s="47" t="n">
        <v>39</v>
      </c>
      <c r="E209" s="9" t="n">
        <f aca="false">IFERROR(VLOOKUP(B209,'Operators performance'!B:K,9,0),"-")</f>
        <v>2</v>
      </c>
      <c r="F209" s="9" t="n">
        <v>0</v>
      </c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customFormat="false" ht="15.75" hidden="false" customHeight="true" outlineLevel="0" collapsed="false">
      <c r="A210" s="47" t="s">
        <v>265</v>
      </c>
      <c r="B210" s="47" t="str">
        <f aca="false">TRIM(A210)</f>
        <v>زهره خانزادی</v>
      </c>
      <c r="C210" s="47" t="n">
        <v>47</v>
      </c>
      <c r="D210" s="47" t="n">
        <v>39</v>
      </c>
      <c r="E210" s="9" t="n">
        <f aca="false">IFERROR(VLOOKUP(B210,'Operators performance'!B:K,9,0),"-")</f>
        <v>2</v>
      </c>
      <c r="F210" s="9" t="n">
        <v>0</v>
      </c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customFormat="false" ht="15.75" hidden="false" customHeight="true" outlineLevel="0" collapsed="false">
      <c r="A211" s="47" t="s">
        <v>228</v>
      </c>
      <c r="B211" s="47" t="str">
        <f aca="false">TRIM(A211)</f>
        <v>شیرین امیری</v>
      </c>
      <c r="C211" s="47" t="n">
        <v>80</v>
      </c>
      <c r="D211" s="47" t="n">
        <v>39</v>
      </c>
      <c r="E211" s="9" t="n">
        <f aca="false">IFERROR(VLOOKUP(B211,'Operators performance'!B:K,9,0),"-")</f>
        <v>2</v>
      </c>
      <c r="F211" s="9" t="n">
        <v>0</v>
      </c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customFormat="false" ht="15.75" hidden="false" customHeight="true" outlineLevel="0" collapsed="false">
      <c r="A212" s="47" t="s">
        <v>267</v>
      </c>
      <c r="B212" s="47" t="str">
        <f aca="false">TRIM(A212)</f>
        <v>سعید اسلاملوئیان</v>
      </c>
      <c r="C212" s="47" t="n">
        <v>18</v>
      </c>
      <c r="D212" s="47" t="n">
        <v>39</v>
      </c>
      <c r="E212" s="9" t="n">
        <f aca="false">IFERROR(VLOOKUP(B212,'Operators performance'!B:K,9,0),"-")</f>
        <v>2</v>
      </c>
      <c r="F212" s="9" t="n">
        <v>0</v>
      </c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customFormat="false" ht="15.75" hidden="false" customHeight="true" outlineLevel="0" collapsed="false">
      <c r="A213" s="47" t="s">
        <v>271</v>
      </c>
      <c r="B213" s="47" t="str">
        <f aca="false">TRIM(A213)</f>
        <v>سید مهدی موسوی سوها</v>
      </c>
      <c r="C213" s="47" t="n">
        <v>15</v>
      </c>
      <c r="D213" s="47" t="n">
        <v>39</v>
      </c>
      <c r="E213" s="9" t="n">
        <f aca="false">IFERROR(VLOOKUP(B213,'Operators performance'!B:K,9,0),"-")</f>
        <v>2</v>
      </c>
      <c r="F213" s="9" t="n">
        <v>0</v>
      </c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customFormat="false" ht="15.75" hidden="false" customHeight="true" outlineLevel="0" collapsed="false">
      <c r="A214" s="47" t="s">
        <v>254</v>
      </c>
      <c r="B214" s="47" t="str">
        <f aca="false">TRIM(A214)</f>
        <v>نیلوفر لشنی</v>
      </c>
      <c r="C214" s="47" t="n">
        <v>83</v>
      </c>
      <c r="D214" s="47" t="n">
        <v>39</v>
      </c>
      <c r="E214" s="9" t="n">
        <f aca="false">IFERROR(VLOOKUP(B214,'Operators performance'!B:K,9,0),"-")</f>
        <v>2</v>
      </c>
      <c r="F214" s="9" t="n">
        <v>0</v>
      </c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 customFormat="false" ht="15.75" hidden="false" customHeight="true" outlineLevel="0" collapsed="false">
      <c r="A215" s="47" t="s">
        <v>280</v>
      </c>
      <c r="B215" s="47" t="str">
        <f aca="false">TRIM(A215)</f>
        <v>مرکز صدور رضوانی | مینا آقاجانی</v>
      </c>
      <c r="C215" s="47" t="n">
        <v>58</v>
      </c>
      <c r="D215" s="47" t="n">
        <v>39</v>
      </c>
      <c r="E215" s="9" t="n">
        <f aca="false">IFERROR(VLOOKUP(B215,'Operators performance'!B:K,9,0),"-")</f>
        <v>2</v>
      </c>
      <c r="F215" s="9" t="n">
        <v>0</v>
      </c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customFormat="false" ht="15.75" hidden="false" customHeight="true" outlineLevel="0" collapsed="false">
      <c r="A216" s="47" t="s">
        <v>274</v>
      </c>
      <c r="B216" s="47" t="str">
        <f aca="false">TRIM(A216)</f>
        <v>شیما ساعدی</v>
      </c>
      <c r="C216" s="47" t="n">
        <v>51</v>
      </c>
      <c r="D216" s="47" t="n">
        <v>39</v>
      </c>
      <c r="E216" s="9" t="n">
        <f aca="false">IFERROR(VLOOKUP(B216,'Operators performance'!B:K,9,0),"-")</f>
        <v>2</v>
      </c>
      <c r="F216" s="9" t="n">
        <v>0</v>
      </c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customFormat="false" ht="15.75" hidden="false" customHeight="true" outlineLevel="0" collapsed="false">
      <c r="A217" s="47" t="s">
        <v>260</v>
      </c>
      <c r="B217" s="47" t="str">
        <f aca="false">TRIM(A217)</f>
        <v>پویا رحمانی</v>
      </c>
      <c r="C217" s="47" t="n">
        <v>56</v>
      </c>
      <c r="D217" s="47" t="n">
        <v>39</v>
      </c>
      <c r="E217" s="9" t="n">
        <f aca="false">IFERROR(VLOOKUP(B217,'Operators performance'!B:K,9,0),"-")</f>
        <v>2</v>
      </c>
      <c r="F217" s="9" t="n">
        <v>0</v>
      </c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 customFormat="false" ht="15.75" hidden="false" customHeight="true" outlineLevel="0" collapsed="false">
      <c r="A218" s="47" t="s">
        <v>245</v>
      </c>
      <c r="B218" s="47" t="str">
        <f aca="false">TRIM(A218)</f>
        <v>ملیکا مقدم</v>
      </c>
      <c r="C218" s="47" t="n">
        <v>97</v>
      </c>
      <c r="D218" s="47" t="n">
        <v>40</v>
      </c>
      <c r="E218" s="9" t="n">
        <f aca="false">IFERROR(VLOOKUP(B218,'Operators performance'!B:K,9,0),"-")</f>
        <v>1</v>
      </c>
      <c r="F218" s="9" t="n">
        <v>0</v>
      </c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customFormat="false" ht="15.75" hidden="false" customHeight="true" outlineLevel="0" collapsed="false">
      <c r="A219" s="47" t="s">
        <v>270</v>
      </c>
      <c r="B219" s="47" t="str">
        <f aca="false">TRIM(A219)</f>
        <v>سهیلا ناکینی</v>
      </c>
      <c r="C219" s="47" t="n">
        <v>66</v>
      </c>
      <c r="D219" s="47" t="n">
        <v>40</v>
      </c>
      <c r="E219" s="9" t="n">
        <f aca="false">IFERROR(VLOOKUP(B219,'Operators performance'!B:K,9,0),"-")</f>
        <v>1</v>
      </c>
      <c r="F219" s="9" t="n">
        <v>0</v>
      </c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customFormat="false" ht="15.75" hidden="false" customHeight="true" outlineLevel="0" collapsed="false">
      <c r="A220" s="47" t="s">
        <v>314</v>
      </c>
      <c r="B220" s="47" t="str">
        <f aca="false">TRIM(A220)</f>
        <v>مرکز صدور یارعلی | متین کیومرثی</v>
      </c>
      <c r="C220" s="47" t="n">
        <v>59</v>
      </c>
      <c r="D220" s="47" t="n">
        <v>40</v>
      </c>
      <c r="E220" s="9" t="n">
        <f aca="false">IFERROR(VLOOKUP(B220,'Operators performance'!B:K,9,0),"-")</f>
        <v>1</v>
      </c>
      <c r="F220" s="9" t="n">
        <v>0</v>
      </c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 customFormat="false" ht="15.75" hidden="false" customHeight="true" outlineLevel="0" collapsed="false">
      <c r="A221" s="47" t="s">
        <v>273</v>
      </c>
      <c r="B221" s="47" t="str">
        <f aca="false">TRIM(A221)</f>
        <v>شقایق طهماسبی</v>
      </c>
      <c r="C221" s="47" t="n">
        <v>73</v>
      </c>
      <c r="D221" s="47" t="n">
        <v>40</v>
      </c>
      <c r="E221" s="9" t="n">
        <f aca="false">IFERROR(VLOOKUP(B221,'Operators performance'!B:K,9,0),"-")</f>
        <v>1</v>
      </c>
      <c r="F221" s="9" t="n">
        <v>0</v>
      </c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 customFormat="false" ht="15.75" hidden="false" customHeight="true" outlineLevel="0" collapsed="false">
      <c r="A222" s="47" t="s">
        <v>302</v>
      </c>
      <c r="B222" s="47" t="str">
        <f aca="false">TRIM(A222)</f>
        <v>فاطمه منیری</v>
      </c>
      <c r="C222" s="47" t="n">
        <v>57</v>
      </c>
      <c r="D222" s="47" t="n">
        <v>40</v>
      </c>
      <c r="E222" s="9" t="n">
        <f aca="false">IFERROR(VLOOKUP(B222,'Operators performance'!B:K,9,0),"-")</f>
        <v>1</v>
      </c>
      <c r="F222" s="9" t="n">
        <v>0</v>
      </c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 customFormat="false" ht="15.75" hidden="false" customHeight="true" outlineLevel="0" collapsed="false">
      <c r="A223" s="47" t="s">
        <v>304</v>
      </c>
      <c r="B223" s="47" t="str">
        <f aca="false">TRIM(A223)</f>
        <v>مبینا کریمی</v>
      </c>
      <c r="C223" s="47" t="n">
        <v>25</v>
      </c>
      <c r="D223" s="47" t="n">
        <v>40</v>
      </c>
      <c r="E223" s="9" t="n">
        <f aca="false">IFERROR(VLOOKUP(B223,'Operators performance'!B:K,9,0),"-")</f>
        <v>1</v>
      </c>
      <c r="F223" s="9" t="n">
        <v>0</v>
      </c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 customFormat="false" ht="15.75" hidden="false" customHeight="true" outlineLevel="0" collapsed="false">
      <c r="A224" s="47" t="s">
        <v>313</v>
      </c>
      <c r="B224" s="47" t="str">
        <f aca="false">TRIM(A224)</f>
        <v>مرکز صدور کاظمی | اعظم قنبری</v>
      </c>
      <c r="C224" s="47" t="n">
        <v>45</v>
      </c>
      <c r="D224" s="47" t="n">
        <v>41</v>
      </c>
      <c r="E224" s="9" t="n">
        <f aca="false">IFERROR(VLOOKUP(B224,'Operators performance'!B:K,9,0),"-")</f>
        <v>1</v>
      </c>
      <c r="F224" s="9" t="n">
        <v>0</v>
      </c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 customFormat="false" ht="15.75" hidden="false" customHeight="true" outlineLevel="0" collapsed="false">
      <c r="A225" s="47" t="s">
        <v>269</v>
      </c>
      <c r="B225" s="47" t="str">
        <f aca="false">TRIM(A225)</f>
        <v>سمانه بروغنی</v>
      </c>
      <c r="C225" s="47" t="n">
        <v>69</v>
      </c>
      <c r="D225" s="47" t="n">
        <v>41</v>
      </c>
      <c r="E225" s="9" t="n">
        <f aca="false">IFERROR(VLOOKUP(B225,'Operators performance'!B:K,9,0),"-")</f>
        <v>1</v>
      </c>
      <c r="F225" s="9" t="n">
        <v>0</v>
      </c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 customFormat="false" ht="15.75" hidden="false" customHeight="true" outlineLevel="0" collapsed="false">
      <c r="A226" s="47" t="s">
        <v>143</v>
      </c>
      <c r="B226" s="47" t="str">
        <f aca="false">TRIM(A226)</f>
        <v>مهدی عبدی</v>
      </c>
      <c r="C226" s="47" t="n">
        <v>185</v>
      </c>
      <c r="D226" s="47" t="n">
        <v>42</v>
      </c>
      <c r="E226" s="9" t="n">
        <f aca="false">IFERROR(VLOOKUP(B226,'Operators performance'!B:K,9,0),"-")</f>
        <v>1</v>
      </c>
      <c r="F226" s="9" t="n">
        <v>0</v>
      </c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 customFormat="false" ht="15.75" hidden="false" customHeight="true" outlineLevel="0" collapsed="false">
      <c r="A227" s="47" t="s">
        <v>246</v>
      </c>
      <c r="B227" s="47" t="str">
        <f aca="false">TRIM(A227)</f>
        <v>مهدیه حسینی</v>
      </c>
      <c r="C227" s="47" t="n">
        <v>118</v>
      </c>
      <c r="D227" s="47" t="n">
        <v>41</v>
      </c>
      <c r="E227" s="9" t="n">
        <f aca="false">IFERROR(VLOOKUP(B227,'Operators performance'!B:K,9,0),"-")</f>
        <v>1</v>
      </c>
      <c r="F227" s="9" t="n">
        <v>0</v>
      </c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 customFormat="false" ht="15.75" hidden="false" customHeight="true" outlineLevel="0" collapsed="false">
      <c r="A228" s="47" t="s">
        <v>198</v>
      </c>
      <c r="B228" s="47" t="str">
        <f aca="false">TRIM(A228)</f>
        <v>فاطمه خوشرودی</v>
      </c>
      <c r="C228" s="47" t="n">
        <v>127</v>
      </c>
      <c r="D228" s="47" t="n">
        <v>41</v>
      </c>
      <c r="E228" s="9" t="n">
        <f aca="false">IFERROR(VLOOKUP(B228,'Operators performance'!B:K,9,0),"-")</f>
        <v>1</v>
      </c>
      <c r="F228" s="9" t="n">
        <v>0</v>
      </c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 customFormat="false" ht="15.75" hidden="false" customHeight="true" outlineLevel="0" collapsed="false">
      <c r="A229" s="47" t="s">
        <v>253</v>
      </c>
      <c r="B229" s="47" t="str">
        <f aca="false">TRIM(A229)</f>
        <v>نیلوفر عباس نژاد کنجین</v>
      </c>
      <c r="C229" s="47" t="n">
        <v>119</v>
      </c>
      <c r="D229" s="47" t="n">
        <v>42</v>
      </c>
      <c r="E229" s="9" t="n">
        <f aca="false">IFERROR(VLOOKUP(B229,'Operators performance'!B:K,9,0),"-")</f>
        <v>1</v>
      </c>
      <c r="F229" s="9" t="n">
        <v>0</v>
      </c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 customFormat="false" ht="15.75" hidden="false" customHeight="true" outlineLevel="0" collapsed="false">
      <c r="A230" s="47" t="s">
        <v>256</v>
      </c>
      <c r="B230" s="47" t="str">
        <f aca="false">TRIM(A230)</f>
        <v>الهه ذبیحی</v>
      </c>
      <c r="C230" s="47" t="n">
        <v>75</v>
      </c>
      <c r="D230" s="47" t="n">
        <v>42</v>
      </c>
      <c r="E230" s="9" t="n">
        <f aca="false">IFERROR(VLOOKUP(B230,'Operators performance'!B:K,9,0),"-")</f>
        <v>1</v>
      </c>
      <c r="F230" s="9" t="n">
        <v>0</v>
      </c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 customFormat="false" ht="15.75" hidden="false" customHeight="true" outlineLevel="0" collapsed="false">
      <c r="A231" s="47" t="s">
        <v>309</v>
      </c>
      <c r="B231" s="47" t="str">
        <f aca="false">TRIM(A231)</f>
        <v>مرکز صدور پیرهادی | زهرا پیرهادی</v>
      </c>
      <c r="C231" s="47" t="n">
        <v>10</v>
      </c>
      <c r="D231" s="47" t="n">
        <v>43</v>
      </c>
      <c r="E231" s="9" t="n">
        <f aca="false">IFERROR(VLOOKUP(B231,'Operators performance'!B:K,9,0),"-")</f>
        <v>1</v>
      </c>
      <c r="F231" s="9" t="n">
        <v>0</v>
      </c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 customFormat="false" ht="15.75" hidden="false" customHeight="true" outlineLevel="0" collapsed="false">
      <c r="A232" s="47" t="s">
        <v>322</v>
      </c>
      <c r="B232" s="47" t="str">
        <f aca="false">TRIM(A232)</f>
        <v>نرمین سرمستی</v>
      </c>
      <c r="C232" s="47" t="n">
        <v>54</v>
      </c>
      <c r="D232" s="47" t="n">
        <v>43</v>
      </c>
      <c r="E232" s="9" t="n">
        <f aca="false">IFERROR(VLOOKUP(B232,'Operators performance'!B:K,9,0),"-")</f>
        <v>1</v>
      </c>
      <c r="F232" s="9" t="n">
        <v>0</v>
      </c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 customFormat="false" ht="15.75" hidden="false" customHeight="true" outlineLevel="0" collapsed="false">
      <c r="A233" s="47" t="s">
        <v>277</v>
      </c>
      <c r="B233" s="47" t="str">
        <f aca="false">TRIM(A233)</f>
        <v>محمد علی عظیمی</v>
      </c>
      <c r="C233" s="47" t="n">
        <v>76</v>
      </c>
      <c r="D233" s="47" t="n">
        <v>43</v>
      </c>
      <c r="E233" s="9" t="n">
        <f aca="false">IFERROR(VLOOKUP(B233,'Operators performance'!B:K,9,0),"-")</f>
        <v>1</v>
      </c>
      <c r="F233" s="9" t="n">
        <v>0</v>
      </c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 customFormat="false" ht="15.75" hidden="false" customHeight="true" outlineLevel="0" collapsed="false">
      <c r="A234" s="47" t="s">
        <v>137</v>
      </c>
      <c r="B234" s="47" t="str">
        <f aca="false">TRIM(A234)</f>
        <v>محسن عبدی</v>
      </c>
      <c r="C234" s="47" t="n">
        <v>200</v>
      </c>
      <c r="D234" s="47" t="n">
        <v>44</v>
      </c>
      <c r="E234" s="9" t="n">
        <f aca="false">IFERROR(VLOOKUP(B234,'Operators performance'!B:K,9,0),"-")</f>
        <v>1</v>
      </c>
      <c r="F234" s="9" t="n">
        <v>0</v>
      </c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 customFormat="false" ht="15.75" hidden="false" customHeight="true" outlineLevel="0" collapsed="false">
      <c r="A235" s="47" t="s">
        <v>294</v>
      </c>
      <c r="B235" s="47" t="str">
        <f aca="false">TRIM(A235)</f>
        <v>ریحانه روئین تن</v>
      </c>
      <c r="C235" s="47" t="n">
        <v>22</v>
      </c>
      <c r="D235" s="47" t="n">
        <v>45</v>
      </c>
      <c r="E235" s="9" t="n">
        <f aca="false">IFERROR(VLOOKUP(B235,'Operators performance'!B:K,9,0),"-")</f>
        <v>1</v>
      </c>
      <c r="F235" s="9" t="n">
        <v>0</v>
      </c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 customFormat="false" ht="15.75" hidden="false" customHeight="true" outlineLevel="0" collapsed="false">
      <c r="A236" s="47" t="s">
        <v>303</v>
      </c>
      <c r="B236" s="47" t="str">
        <f aca="false">TRIM(A236)</f>
        <v>لیلا پاشایی</v>
      </c>
      <c r="C236" s="47" t="n">
        <v>49</v>
      </c>
      <c r="D236" s="47" t="n">
        <v>45</v>
      </c>
      <c r="E236" s="9" t="n">
        <f aca="false">IFERROR(VLOOKUP(B236,'Operators performance'!B:K,9,0),"-")</f>
        <v>1</v>
      </c>
      <c r="F236" s="9" t="n">
        <v>0</v>
      </c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 customFormat="false" ht="15.75" hidden="false" customHeight="true" outlineLevel="0" collapsed="false">
      <c r="A237" s="47" t="s">
        <v>305</v>
      </c>
      <c r="B237" s="47" t="str">
        <f aca="false">TRIM(A237)</f>
        <v>مجتبی بابالو</v>
      </c>
      <c r="C237" s="47" t="n">
        <v>17</v>
      </c>
      <c r="D237" s="47" t="n">
        <v>46</v>
      </c>
      <c r="E237" s="9" t="n">
        <f aca="false">IFERROR(VLOOKUP(B237,'Operators performance'!B:K,9,0),"-")</f>
        <v>1</v>
      </c>
      <c r="F237" s="9" t="n">
        <v>0</v>
      </c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 customFormat="false" ht="15.75" hidden="false" customHeight="true" outlineLevel="0" collapsed="false">
      <c r="A238" s="47" t="s">
        <v>292</v>
      </c>
      <c r="B238" s="47" t="str">
        <f aca="false">TRIM(A238)</f>
        <v>پروین شجاعی</v>
      </c>
      <c r="C238" s="47" t="n">
        <v>23</v>
      </c>
      <c r="D238" s="47" t="n">
        <v>46</v>
      </c>
      <c r="E238" s="9" t="n">
        <f aca="false">IFERROR(VLOOKUP(B238,'Operators performance'!B:K,9,0),"-")</f>
        <v>1</v>
      </c>
      <c r="F238" s="9" t="n">
        <v>0</v>
      </c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 customFormat="false" ht="15.75" hidden="false" customHeight="true" outlineLevel="0" collapsed="false">
      <c r="A239" s="47" t="s">
        <v>235</v>
      </c>
      <c r="B239" s="47" t="str">
        <f aca="false">TRIM(A239)</f>
        <v>لیلا عظیمی</v>
      </c>
      <c r="C239" s="47" t="n">
        <v>104</v>
      </c>
      <c r="D239" s="47" t="n">
        <v>47</v>
      </c>
      <c r="E239" s="9" t="n">
        <f aca="false">IFERROR(VLOOKUP(B239,'Operators performance'!B:K,9,0),"-")</f>
        <v>1</v>
      </c>
      <c r="F239" s="9" t="n">
        <v>0</v>
      </c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 customFormat="false" ht="15.75" hidden="false" customHeight="true" outlineLevel="0" collapsed="false">
      <c r="A240" s="47" t="s">
        <v>259</v>
      </c>
      <c r="B240" s="47" t="str">
        <f aca="false">TRIM(A240)</f>
        <v>پریسا تعبدی</v>
      </c>
      <c r="C240" s="47" t="n">
        <v>78</v>
      </c>
      <c r="D240" s="47" t="n">
        <v>47</v>
      </c>
      <c r="E240" s="9" t="n">
        <f aca="false">IFERROR(VLOOKUP(B240,'Operators performance'!B:K,9,0),"-")</f>
        <v>1</v>
      </c>
      <c r="F240" s="9" t="n">
        <v>0</v>
      </c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 customFormat="false" ht="15.75" hidden="false" customHeight="true" outlineLevel="0" collapsed="false">
      <c r="A241" s="47" t="s">
        <v>321</v>
      </c>
      <c r="B241" s="47" t="str">
        <f aca="false">TRIM(A241)</f>
        <v>نرگس احمدی</v>
      </c>
      <c r="C241" s="47" t="n">
        <v>27</v>
      </c>
      <c r="D241" s="47" t="n">
        <v>48</v>
      </c>
      <c r="E241" s="9" t="n">
        <f aca="false">IFERROR(VLOOKUP(B241,'Operators performance'!B:K,9,0),"-")</f>
        <v>1</v>
      </c>
      <c r="F241" s="9" t="n">
        <v>0</v>
      </c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 customFormat="false" ht="15.75" hidden="false" customHeight="true" outlineLevel="0" collapsed="false">
      <c r="A242" s="47" t="s">
        <v>325</v>
      </c>
      <c r="B242" s="47" t="str">
        <f aca="false">TRIM(A242)</f>
        <v>مرکز صدور خوش سیرت | مهتاب سهیل رجبی</v>
      </c>
      <c r="C242" s="47" t="n">
        <v>26</v>
      </c>
      <c r="D242" s="47" t="n">
        <v>48</v>
      </c>
      <c r="E242" s="9" t="n">
        <f aca="false">IFERROR(VLOOKUP(B242,'Operators performance'!B:K,9,0),"-")</f>
        <v>1</v>
      </c>
      <c r="F242" s="9" t="n">
        <v>0</v>
      </c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 customFormat="false" ht="15.75" hidden="false" customHeight="true" outlineLevel="0" collapsed="false">
      <c r="A243" s="47" t="s">
        <v>291</v>
      </c>
      <c r="B243" s="47" t="str">
        <f aca="false">TRIM(A243)</f>
        <v>بهار آرین فر</v>
      </c>
      <c r="C243" s="47" t="n">
        <v>43</v>
      </c>
      <c r="D243" s="47" t="n">
        <v>47</v>
      </c>
      <c r="E243" s="9" t="n">
        <f aca="false">IFERROR(VLOOKUP(B243,'Operators performance'!B:K,9,0),"-")</f>
        <v>1</v>
      </c>
      <c r="F243" s="9" t="n">
        <v>0</v>
      </c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 customFormat="false" ht="15.75" hidden="false" customHeight="true" outlineLevel="0" collapsed="false">
      <c r="A244" s="47" t="s">
        <v>301</v>
      </c>
      <c r="B244" s="47" t="str">
        <f aca="false">TRIM(A244)</f>
        <v>فاطمه براری</v>
      </c>
      <c r="C244" s="47" t="n">
        <v>54</v>
      </c>
      <c r="D244" s="47" t="n">
        <v>48</v>
      </c>
      <c r="E244" s="9" t="n">
        <f aca="false">IFERROR(VLOOKUP(B244,'Operators performance'!B:K,9,0),"-")</f>
        <v>1</v>
      </c>
      <c r="F244" s="9" t="n">
        <v>0</v>
      </c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 customFormat="false" ht="15.75" hidden="false" customHeight="true" outlineLevel="0" collapsed="false">
      <c r="A245" s="47" t="s">
        <v>287</v>
      </c>
      <c r="B245" s="47" t="str">
        <f aca="false">TRIM(A245)</f>
        <v>میلاد زدوار</v>
      </c>
      <c r="C245" s="47" t="n">
        <v>64</v>
      </c>
      <c r="D245" s="47" t="n">
        <v>48</v>
      </c>
      <c r="E245" s="9" t="n">
        <f aca="false">IFERROR(VLOOKUP(B245,'Operators performance'!B:K,9,0),"-")</f>
        <v>1</v>
      </c>
      <c r="F245" s="9" t="n">
        <v>0</v>
      </c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 customFormat="false" ht="15.75" hidden="false" customHeight="true" outlineLevel="0" collapsed="false">
      <c r="A246" s="47" t="s">
        <v>326</v>
      </c>
      <c r="B246" s="47" t="str">
        <f aca="false">TRIM(A246)</f>
        <v>مرکز صدور امیرموسوی| سید مهدی امیرموسوی</v>
      </c>
      <c r="C246" s="47" t="n">
        <v>6</v>
      </c>
      <c r="D246" s="47" t="n">
        <v>48</v>
      </c>
      <c r="E246" s="9" t="n">
        <f aca="false">IFERROR(VLOOKUP(B246,'Operators performance'!B:K,9,0),"-")</f>
        <v>1</v>
      </c>
      <c r="F246" s="9" t="n">
        <v>0</v>
      </c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 customFormat="false" ht="15.75" hidden="false" customHeight="true" outlineLevel="0" collapsed="false">
      <c r="A247" s="47" t="s">
        <v>319</v>
      </c>
      <c r="B247" s="47" t="str">
        <f aca="false">TRIM(A247)</f>
        <v>نازنین خالقی</v>
      </c>
      <c r="C247" s="47" t="n">
        <v>14</v>
      </c>
      <c r="D247" s="47" t="n">
        <v>49</v>
      </c>
      <c r="E247" s="9" t="n">
        <f aca="false">IFERROR(VLOOKUP(B247,'Operators performance'!B:K,9,0),"-")</f>
        <v>1</v>
      </c>
      <c r="F247" s="9" t="n">
        <v>0</v>
      </c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 customFormat="false" ht="15.75" hidden="false" customHeight="true" outlineLevel="0" collapsed="false">
      <c r="A248" s="47" t="s">
        <v>284</v>
      </c>
      <c r="B248" s="47" t="str">
        <f aca="false">TRIM(A248)</f>
        <v>معصومه مهری</v>
      </c>
      <c r="C248" s="47" t="n">
        <v>79</v>
      </c>
      <c r="D248" s="47" t="n">
        <v>49</v>
      </c>
      <c r="E248" s="9" t="n">
        <f aca="false">IFERROR(VLOOKUP(B248,'Operators performance'!B:K,9,0),"-")</f>
        <v>1</v>
      </c>
      <c r="F248" s="9" t="n">
        <v>0</v>
      </c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 customFormat="false" ht="15.75" hidden="false" customHeight="true" outlineLevel="0" collapsed="false">
      <c r="A249" s="47" t="s">
        <v>266</v>
      </c>
      <c r="B249" s="47" t="str">
        <f aca="false">TRIM(A249)</f>
        <v>سپیده ابراهیم پور مقدم</v>
      </c>
      <c r="C249" s="47" t="n">
        <v>78</v>
      </c>
      <c r="D249" s="47" t="n">
        <v>49</v>
      </c>
      <c r="E249" s="9" t="n">
        <f aca="false">IFERROR(VLOOKUP(B249,'Operators performance'!B:K,9,0),"-")</f>
        <v>1</v>
      </c>
      <c r="F249" s="9" t="n">
        <v>0</v>
      </c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 customFormat="false" ht="15.75" hidden="false" customHeight="true" outlineLevel="0" collapsed="false">
      <c r="A250" s="47" t="s">
        <v>320</v>
      </c>
      <c r="B250" s="47" t="str">
        <f aca="false">TRIM(A250)</f>
        <v>نازنین نیکوبین</v>
      </c>
      <c r="C250" s="47" t="n">
        <v>26</v>
      </c>
      <c r="D250" s="47" t="n">
        <v>50</v>
      </c>
      <c r="E250" s="9" t="n">
        <f aca="false">IFERROR(VLOOKUP(B250,'Operators performance'!B:K,9,0),"-")</f>
        <v>1</v>
      </c>
      <c r="F250" s="9" t="n">
        <v>0</v>
      </c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 customFormat="false" ht="15.75" hidden="false" customHeight="true" outlineLevel="0" collapsed="false">
      <c r="A251" s="47" t="s">
        <v>288</v>
      </c>
      <c r="B251" s="47" t="str">
        <f aca="false">TRIM(A251)</f>
        <v>هیوا شیری</v>
      </c>
      <c r="C251" s="47" t="n">
        <v>68</v>
      </c>
      <c r="D251" s="47" t="n">
        <v>50</v>
      </c>
      <c r="E251" s="9" t="n">
        <f aca="false">IFERROR(VLOOKUP(B251,'Operators performance'!B:K,9,0),"-")</f>
        <v>1</v>
      </c>
      <c r="F251" s="9" t="n">
        <v>0</v>
      </c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 customFormat="false" ht="15.75" hidden="false" customHeight="true" outlineLevel="0" collapsed="false">
      <c r="A252" s="47" t="s">
        <v>316</v>
      </c>
      <c r="B252" s="47" t="str">
        <f aca="false">TRIM(A252)</f>
        <v>مهدی ایزدی</v>
      </c>
      <c r="C252" s="47" t="n">
        <v>8</v>
      </c>
      <c r="D252" s="47" t="n">
        <v>50</v>
      </c>
      <c r="E252" s="9" t="n">
        <f aca="false">IFERROR(VLOOKUP(B252,'Operators performance'!B:K,9,0),"-")</f>
        <v>1</v>
      </c>
      <c r="F252" s="9" t="n">
        <v>0</v>
      </c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 customFormat="false" ht="15.75" hidden="false" customHeight="true" outlineLevel="0" collapsed="false">
      <c r="A253" s="47" t="s">
        <v>324</v>
      </c>
      <c r="B253" s="47" t="str">
        <f aca="false">TRIM(A253)</f>
        <v>وحید شجاعی</v>
      </c>
      <c r="C253" s="47" t="n">
        <v>12</v>
      </c>
      <c r="D253" s="47" t="n">
        <v>51</v>
      </c>
      <c r="E253" s="9" t="n">
        <f aca="false">IFERROR(VLOOKUP(B253,'Operators performance'!B:K,9,0),"-")</f>
        <v>1</v>
      </c>
      <c r="F253" s="9" t="n">
        <v>0</v>
      </c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 customFormat="false" ht="15.75" hidden="false" customHeight="true" outlineLevel="0" collapsed="false">
      <c r="A254" s="47" t="s">
        <v>262</v>
      </c>
      <c r="B254" s="47" t="str">
        <f aca="false">TRIM(A254)</f>
        <v>حمید نوری</v>
      </c>
      <c r="C254" s="47" t="n">
        <v>74</v>
      </c>
      <c r="D254" s="47" t="n">
        <v>52</v>
      </c>
      <c r="E254" s="9" t="n">
        <f aca="false">IFERROR(VLOOKUP(B254,'Operators performance'!B:K,9,0),"-")</f>
        <v>1</v>
      </c>
      <c r="F254" s="9" t="n">
        <v>0</v>
      </c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 customFormat="false" ht="15.75" hidden="false" customHeight="true" outlineLevel="0" collapsed="false">
      <c r="A255" s="47" t="s">
        <v>296</v>
      </c>
      <c r="B255" s="47" t="str">
        <f aca="false">TRIM(A255)</f>
        <v>شراره نجاتی</v>
      </c>
      <c r="C255" s="47" t="n">
        <v>17</v>
      </c>
      <c r="D255" s="47" t="n">
        <v>53</v>
      </c>
      <c r="E255" s="9" t="n">
        <f aca="false">IFERROR(VLOOKUP(B255,'Operators performance'!B:K,9,0),"-")</f>
        <v>1</v>
      </c>
      <c r="F255" s="9" t="n">
        <v>0</v>
      </c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 customFormat="false" ht="15.75" hidden="false" customHeight="true" outlineLevel="0" collapsed="false">
      <c r="A256" s="47" t="s">
        <v>298</v>
      </c>
      <c r="B256" s="47" t="str">
        <f aca="false">TRIM(A256)</f>
        <v>غلامرضا رضایی گرجان</v>
      </c>
      <c r="C256" s="47" t="n">
        <v>45</v>
      </c>
      <c r="D256" s="47" t="n">
        <v>56</v>
      </c>
      <c r="E256" s="9" t="n">
        <f aca="false">IFERROR(VLOOKUP(B256,'Operators performance'!B:K,9,0),"-")</f>
        <v>1</v>
      </c>
      <c r="F256" s="9" t="n">
        <v>0</v>
      </c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 customFormat="false" ht="15.75" hidden="false" customHeight="true" outlineLevel="0" collapsed="false">
      <c r="A257" s="47" t="s">
        <v>236</v>
      </c>
      <c r="B257" s="47" t="str">
        <f aca="false">TRIM(A257)</f>
        <v>محدثه کهن</v>
      </c>
      <c r="C257" s="47" t="n">
        <v>114</v>
      </c>
      <c r="D257" s="47" t="n">
        <v>56</v>
      </c>
      <c r="E257" s="9" t="n">
        <f aca="false">IFERROR(VLOOKUP(B257,'Operators performance'!B:K,9,0),"-")</f>
        <v>1</v>
      </c>
      <c r="F257" s="9" t="n">
        <v>0</v>
      </c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 customFormat="false" ht="15.75" hidden="false" customHeight="true" outlineLevel="0" collapsed="false">
      <c r="A258" s="47" t="s">
        <v>126</v>
      </c>
      <c r="B258" s="47" t="str">
        <f aca="false">TRIM(A258)</f>
        <v>تینا مختاری</v>
      </c>
      <c r="C258" s="47" t="n">
        <v>191</v>
      </c>
      <c r="D258" s="47" t="n">
        <v>56</v>
      </c>
      <c r="E258" s="9" t="n">
        <f aca="false">IFERROR(VLOOKUP(B258,'Operators performance'!B:K,9,0),"-")</f>
        <v>1</v>
      </c>
      <c r="F258" s="9" t="n">
        <v>0</v>
      </c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 customFormat="false" ht="15.75" hidden="false" customHeight="true" outlineLevel="0" collapsed="false">
      <c r="A259" s="47" t="s">
        <v>131</v>
      </c>
      <c r="B259" s="47" t="str">
        <f aca="false">TRIM(A259)</f>
        <v>زهرا سبزیانی داویجانی</v>
      </c>
      <c r="C259" s="47" t="n">
        <v>186</v>
      </c>
      <c r="D259" s="47" t="n">
        <v>57</v>
      </c>
      <c r="E259" s="9" t="n">
        <f aca="false">IFERROR(VLOOKUP(B259,'Operators performance'!B:K,9,0),"-")</f>
        <v>1</v>
      </c>
      <c r="F259" s="9" t="n">
        <v>0</v>
      </c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 customFormat="false" ht="15.75" hidden="false" customHeight="true" outlineLevel="0" collapsed="false">
      <c r="A260" s="47" t="s">
        <v>226</v>
      </c>
      <c r="B260" s="47" t="str">
        <f aca="false">TRIM(A260)</f>
        <v>سپیده گودرزی</v>
      </c>
      <c r="C260" s="47" t="n">
        <v>109</v>
      </c>
      <c r="D260" s="47" t="n">
        <v>58</v>
      </c>
      <c r="E260" s="9" t="n">
        <f aca="false">IFERROR(VLOOKUP(B260,'Operators performance'!B:K,9,0),"-")</f>
        <v>1</v>
      </c>
      <c r="F260" s="9" t="n">
        <v>0</v>
      </c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 customFormat="false" ht="15.75" hidden="false" customHeight="true" outlineLevel="0" collapsed="false">
      <c r="A261" s="47" t="s">
        <v>318</v>
      </c>
      <c r="B261" s="47" t="str">
        <f aca="false">TRIM(A261)</f>
        <v>مهدی عظیمی</v>
      </c>
      <c r="C261" s="47" t="n">
        <v>8</v>
      </c>
      <c r="D261" s="47" t="n">
        <v>58</v>
      </c>
      <c r="E261" s="9" t="n">
        <f aca="false">IFERROR(VLOOKUP(B261,'Operators performance'!B:K,9,0),"-")</f>
        <v>1</v>
      </c>
      <c r="F261" s="9" t="n">
        <v>0</v>
      </c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 customFormat="false" ht="15.75" hidden="false" customHeight="true" outlineLevel="0" collapsed="false">
      <c r="A262" s="47" t="s">
        <v>278</v>
      </c>
      <c r="B262" s="47" t="str">
        <f aca="false">TRIM(A262)</f>
        <v>محمد کاظمی</v>
      </c>
      <c r="C262" s="47" t="n">
        <v>71</v>
      </c>
      <c r="D262" s="47" t="n">
        <v>63</v>
      </c>
      <c r="E262" s="9" t="n">
        <f aca="false">IFERROR(VLOOKUP(B262,'Operators performance'!B:K,9,0),"-")</f>
        <v>1</v>
      </c>
      <c r="F262" s="9" t="n">
        <v>0</v>
      </c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 customFormat="false" ht="15.75" hidden="false" customHeight="true" outlineLevel="0" collapsed="false">
      <c r="A263" s="47" t="s">
        <v>306</v>
      </c>
      <c r="B263" s="47" t="str">
        <f aca="false">TRIM(A263)</f>
        <v>محمد حسین زمانیان</v>
      </c>
      <c r="C263" s="47" t="n">
        <v>16</v>
      </c>
      <c r="D263" s="47" t="n">
        <v>65</v>
      </c>
      <c r="E263" s="9" t="n">
        <f aca="false">IFERROR(VLOOKUP(B263,'Operators performance'!B:K,9,0),"-")</f>
        <v>1</v>
      </c>
      <c r="F263" s="9" t="n">
        <v>0</v>
      </c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 customFormat="false" ht="15.75" hidden="false" customHeight="true" outlineLevel="0" collapsed="false">
      <c r="A264" s="47" t="s">
        <v>275</v>
      </c>
      <c r="B264" s="47" t="str">
        <f aca="false">TRIM(A264)</f>
        <v>فاطمه امان آبادی</v>
      </c>
      <c r="C264" s="47" t="n">
        <v>87</v>
      </c>
      <c r="D264" s="47" t="n">
        <v>66</v>
      </c>
      <c r="E264" s="9" t="n">
        <f aca="false">IFERROR(VLOOKUP(B264,'Operators performance'!B:K,9,0),"-")</f>
        <v>1</v>
      </c>
      <c r="F264" s="9" t="n">
        <v>0</v>
      </c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 customFormat="false" ht="15.75" hidden="false" customHeight="true" outlineLevel="0" collapsed="false">
      <c r="A265" s="47" t="s">
        <v>272</v>
      </c>
      <c r="B265" s="47" t="str">
        <f aca="false">TRIM(A265)</f>
        <v>سینا گودرزی</v>
      </c>
      <c r="C265" s="47" t="n">
        <v>88</v>
      </c>
      <c r="D265" s="47" t="n">
        <v>67</v>
      </c>
      <c r="E265" s="9" t="n">
        <f aca="false">IFERROR(VLOOKUP(B265,'Operators performance'!B:K,9,0),"-")</f>
        <v>1</v>
      </c>
      <c r="F265" s="9" t="n">
        <v>0</v>
      </c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 customFormat="false" ht="15.75" hidden="false" customHeight="true" outlineLevel="0" collapsed="false">
      <c r="A266" s="47" t="s">
        <v>261</v>
      </c>
      <c r="B266" s="47" t="str">
        <f aca="false">TRIM(A266)</f>
        <v>حسین دین محمدی</v>
      </c>
      <c r="C266" s="47" t="n">
        <v>62</v>
      </c>
      <c r="D266" s="47" t="n">
        <v>69</v>
      </c>
      <c r="E266" s="9" t="n">
        <f aca="false">IFERROR(VLOOKUP(B266,'Operators performance'!B:K,9,0),"-")</f>
        <v>1</v>
      </c>
      <c r="F266" s="9" t="n">
        <v>0</v>
      </c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 customFormat="false" ht="15.75" hidden="false" customHeight="true" outlineLevel="0" collapsed="false">
      <c r="A267" s="47" t="s">
        <v>299</v>
      </c>
      <c r="B267" s="47" t="str">
        <f aca="false">TRIM(A267)</f>
        <v>فائزه سبزیانی داویجانی</v>
      </c>
      <c r="C267" s="47" t="n">
        <v>16</v>
      </c>
      <c r="D267" s="47" t="n">
        <v>79</v>
      </c>
      <c r="E267" s="9" t="n">
        <f aca="false">IFERROR(VLOOKUP(B267,'Operators performance'!B:K,9,0),"-")</f>
        <v>1</v>
      </c>
      <c r="F267" s="9" t="n">
        <v>0</v>
      </c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 customFormat="false" ht="15.75" hidden="false" customHeight="true" outlineLevel="0" collapsed="false">
      <c r="A268" s="47" t="s">
        <v>293</v>
      </c>
      <c r="B268" s="47" t="str">
        <f aca="false">TRIM(A268)</f>
        <v>حنانه سلامی</v>
      </c>
      <c r="C268" s="47" t="n">
        <v>32</v>
      </c>
      <c r="D268" s="47" t="n">
        <v>100</v>
      </c>
      <c r="E268" s="9" t="n">
        <f aca="false">IFERROR(VLOOKUP(B268,'Operators performance'!B:K,9,0),"-")</f>
        <v>1</v>
      </c>
      <c r="F268" s="9" t="n">
        <v>0</v>
      </c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 customFormat="false" ht="15.75" hidden="false" customHeight="true" outlineLevel="0" collapsed="false">
      <c r="A269" s="47" t="s">
        <v>327</v>
      </c>
      <c r="B269" s="47" t="str">
        <f aca="false">TRIM(A269)</f>
        <v>مرکز صدور پیرهادی | نسترن محبی</v>
      </c>
      <c r="C269" s="47" t="n">
        <v>1</v>
      </c>
      <c r="D269" s="47" t="n">
        <v>100</v>
      </c>
      <c r="E269" s="9" t="n">
        <f aca="false">IFERROR(VLOOKUP(B269,'Operators performance'!B:K,9,0),"-")</f>
        <v>1</v>
      </c>
      <c r="F269" s="9" t="n">
        <v>0</v>
      </c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 customFormat="false" ht="15.75" hidden="false" customHeight="true" outlineLevel="0" collapsed="false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 customFormat="false" ht="15.75" hidden="false" customHeight="true" outlineLevel="0" collapsed="false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 customFormat="false" ht="15.75" hidden="false" customHeight="true" outlineLevel="0" collapsed="false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 customFormat="false" ht="15.75" hidden="false" customHeight="true" outlineLevel="0" collapsed="false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 customFormat="false" ht="15.75" hidden="false" customHeight="true" outlineLevel="0" collapsed="false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 customFormat="false" ht="15.75" hidden="false" customHeight="true" outlineLevel="0" collapsed="false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 customFormat="false" ht="15.75" hidden="false" customHeight="true" outlineLevel="0" collapsed="false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 customFormat="false" ht="15.75" hidden="false" customHeight="true" outlineLevel="0" collapsed="false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 customFormat="false" ht="15.75" hidden="false" customHeight="true" outlineLevel="0" collapsed="false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 customFormat="false" ht="15.75" hidden="false" customHeight="true" outlineLevel="0" collapsed="false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 customFormat="false" ht="15.75" hidden="false" customHeight="true" outlineLevel="0" collapsed="false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 customFormat="false" ht="15.75" hidden="false" customHeight="true" outlineLevel="0" collapsed="false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 customFormat="false" ht="15.75" hidden="false" customHeight="true" outlineLevel="0" collapsed="false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 customFormat="false" ht="15.75" hidden="false" customHeight="true" outlineLevel="0" collapsed="false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 customFormat="false" ht="15.75" hidden="false" customHeight="true" outlineLevel="0" collapsed="false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 customFormat="false" ht="15.75" hidden="false" customHeight="true" outlineLevel="0" collapsed="false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 customFormat="false" ht="15.75" hidden="false" customHeight="true" outlineLevel="0" collapsed="false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 customFormat="false" ht="15.75" hidden="false" customHeight="true" outlineLevel="0" collapsed="false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 customFormat="false" ht="15.75" hidden="false" customHeight="true" outlineLevel="0" collapsed="false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 customFormat="false" ht="15.75" hidden="false" customHeight="true" outlineLevel="0" collapsed="false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 customFormat="false" ht="15.75" hidden="false" customHeight="true" outlineLevel="0" collapsed="false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 customFormat="false" ht="15.75" hidden="false" customHeight="true" outlineLevel="0" collapsed="false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 customFormat="false" ht="15.75" hidden="false" customHeight="true" outlineLevel="0" collapsed="false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 customFormat="false" ht="15.75" hidden="false" customHeight="true" outlineLevel="0" collapsed="false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 customFormat="false" ht="15.75" hidden="false" customHeight="true" outlineLevel="0" collapsed="false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 customFormat="false" ht="15.75" hidden="false" customHeight="true" outlineLevel="0" collapsed="false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 customFormat="false" ht="15.75" hidden="false" customHeight="true" outlineLevel="0" collapsed="false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 customFormat="false" ht="15.75" hidden="false" customHeight="true" outlineLevel="0" collapsed="false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 customFormat="false" ht="15.75" hidden="false" customHeight="true" outlineLevel="0" collapsed="false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 customFormat="false" ht="15.75" hidden="false" customHeight="true" outlineLevel="0" collapsed="false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 customFormat="false" ht="15.75" hidden="false" customHeight="true" outlineLevel="0" collapsed="false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 customFormat="false" ht="15.75" hidden="false" customHeight="true" outlineLevel="0" collapsed="false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 customFormat="false" ht="15.75" hidden="false" customHeight="true" outlineLevel="0" collapsed="false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 customFormat="false" ht="15.75" hidden="false" customHeight="true" outlineLevel="0" collapsed="false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 customFormat="false" ht="15.75" hidden="false" customHeight="true" outlineLevel="0" collapsed="false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 customFormat="false" ht="15.75" hidden="false" customHeight="true" outlineLevel="0" collapsed="false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 customFormat="false" ht="15.75" hidden="false" customHeight="true" outlineLevel="0" collapsed="false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 customFormat="false" ht="15.75" hidden="false" customHeight="true" outlineLevel="0" collapsed="false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 customFormat="false" ht="15.75" hidden="false" customHeight="true" outlineLevel="0" collapsed="false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 customFormat="false" ht="15.75" hidden="false" customHeight="true" outlineLevel="0" collapsed="false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 customFormat="false" ht="15.75" hidden="false" customHeight="true" outlineLevel="0" collapsed="false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 customFormat="false" ht="15.75" hidden="false" customHeight="true" outlineLevel="0" collapsed="false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 customFormat="false" ht="15.75" hidden="false" customHeight="true" outlineLevel="0" collapsed="false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 customFormat="false" ht="15.75" hidden="false" customHeight="true" outlineLevel="0" collapsed="false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 customFormat="false" ht="15.75" hidden="false" customHeight="true" outlineLevel="0" collapsed="false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 customFormat="false" ht="15.75" hidden="false" customHeight="true" outlineLevel="0" collapsed="false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 customFormat="false" ht="15.75" hidden="false" customHeight="true" outlineLevel="0" collapsed="false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 customFormat="false" ht="15.75" hidden="false" customHeight="true" outlineLevel="0" collapsed="false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 customFormat="false" ht="15.75" hidden="false" customHeight="true" outlineLevel="0" collapsed="false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 customFormat="false" ht="15.75" hidden="false" customHeight="true" outlineLevel="0" collapsed="false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 customFormat="false" ht="15.75" hidden="false" customHeight="true" outlineLevel="0" collapsed="false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 customFormat="false" ht="15.75" hidden="false" customHeight="true" outlineLevel="0" collapsed="false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 customFormat="false" ht="15.75" hidden="false" customHeight="true" outlineLevel="0" collapsed="false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 customFormat="false" ht="15.75" hidden="false" customHeight="true" outlineLevel="0" collapsed="false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 customFormat="false" ht="15.75" hidden="false" customHeight="true" outlineLevel="0" collapsed="false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 customFormat="false" ht="15.75" hidden="false" customHeight="true" outlineLevel="0" collapsed="false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 customFormat="false" ht="15.75" hidden="false" customHeight="true" outlineLevel="0" collapsed="false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 customFormat="false" ht="15.75" hidden="false" customHeight="true" outlineLevel="0" collapsed="false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 customFormat="false" ht="15.75" hidden="false" customHeight="true" outlineLevel="0" collapsed="false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 customFormat="false" ht="15.75" hidden="false" customHeight="true" outlineLevel="0" collapsed="false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 customFormat="false" ht="15.75" hidden="false" customHeight="true" outlineLevel="0" collapsed="false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 customFormat="false" ht="15.75" hidden="false" customHeight="true" outlineLevel="0" collapsed="false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 customFormat="false" ht="15.75" hidden="false" customHeight="true" outlineLevel="0" collapsed="false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 customFormat="false" ht="15.75" hidden="false" customHeight="true" outlineLevel="0" collapsed="false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 customFormat="false" ht="15.75" hidden="false" customHeight="true" outlineLevel="0" collapsed="false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 customFormat="false" ht="15.75" hidden="false" customHeight="true" outlineLevel="0" collapsed="false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 customFormat="false" ht="15.75" hidden="false" customHeight="true" outlineLevel="0" collapsed="false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 customFormat="false" ht="15.75" hidden="false" customHeight="true" outlineLevel="0" collapsed="false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 customFormat="false" ht="15.75" hidden="false" customHeight="true" outlineLevel="0" collapsed="false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 customFormat="false" ht="15.75" hidden="false" customHeight="true" outlineLevel="0" collapsed="false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 customFormat="false" ht="15.75" hidden="false" customHeight="true" outlineLevel="0" collapsed="false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 customFormat="false" ht="15.75" hidden="false" customHeight="true" outlineLevel="0" collapsed="false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 customFormat="false" ht="15.75" hidden="false" customHeight="true" outlineLevel="0" collapsed="false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 customFormat="false" ht="15.75" hidden="false" customHeight="true" outlineLevel="0" collapsed="false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 customFormat="false" ht="15.75" hidden="false" customHeight="true" outlineLevel="0" collapsed="false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 customFormat="false" ht="15.75" hidden="false" customHeight="true" outlineLevel="0" collapsed="false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 customFormat="false" ht="15.75" hidden="false" customHeight="true" outlineLevel="0" collapsed="false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 customFormat="false" ht="15.75" hidden="false" customHeight="true" outlineLevel="0" collapsed="false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 customFormat="false" ht="15.75" hidden="false" customHeight="true" outlineLevel="0" collapsed="false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 customFormat="false" ht="15.75" hidden="false" customHeight="true" outlineLevel="0" collapsed="false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 customFormat="false" ht="15.75" hidden="false" customHeight="true" outlineLevel="0" collapsed="false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 customFormat="false" ht="15.75" hidden="false" customHeight="true" outlineLevel="0" collapsed="false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 customFormat="false" ht="15.75" hidden="false" customHeight="true" outlineLevel="0" collapsed="false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 customFormat="false" ht="15.75" hidden="false" customHeight="true" outlineLevel="0" collapsed="false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 customFormat="false" ht="15.75" hidden="false" customHeight="true" outlineLevel="0" collapsed="false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 customFormat="false" ht="15.75" hidden="false" customHeight="true" outlineLevel="0" collapsed="false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 customFormat="false" ht="15.75" hidden="false" customHeight="true" outlineLevel="0" collapsed="false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 customFormat="false" ht="15.75" hidden="false" customHeight="true" outlineLevel="0" collapsed="false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 customFormat="false" ht="15.75" hidden="false" customHeight="true" outlineLevel="0" collapsed="false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 customFormat="false" ht="15.75" hidden="false" customHeight="true" outlineLevel="0" collapsed="false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 customFormat="false" ht="15.75" hidden="false" customHeight="true" outlineLevel="0" collapsed="false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 customFormat="false" ht="15.75" hidden="false" customHeight="true" outlineLevel="0" collapsed="false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 customFormat="false" ht="15.75" hidden="false" customHeight="true" outlineLevel="0" collapsed="false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 customFormat="false" ht="15.75" hidden="false" customHeight="true" outlineLevel="0" collapsed="false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 customFormat="false" ht="15.75" hidden="false" customHeight="true" outlineLevel="0" collapsed="false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 customFormat="false" ht="15.75" hidden="false" customHeight="true" outlineLevel="0" collapsed="false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 customFormat="false" ht="15.75" hidden="false" customHeight="true" outlineLevel="0" collapsed="false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 customFormat="false" ht="15.75" hidden="false" customHeight="true" outlineLevel="0" collapsed="false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 customFormat="false" ht="15.75" hidden="false" customHeight="true" outlineLevel="0" collapsed="false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 customFormat="false" ht="15.75" hidden="false" customHeight="true" outlineLevel="0" collapsed="false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 customFormat="false" ht="15.75" hidden="false" customHeight="true" outlineLevel="0" collapsed="false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 customFormat="false" ht="15.75" hidden="false" customHeight="true" outlineLevel="0" collapsed="false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 customFormat="false" ht="15.75" hidden="false" customHeight="true" outlineLevel="0" collapsed="false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 customFormat="false" ht="15.75" hidden="false" customHeight="true" outlineLevel="0" collapsed="false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 customFormat="false" ht="15.75" hidden="false" customHeight="true" outlineLevel="0" collapsed="false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 customFormat="false" ht="15.75" hidden="false" customHeight="true" outlineLevel="0" collapsed="false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 customFormat="false" ht="15.75" hidden="false" customHeight="true" outlineLevel="0" collapsed="false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 customFormat="false" ht="15.75" hidden="false" customHeight="true" outlineLevel="0" collapsed="false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 customFormat="false" ht="15.75" hidden="false" customHeight="true" outlineLevel="0" collapsed="false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 customFormat="false" ht="15.75" hidden="false" customHeight="true" outlineLevel="0" collapsed="false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 customFormat="false" ht="15.75" hidden="false" customHeight="true" outlineLevel="0" collapsed="false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 customFormat="false" ht="15.75" hidden="false" customHeight="true" outlineLevel="0" collapsed="false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 customFormat="false" ht="15.75" hidden="false" customHeight="true" outlineLevel="0" collapsed="false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 customFormat="false" ht="15.75" hidden="false" customHeight="true" outlineLevel="0" collapsed="false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 customFormat="false" ht="15.75" hidden="false" customHeight="true" outlineLevel="0" collapsed="false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 customFormat="false" ht="15.75" hidden="false" customHeight="true" outlineLevel="0" collapsed="false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 customFormat="false" ht="15.75" hidden="false" customHeight="true" outlineLevel="0" collapsed="false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 customFormat="false" ht="15.75" hidden="false" customHeight="true" outlineLevel="0" collapsed="false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 customFormat="false" ht="15.75" hidden="false" customHeight="true" outlineLevel="0" collapsed="false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 customFormat="false" ht="15.75" hidden="false" customHeight="true" outlineLevel="0" collapsed="false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 customFormat="false" ht="15.75" hidden="false" customHeight="true" outlineLevel="0" collapsed="false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 customFormat="false" ht="15.75" hidden="false" customHeight="true" outlineLevel="0" collapsed="false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 customFormat="false" ht="15.75" hidden="false" customHeight="true" outlineLevel="0" collapsed="false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 customFormat="false" ht="15.75" hidden="false" customHeight="true" outlineLevel="0" collapsed="false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 customFormat="false" ht="15.75" hidden="false" customHeight="true" outlineLevel="0" collapsed="false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 customFormat="false" ht="15.75" hidden="false" customHeight="true" outlineLevel="0" collapsed="false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 customFormat="false" ht="15.75" hidden="false" customHeight="true" outlineLevel="0" collapsed="false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 customFormat="false" ht="15.75" hidden="false" customHeight="true" outlineLevel="0" collapsed="false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 customFormat="false" ht="15.75" hidden="false" customHeight="true" outlineLevel="0" collapsed="false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 customFormat="false" ht="15.75" hidden="false" customHeight="true" outlineLevel="0" collapsed="false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 customFormat="false" ht="15.75" hidden="false" customHeight="true" outlineLevel="0" collapsed="false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 customFormat="false" ht="15.75" hidden="false" customHeight="true" outlineLevel="0" collapsed="false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 customFormat="false" ht="15.75" hidden="false" customHeight="true" outlineLevel="0" collapsed="false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 customFormat="false" ht="15.75" hidden="false" customHeight="true" outlineLevel="0" collapsed="false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 customFormat="false" ht="15.75" hidden="false" customHeight="true" outlineLevel="0" collapsed="false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 customFormat="false" ht="15.75" hidden="false" customHeight="true" outlineLevel="0" collapsed="false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 customFormat="false" ht="15.75" hidden="false" customHeight="true" outlineLevel="0" collapsed="false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 customFormat="false" ht="15.75" hidden="false" customHeight="true" outlineLevel="0" collapsed="false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 customFormat="false" ht="15.75" hidden="false" customHeight="true" outlineLevel="0" collapsed="false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 customFormat="false" ht="15.75" hidden="false" customHeight="true" outlineLevel="0" collapsed="false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 customFormat="false" ht="15.75" hidden="false" customHeight="true" outlineLevel="0" collapsed="false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 customFormat="false" ht="15.75" hidden="false" customHeight="true" outlineLevel="0" collapsed="false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 customFormat="false" ht="15.75" hidden="false" customHeight="true" outlineLevel="0" collapsed="false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 customFormat="false" ht="15.75" hidden="false" customHeight="true" outlineLevel="0" collapsed="false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 customFormat="false" ht="15.75" hidden="false" customHeight="true" outlineLevel="0" collapsed="false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 customFormat="false" ht="15.75" hidden="false" customHeight="true" outlineLevel="0" collapsed="false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 customFormat="false" ht="15.75" hidden="false" customHeight="true" outlineLevel="0" collapsed="false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 customFormat="false" ht="15.75" hidden="false" customHeight="true" outlineLevel="0" collapsed="false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 customFormat="false" ht="15.75" hidden="false" customHeight="true" outlineLevel="0" collapsed="false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 customFormat="false" ht="15.75" hidden="false" customHeight="true" outlineLevel="0" collapsed="false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 customFormat="false" ht="15.75" hidden="false" customHeight="true" outlineLevel="0" collapsed="false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 customFormat="false" ht="15.75" hidden="false" customHeight="true" outlineLevel="0" collapsed="false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 customFormat="false" ht="15.75" hidden="false" customHeight="true" outlineLevel="0" collapsed="false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 customFormat="false" ht="15.75" hidden="false" customHeight="true" outlineLevel="0" collapsed="false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 customFormat="false" ht="15.75" hidden="false" customHeight="true" outlineLevel="0" collapsed="false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 customFormat="false" ht="15.75" hidden="false" customHeight="true" outlineLevel="0" collapsed="false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 customFormat="false" ht="15.75" hidden="false" customHeight="true" outlineLevel="0" collapsed="false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 customFormat="false" ht="15.75" hidden="false" customHeight="true" outlineLevel="0" collapsed="false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 customFormat="false" ht="15.75" hidden="false" customHeight="true" outlineLevel="0" collapsed="false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 customFormat="false" ht="15.75" hidden="false" customHeight="true" outlineLevel="0" collapsed="false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 customFormat="false" ht="15.75" hidden="false" customHeight="true" outlineLevel="0" collapsed="false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 customFormat="false" ht="15.75" hidden="false" customHeight="true" outlineLevel="0" collapsed="false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 customFormat="false" ht="15.75" hidden="false" customHeight="true" outlineLevel="0" collapsed="false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 customFormat="false" ht="15.75" hidden="false" customHeight="true" outlineLevel="0" collapsed="false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 customFormat="false" ht="15.75" hidden="false" customHeight="true" outlineLevel="0" collapsed="false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 customFormat="false" ht="15.75" hidden="false" customHeight="true" outlineLevel="0" collapsed="false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 customFormat="false" ht="15.75" hidden="false" customHeight="true" outlineLevel="0" collapsed="false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 customFormat="false" ht="15.75" hidden="false" customHeight="true" outlineLevel="0" collapsed="false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 customFormat="false" ht="15.75" hidden="false" customHeight="true" outlineLevel="0" collapsed="false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 customFormat="false" ht="15.75" hidden="false" customHeight="true" outlineLevel="0" collapsed="false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 customFormat="false" ht="15.75" hidden="false" customHeight="true" outlineLevel="0" collapsed="false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 customFormat="false" ht="15.75" hidden="false" customHeight="true" outlineLevel="0" collapsed="false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 customFormat="false" ht="15.75" hidden="false" customHeight="true" outlineLevel="0" collapsed="false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 customFormat="false" ht="15.75" hidden="false" customHeight="true" outlineLevel="0" collapsed="false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 customFormat="false" ht="15.75" hidden="false" customHeight="true" outlineLevel="0" collapsed="false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 customFormat="false" ht="15.75" hidden="false" customHeight="true" outlineLevel="0" collapsed="false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 customFormat="false" ht="15.75" hidden="false" customHeight="true" outlineLevel="0" collapsed="false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 customFormat="false" ht="15.75" hidden="false" customHeight="true" outlineLevel="0" collapsed="false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 customFormat="false" ht="15.75" hidden="false" customHeight="true" outlineLevel="0" collapsed="false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 customFormat="false" ht="15.75" hidden="false" customHeight="true" outlineLevel="0" collapsed="false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 customFormat="false" ht="15.75" hidden="false" customHeight="true" outlineLevel="0" collapsed="false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 customFormat="false" ht="15.75" hidden="false" customHeight="true" outlineLevel="0" collapsed="false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 customFormat="false" ht="15.75" hidden="false" customHeight="true" outlineLevel="0" collapsed="false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 customFormat="false" ht="15.75" hidden="false" customHeight="true" outlineLevel="0" collapsed="false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 customFormat="false" ht="15.75" hidden="false" customHeight="true" outlineLevel="0" collapsed="false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 customFormat="false" ht="15.75" hidden="false" customHeight="true" outlineLevel="0" collapsed="false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 customFormat="false" ht="15.75" hidden="false" customHeight="true" outlineLevel="0" collapsed="false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 customFormat="false" ht="15.75" hidden="false" customHeight="true" outlineLevel="0" collapsed="false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 customFormat="false" ht="15.75" hidden="false" customHeight="true" outlineLevel="0" collapsed="false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 customFormat="false" ht="15.75" hidden="false" customHeight="true" outlineLevel="0" collapsed="false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 customFormat="false" ht="15.75" hidden="false" customHeight="true" outlineLevel="0" collapsed="false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 customFormat="false" ht="15.75" hidden="false" customHeight="true" outlineLevel="0" collapsed="false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 customFormat="false" ht="15.75" hidden="false" customHeight="true" outlineLevel="0" collapsed="false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 customFormat="false" ht="15.75" hidden="false" customHeight="true" outlineLevel="0" collapsed="false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 customFormat="false" ht="15.75" hidden="false" customHeight="true" outlineLevel="0" collapsed="false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 customFormat="false" ht="15.75" hidden="false" customHeight="true" outlineLevel="0" collapsed="false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 customFormat="false" ht="15.75" hidden="false" customHeight="true" outlineLevel="0" collapsed="false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 customFormat="false" ht="15.75" hidden="false" customHeight="true" outlineLevel="0" collapsed="false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 customFormat="false" ht="15.75" hidden="false" customHeight="true" outlineLevel="0" collapsed="false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 customFormat="false" ht="15.75" hidden="false" customHeight="true" outlineLevel="0" collapsed="false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 customFormat="false" ht="15.75" hidden="false" customHeight="true" outlineLevel="0" collapsed="false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 customFormat="false" ht="15.75" hidden="false" customHeight="true" outlineLevel="0" collapsed="false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 customFormat="false" ht="15.75" hidden="false" customHeight="true" outlineLevel="0" collapsed="false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 customFormat="false" ht="15.75" hidden="false" customHeight="true" outlineLevel="0" collapsed="false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 customFormat="false" ht="15.75" hidden="false" customHeight="true" outlineLevel="0" collapsed="false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 customFormat="false" ht="15.75" hidden="false" customHeight="true" outlineLevel="0" collapsed="false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 customFormat="false" ht="15.75" hidden="false" customHeight="true" outlineLevel="0" collapsed="false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 customFormat="false" ht="15.75" hidden="false" customHeight="true" outlineLevel="0" collapsed="false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 customFormat="false" ht="15.75" hidden="false" customHeight="true" outlineLevel="0" collapsed="false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 customFormat="false" ht="15.75" hidden="false" customHeight="true" outlineLevel="0" collapsed="false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 customFormat="false" ht="15.75" hidden="false" customHeight="true" outlineLevel="0" collapsed="false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 customFormat="false" ht="15.75" hidden="false" customHeight="true" outlineLevel="0" collapsed="false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 customFormat="false" ht="15.75" hidden="false" customHeight="true" outlineLevel="0" collapsed="false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 customFormat="false" ht="15.75" hidden="false" customHeight="true" outlineLevel="0" collapsed="false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 customFormat="false" ht="15.75" hidden="false" customHeight="true" outlineLevel="0" collapsed="false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 customFormat="false" ht="15.75" hidden="false" customHeight="true" outlineLevel="0" collapsed="false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 customFormat="false" ht="15.75" hidden="false" customHeight="true" outlineLevel="0" collapsed="false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 customFormat="false" ht="15.75" hidden="false" customHeight="true" outlineLevel="0" collapsed="false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 customFormat="false" ht="15.75" hidden="false" customHeight="true" outlineLevel="0" collapsed="false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 customFormat="false" ht="15.75" hidden="false" customHeight="true" outlineLevel="0" collapsed="false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 customFormat="false" ht="15.75" hidden="false" customHeight="true" outlineLevel="0" collapsed="false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 customFormat="false" ht="15.75" hidden="false" customHeight="true" outlineLevel="0" collapsed="false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 customFormat="false" ht="15.75" hidden="false" customHeight="true" outlineLevel="0" collapsed="false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 customFormat="false" ht="15.75" hidden="false" customHeight="true" outlineLevel="0" collapsed="false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 customFormat="false" ht="15.75" hidden="false" customHeight="true" outlineLevel="0" collapsed="false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 customFormat="false" ht="15.75" hidden="false" customHeight="true" outlineLevel="0" collapsed="false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 customFormat="false" ht="15.75" hidden="false" customHeight="true" outlineLevel="0" collapsed="false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 customFormat="false" ht="15.75" hidden="false" customHeight="true" outlineLevel="0" collapsed="false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 customFormat="false" ht="15.75" hidden="false" customHeight="true" outlineLevel="0" collapsed="false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 customFormat="false" ht="15.75" hidden="false" customHeight="true" outlineLevel="0" collapsed="false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 customFormat="false" ht="15.75" hidden="false" customHeight="true" outlineLevel="0" collapsed="false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 customFormat="false" ht="15.75" hidden="false" customHeight="true" outlineLevel="0" collapsed="false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 customFormat="false" ht="15.75" hidden="false" customHeight="true" outlineLevel="0" collapsed="false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 customFormat="false" ht="15.75" hidden="false" customHeight="true" outlineLevel="0" collapsed="false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 customFormat="false" ht="15.75" hidden="false" customHeight="true" outlineLevel="0" collapsed="false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 customFormat="false" ht="15.75" hidden="false" customHeight="true" outlineLevel="0" collapsed="false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 customFormat="false" ht="15.75" hidden="false" customHeight="true" outlineLevel="0" collapsed="false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 customFormat="false" ht="15.75" hidden="false" customHeight="true" outlineLevel="0" collapsed="false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 customFormat="false" ht="15.75" hidden="false" customHeight="true" outlineLevel="0" collapsed="false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 customFormat="false" ht="15.75" hidden="false" customHeight="true" outlineLevel="0" collapsed="false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 customFormat="false" ht="15.75" hidden="false" customHeight="true" outlineLevel="0" collapsed="false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 customFormat="false" ht="15.75" hidden="false" customHeight="true" outlineLevel="0" collapsed="false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 customFormat="false" ht="15.75" hidden="false" customHeight="true" outlineLevel="0" collapsed="false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 customFormat="false" ht="15.75" hidden="false" customHeight="true" outlineLevel="0" collapsed="false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 customFormat="false" ht="15.75" hidden="false" customHeight="true" outlineLevel="0" collapsed="false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 customFormat="false" ht="15.75" hidden="false" customHeight="true" outlineLevel="0" collapsed="false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 customFormat="false" ht="15.75" hidden="false" customHeight="true" outlineLevel="0" collapsed="false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 customFormat="false" ht="15.75" hidden="false" customHeight="true" outlineLevel="0" collapsed="false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 customFormat="false" ht="15.75" hidden="false" customHeight="true" outlineLevel="0" collapsed="false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 customFormat="false" ht="15.75" hidden="false" customHeight="true" outlineLevel="0" collapsed="false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 customFormat="false" ht="15.75" hidden="false" customHeight="true" outlineLevel="0" collapsed="false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 customFormat="false" ht="15.75" hidden="false" customHeight="true" outlineLevel="0" collapsed="false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 customFormat="false" ht="15.75" hidden="false" customHeight="true" outlineLevel="0" collapsed="false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 customFormat="false" ht="15.75" hidden="false" customHeight="true" outlineLevel="0" collapsed="false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 customFormat="false" ht="15.75" hidden="false" customHeight="true" outlineLevel="0" collapsed="false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 customFormat="false" ht="15.75" hidden="false" customHeight="true" outlineLevel="0" collapsed="false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 customFormat="false" ht="15.75" hidden="false" customHeight="true" outlineLevel="0" collapsed="false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 customFormat="false" ht="15.75" hidden="false" customHeight="true" outlineLevel="0" collapsed="false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 customFormat="false" ht="15.75" hidden="false" customHeight="true" outlineLevel="0" collapsed="false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 customFormat="false" ht="15.75" hidden="false" customHeight="true" outlineLevel="0" collapsed="false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 customFormat="false" ht="15.75" hidden="false" customHeight="true" outlineLevel="0" collapsed="false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 customFormat="false" ht="15.75" hidden="false" customHeight="true" outlineLevel="0" collapsed="false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 customFormat="false" ht="15.75" hidden="false" customHeight="true" outlineLevel="0" collapsed="false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 customFormat="false" ht="15.75" hidden="false" customHeight="true" outlineLevel="0" collapsed="false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 customFormat="false" ht="15.75" hidden="false" customHeight="true" outlineLevel="0" collapsed="false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 customFormat="false" ht="15.75" hidden="false" customHeight="true" outlineLevel="0" collapsed="false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 customFormat="false" ht="15.75" hidden="false" customHeight="true" outlineLevel="0" collapsed="false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 customFormat="false" ht="15.75" hidden="false" customHeight="true" outlineLevel="0" collapsed="false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 customFormat="false" ht="15.75" hidden="false" customHeight="true" outlineLevel="0" collapsed="false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 customFormat="false" ht="15.75" hidden="false" customHeight="true" outlineLevel="0" collapsed="false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 customFormat="false" ht="15.75" hidden="false" customHeight="true" outlineLevel="0" collapsed="false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 customFormat="false" ht="15.75" hidden="false" customHeight="true" outlineLevel="0" collapsed="false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 customFormat="false" ht="15.75" hidden="false" customHeight="true" outlineLevel="0" collapsed="false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 customFormat="false" ht="15.75" hidden="false" customHeight="true" outlineLevel="0" collapsed="false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 customFormat="false" ht="15.75" hidden="false" customHeight="true" outlineLevel="0" collapsed="false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 customFormat="false" ht="15.75" hidden="false" customHeight="true" outlineLevel="0" collapsed="false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 customFormat="false" ht="15.75" hidden="false" customHeight="true" outlineLevel="0" collapsed="false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 customFormat="false" ht="15.75" hidden="false" customHeight="true" outlineLevel="0" collapsed="false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 customFormat="false" ht="15.75" hidden="false" customHeight="true" outlineLevel="0" collapsed="false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 customFormat="false" ht="15.75" hidden="false" customHeight="true" outlineLevel="0" collapsed="false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 customFormat="false" ht="15.75" hidden="false" customHeight="true" outlineLevel="0" collapsed="false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 customFormat="false" ht="15.75" hidden="false" customHeight="true" outlineLevel="0" collapsed="false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 customFormat="false" ht="15.75" hidden="false" customHeight="true" outlineLevel="0" collapsed="false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 customFormat="false" ht="15.75" hidden="false" customHeight="true" outlineLevel="0" collapsed="false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 customFormat="false" ht="15.75" hidden="false" customHeight="true" outlineLevel="0" collapsed="false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 customFormat="false" ht="15.75" hidden="false" customHeight="true" outlineLevel="0" collapsed="false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 customFormat="false" ht="15.75" hidden="false" customHeight="true" outlineLevel="0" collapsed="false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 customFormat="false" ht="15.75" hidden="false" customHeight="true" outlineLevel="0" collapsed="false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 customFormat="false" ht="15.75" hidden="false" customHeight="true" outlineLevel="0" collapsed="false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 customFormat="false" ht="15.75" hidden="false" customHeight="true" outlineLevel="0" collapsed="false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 customFormat="false" ht="15.75" hidden="false" customHeight="true" outlineLevel="0" collapsed="false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 customFormat="false" ht="15.75" hidden="false" customHeight="true" outlineLevel="0" collapsed="false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 customFormat="false" ht="15.75" hidden="false" customHeight="true" outlineLevel="0" collapsed="false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 customFormat="false" ht="15.75" hidden="false" customHeight="true" outlineLevel="0" collapsed="false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 customFormat="false" ht="15.75" hidden="false" customHeight="true" outlineLevel="0" collapsed="false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 customFormat="false" ht="15.75" hidden="false" customHeight="true" outlineLevel="0" collapsed="false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 customFormat="false" ht="15.75" hidden="false" customHeight="true" outlineLevel="0" collapsed="false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 customFormat="false" ht="15.75" hidden="false" customHeight="true" outlineLevel="0" collapsed="false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 customFormat="false" ht="15.75" hidden="false" customHeight="true" outlineLevel="0" collapsed="false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 customFormat="false" ht="15.75" hidden="false" customHeight="true" outlineLevel="0" collapsed="false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 customFormat="false" ht="15.75" hidden="false" customHeight="true" outlineLevel="0" collapsed="false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 customFormat="false" ht="15.75" hidden="false" customHeight="true" outlineLevel="0" collapsed="false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 customFormat="false" ht="15.75" hidden="false" customHeight="true" outlineLevel="0" collapsed="false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 customFormat="false" ht="15.75" hidden="false" customHeight="true" outlineLevel="0" collapsed="false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 customFormat="false" ht="15.75" hidden="false" customHeight="true" outlineLevel="0" collapsed="false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 customFormat="false" ht="15.75" hidden="false" customHeight="true" outlineLevel="0" collapsed="false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 customFormat="false" ht="15.75" hidden="false" customHeight="true" outlineLevel="0" collapsed="false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 customFormat="false" ht="15.75" hidden="false" customHeight="true" outlineLevel="0" collapsed="false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 customFormat="false" ht="15.75" hidden="false" customHeight="true" outlineLevel="0" collapsed="false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 customFormat="false" ht="15.75" hidden="false" customHeight="true" outlineLevel="0" collapsed="false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 customFormat="false" ht="15.75" hidden="false" customHeight="true" outlineLevel="0" collapsed="false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 customFormat="false" ht="15.75" hidden="false" customHeight="true" outlineLevel="0" collapsed="false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 customFormat="false" ht="15.75" hidden="false" customHeight="true" outlineLevel="0" collapsed="false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 customFormat="false" ht="15.75" hidden="false" customHeight="true" outlineLevel="0" collapsed="false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 customFormat="false" ht="15.75" hidden="false" customHeight="true" outlineLevel="0" collapsed="false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 customFormat="false" ht="15.75" hidden="false" customHeight="true" outlineLevel="0" collapsed="false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 customFormat="false" ht="15.75" hidden="false" customHeight="true" outlineLevel="0" collapsed="false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 customFormat="false" ht="15.75" hidden="false" customHeight="true" outlineLevel="0" collapsed="false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 customFormat="false" ht="15.75" hidden="false" customHeight="true" outlineLevel="0" collapsed="false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 customFormat="false" ht="15.75" hidden="false" customHeight="true" outlineLevel="0" collapsed="false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 customFormat="false" ht="15.75" hidden="false" customHeight="true" outlineLevel="0" collapsed="false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 customFormat="false" ht="15.75" hidden="false" customHeight="true" outlineLevel="0" collapsed="false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 customFormat="false" ht="15.75" hidden="false" customHeight="true" outlineLevel="0" collapsed="false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 customFormat="false" ht="15.75" hidden="false" customHeight="true" outlineLevel="0" collapsed="false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 customFormat="false" ht="15.75" hidden="false" customHeight="true" outlineLevel="0" collapsed="false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 customFormat="false" ht="15.75" hidden="false" customHeight="true" outlineLevel="0" collapsed="false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 customFormat="false" ht="15.75" hidden="false" customHeight="true" outlineLevel="0" collapsed="false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 customFormat="false" ht="15.75" hidden="false" customHeight="true" outlineLevel="0" collapsed="false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 customFormat="false" ht="15.75" hidden="false" customHeight="true" outlineLevel="0" collapsed="false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 customFormat="false" ht="15.75" hidden="false" customHeight="true" outlineLevel="0" collapsed="false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 customFormat="false" ht="15.75" hidden="false" customHeight="true" outlineLevel="0" collapsed="false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 customFormat="false" ht="15.75" hidden="false" customHeight="true" outlineLevel="0" collapsed="false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 customFormat="false" ht="15.75" hidden="false" customHeight="true" outlineLevel="0" collapsed="false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 customFormat="false" ht="15.75" hidden="false" customHeight="true" outlineLevel="0" collapsed="false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 customFormat="false" ht="15.75" hidden="false" customHeight="true" outlineLevel="0" collapsed="false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 customFormat="false" ht="15.75" hidden="false" customHeight="true" outlineLevel="0" collapsed="false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 customFormat="false" ht="15.75" hidden="false" customHeight="true" outlineLevel="0" collapsed="false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 customFormat="false" ht="15.75" hidden="false" customHeight="true" outlineLevel="0" collapsed="false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 customFormat="false" ht="15.75" hidden="false" customHeight="true" outlineLevel="0" collapsed="false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 customFormat="false" ht="15.75" hidden="false" customHeight="true" outlineLevel="0" collapsed="false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 customFormat="false" ht="15.75" hidden="false" customHeight="true" outlineLevel="0" collapsed="false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 customFormat="false" ht="15.75" hidden="false" customHeight="true" outlineLevel="0" collapsed="false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 customFormat="false" ht="15.75" hidden="false" customHeight="true" outlineLevel="0" collapsed="false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 customFormat="false" ht="15.75" hidden="false" customHeight="true" outlineLevel="0" collapsed="false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 customFormat="false" ht="15.75" hidden="false" customHeight="true" outlineLevel="0" collapsed="false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 customFormat="false" ht="15.75" hidden="false" customHeight="true" outlineLevel="0" collapsed="false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 customFormat="false" ht="15.75" hidden="false" customHeight="true" outlineLevel="0" collapsed="false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 customFormat="false" ht="15.75" hidden="false" customHeight="true" outlineLevel="0" collapsed="false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 customFormat="false" ht="15.75" hidden="false" customHeight="true" outlineLevel="0" collapsed="false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 customFormat="false" ht="15.75" hidden="false" customHeight="true" outlineLevel="0" collapsed="false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 customFormat="false" ht="15.75" hidden="false" customHeight="true" outlineLevel="0" collapsed="false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 customFormat="false" ht="15.75" hidden="false" customHeight="true" outlineLevel="0" collapsed="false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 customFormat="false" ht="15.75" hidden="false" customHeight="true" outlineLevel="0" collapsed="false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 customFormat="false" ht="15.75" hidden="false" customHeight="true" outlineLevel="0" collapsed="false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 customFormat="false" ht="15.75" hidden="false" customHeight="true" outlineLevel="0" collapsed="false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 customFormat="false" ht="15.75" hidden="false" customHeight="true" outlineLevel="0" collapsed="false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 customFormat="false" ht="15.75" hidden="false" customHeight="true" outlineLevel="0" collapsed="false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 customFormat="false" ht="15.75" hidden="false" customHeight="true" outlineLevel="0" collapsed="false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 customFormat="false" ht="15.75" hidden="false" customHeight="true" outlineLevel="0" collapsed="false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 customFormat="false" ht="15.75" hidden="false" customHeight="true" outlineLevel="0" collapsed="false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 customFormat="false" ht="15.75" hidden="false" customHeight="true" outlineLevel="0" collapsed="false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 customFormat="false" ht="15.75" hidden="false" customHeight="true" outlineLevel="0" collapsed="false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 customFormat="false" ht="15.75" hidden="false" customHeight="true" outlineLevel="0" collapsed="false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 customFormat="false" ht="15.75" hidden="false" customHeight="true" outlineLevel="0" collapsed="false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 customFormat="false" ht="15.75" hidden="false" customHeight="true" outlineLevel="0" collapsed="false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 customFormat="false" ht="15.75" hidden="false" customHeight="true" outlineLevel="0" collapsed="false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 customFormat="false" ht="15.75" hidden="false" customHeight="true" outlineLevel="0" collapsed="false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 customFormat="false" ht="15.75" hidden="false" customHeight="true" outlineLevel="0" collapsed="false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 customFormat="false" ht="15.75" hidden="false" customHeight="true" outlineLevel="0" collapsed="false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 customFormat="false" ht="15.75" hidden="false" customHeight="true" outlineLevel="0" collapsed="false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 customFormat="false" ht="15.75" hidden="false" customHeight="true" outlineLevel="0" collapsed="false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 customFormat="false" ht="15.75" hidden="false" customHeight="true" outlineLevel="0" collapsed="false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 customFormat="false" ht="15.75" hidden="false" customHeight="true" outlineLevel="0" collapsed="false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 customFormat="false" ht="15.75" hidden="false" customHeight="true" outlineLevel="0" collapsed="false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 customFormat="false" ht="15.75" hidden="false" customHeight="true" outlineLevel="0" collapsed="false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 customFormat="false" ht="15.75" hidden="false" customHeight="true" outlineLevel="0" collapsed="false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 customFormat="false" ht="15.75" hidden="false" customHeight="true" outlineLevel="0" collapsed="false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 customFormat="false" ht="15.75" hidden="false" customHeight="true" outlineLevel="0" collapsed="false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 customFormat="false" ht="15.75" hidden="false" customHeight="true" outlineLevel="0" collapsed="false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 customFormat="false" ht="15.75" hidden="false" customHeight="true" outlineLevel="0" collapsed="false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 customFormat="false" ht="15.75" hidden="false" customHeight="true" outlineLevel="0" collapsed="false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 customFormat="false" ht="15.75" hidden="false" customHeight="true" outlineLevel="0" collapsed="false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 customFormat="false" ht="15.75" hidden="false" customHeight="true" outlineLevel="0" collapsed="false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 customFormat="false" ht="15.75" hidden="false" customHeight="true" outlineLevel="0" collapsed="false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 customFormat="false" ht="15.75" hidden="false" customHeight="true" outlineLevel="0" collapsed="false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 customFormat="false" ht="15.75" hidden="false" customHeight="true" outlineLevel="0" collapsed="false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 customFormat="false" ht="15.75" hidden="false" customHeight="true" outlineLevel="0" collapsed="false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 customFormat="false" ht="15.75" hidden="false" customHeight="true" outlineLevel="0" collapsed="false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 customFormat="false" ht="15.75" hidden="false" customHeight="true" outlineLevel="0" collapsed="false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 customFormat="false" ht="15.75" hidden="false" customHeight="true" outlineLevel="0" collapsed="false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 customFormat="false" ht="15.75" hidden="false" customHeight="true" outlineLevel="0" collapsed="false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 customFormat="false" ht="15.75" hidden="false" customHeight="true" outlineLevel="0" collapsed="false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 customFormat="false" ht="15.75" hidden="false" customHeight="true" outlineLevel="0" collapsed="false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 customFormat="false" ht="15.75" hidden="false" customHeight="true" outlineLevel="0" collapsed="false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 customFormat="false" ht="15.75" hidden="false" customHeight="true" outlineLevel="0" collapsed="false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 customFormat="false" ht="15.75" hidden="false" customHeight="true" outlineLevel="0" collapsed="false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 customFormat="false" ht="15.75" hidden="false" customHeight="true" outlineLevel="0" collapsed="false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 customFormat="false" ht="15.75" hidden="false" customHeight="true" outlineLevel="0" collapsed="false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 customFormat="false" ht="15.75" hidden="false" customHeight="true" outlineLevel="0" collapsed="false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 customFormat="false" ht="15.75" hidden="false" customHeight="true" outlineLevel="0" collapsed="false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 customFormat="false" ht="15.75" hidden="false" customHeight="true" outlineLevel="0" collapsed="false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 customFormat="false" ht="15.75" hidden="false" customHeight="true" outlineLevel="0" collapsed="false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 customFormat="false" ht="15.75" hidden="false" customHeight="true" outlineLevel="0" collapsed="false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 customFormat="false" ht="15.75" hidden="false" customHeight="true" outlineLevel="0" collapsed="false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 customFormat="false" ht="15.75" hidden="false" customHeight="true" outlineLevel="0" collapsed="false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 customFormat="false" ht="15.75" hidden="false" customHeight="true" outlineLevel="0" collapsed="false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 customFormat="false" ht="15.75" hidden="false" customHeight="true" outlineLevel="0" collapsed="false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 customFormat="false" ht="15.75" hidden="false" customHeight="true" outlineLevel="0" collapsed="false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 customFormat="false" ht="15.75" hidden="false" customHeight="true" outlineLevel="0" collapsed="false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 customFormat="false" ht="15.75" hidden="false" customHeight="true" outlineLevel="0" collapsed="false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 customFormat="false" ht="15.75" hidden="false" customHeight="true" outlineLevel="0" collapsed="false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 customFormat="false" ht="15.75" hidden="false" customHeight="true" outlineLevel="0" collapsed="false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 customFormat="false" ht="15.75" hidden="false" customHeight="true" outlineLevel="0" collapsed="false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 customFormat="false" ht="15.75" hidden="false" customHeight="true" outlineLevel="0" collapsed="false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 customFormat="false" ht="15.75" hidden="false" customHeight="true" outlineLevel="0" collapsed="false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 customFormat="false" ht="15.75" hidden="false" customHeight="true" outlineLevel="0" collapsed="false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 customFormat="false" ht="15.75" hidden="false" customHeight="true" outlineLevel="0" collapsed="false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 customFormat="false" ht="15.75" hidden="false" customHeight="true" outlineLevel="0" collapsed="false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 customFormat="false" ht="15.75" hidden="false" customHeight="true" outlineLevel="0" collapsed="false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 customFormat="false" ht="15.75" hidden="false" customHeight="true" outlineLevel="0" collapsed="false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 customFormat="false" ht="15.75" hidden="false" customHeight="true" outlineLevel="0" collapsed="false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 customFormat="false" ht="15.75" hidden="false" customHeight="true" outlineLevel="0" collapsed="false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 customFormat="false" ht="15.75" hidden="false" customHeight="true" outlineLevel="0" collapsed="false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 customFormat="false" ht="15.75" hidden="false" customHeight="true" outlineLevel="0" collapsed="false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 customFormat="false" ht="15.75" hidden="false" customHeight="true" outlineLevel="0" collapsed="false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 customFormat="false" ht="15.75" hidden="false" customHeight="true" outlineLevel="0" collapsed="false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 customFormat="false" ht="15.75" hidden="false" customHeight="true" outlineLevel="0" collapsed="false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 customFormat="false" ht="15.75" hidden="false" customHeight="true" outlineLevel="0" collapsed="false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 customFormat="false" ht="15.75" hidden="false" customHeight="true" outlineLevel="0" collapsed="false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 customFormat="false" ht="15.75" hidden="false" customHeight="true" outlineLevel="0" collapsed="false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 customFormat="false" ht="15.75" hidden="false" customHeight="true" outlineLevel="0" collapsed="false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 customFormat="false" ht="15.75" hidden="false" customHeight="true" outlineLevel="0" collapsed="false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 customFormat="false" ht="15.75" hidden="false" customHeight="true" outlineLevel="0" collapsed="false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 customFormat="false" ht="15.75" hidden="false" customHeight="true" outlineLevel="0" collapsed="false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 customFormat="false" ht="15.75" hidden="false" customHeight="true" outlineLevel="0" collapsed="false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 customFormat="false" ht="15.75" hidden="false" customHeight="true" outlineLevel="0" collapsed="false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 customFormat="false" ht="15.75" hidden="false" customHeight="true" outlineLevel="0" collapsed="false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 customFormat="false" ht="15.75" hidden="false" customHeight="true" outlineLevel="0" collapsed="false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 customFormat="false" ht="15.75" hidden="false" customHeight="true" outlineLevel="0" collapsed="false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 customFormat="false" ht="15.75" hidden="false" customHeight="true" outlineLevel="0" collapsed="false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 customFormat="false" ht="15.75" hidden="false" customHeight="true" outlineLevel="0" collapsed="false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 customFormat="false" ht="15.75" hidden="false" customHeight="true" outlineLevel="0" collapsed="false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 customFormat="false" ht="15.75" hidden="false" customHeight="true" outlineLevel="0" collapsed="false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 customFormat="false" ht="15.75" hidden="false" customHeight="true" outlineLevel="0" collapsed="false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 customFormat="false" ht="15.75" hidden="false" customHeight="true" outlineLevel="0" collapsed="false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 customFormat="false" ht="15.75" hidden="false" customHeight="true" outlineLevel="0" collapsed="false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 customFormat="false" ht="15.75" hidden="false" customHeight="true" outlineLevel="0" collapsed="false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 customFormat="false" ht="15.75" hidden="false" customHeight="true" outlineLevel="0" collapsed="false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 customFormat="false" ht="15.75" hidden="false" customHeight="true" outlineLevel="0" collapsed="false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 customFormat="false" ht="15.75" hidden="false" customHeight="true" outlineLevel="0" collapsed="false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 customFormat="false" ht="15.75" hidden="false" customHeight="true" outlineLevel="0" collapsed="false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 customFormat="false" ht="15.75" hidden="false" customHeight="true" outlineLevel="0" collapsed="false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 customFormat="false" ht="15.75" hidden="false" customHeight="true" outlineLevel="0" collapsed="false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 customFormat="false" ht="15.75" hidden="false" customHeight="true" outlineLevel="0" collapsed="false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 customFormat="false" ht="15.75" hidden="false" customHeight="true" outlineLevel="0" collapsed="false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 customFormat="false" ht="15.75" hidden="false" customHeight="true" outlineLevel="0" collapsed="false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 customFormat="false" ht="15.75" hidden="false" customHeight="true" outlineLevel="0" collapsed="false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 customFormat="false" ht="15.75" hidden="false" customHeight="true" outlineLevel="0" collapsed="false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 customFormat="false" ht="15.75" hidden="false" customHeight="true" outlineLevel="0" collapsed="false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 customFormat="false" ht="15.75" hidden="false" customHeight="true" outlineLevel="0" collapsed="false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 customFormat="false" ht="15.75" hidden="false" customHeight="true" outlineLevel="0" collapsed="false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 customFormat="false" ht="15.75" hidden="false" customHeight="true" outlineLevel="0" collapsed="false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 customFormat="false" ht="15.75" hidden="false" customHeight="true" outlineLevel="0" collapsed="false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 customFormat="false" ht="15.75" hidden="false" customHeight="true" outlineLevel="0" collapsed="false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 customFormat="false" ht="15.75" hidden="false" customHeight="true" outlineLevel="0" collapsed="false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 customFormat="false" ht="15.75" hidden="false" customHeight="true" outlineLevel="0" collapsed="false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 customFormat="false" ht="15.75" hidden="false" customHeight="true" outlineLevel="0" collapsed="false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 customFormat="false" ht="15.75" hidden="false" customHeight="true" outlineLevel="0" collapsed="false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 customFormat="false" ht="15.75" hidden="false" customHeight="true" outlineLevel="0" collapsed="false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 customFormat="false" ht="15.75" hidden="false" customHeight="true" outlineLevel="0" collapsed="false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 customFormat="false" ht="15.75" hidden="false" customHeight="true" outlineLevel="0" collapsed="false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 customFormat="false" ht="15.75" hidden="false" customHeight="true" outlineLevel="0" collapsed="false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 customFormat="false" ht="15.75" hidden="false" customHeight="true" outlineLevel="0" collapsed="false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 customFormat="false" ht="15.75" hidden="false" customHeight="true" outlineLevel="0" collapsed="false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 customFormat="false" ht="15.75" hidden="false" customHeight="true" outlineLevel="0" collapsed="false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 customFormat="false" ht="15.75" hidden="false" customHeight="true" outlineLevel="0" collapsed="false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 customFormat="false" ht="15.75" hidden="false" customHeight="true" outlineLevel="0" collapsed="false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 customFormat="false" ht="15.75" hidden="false" customHeight="true" outlineLevel="0" collapsed="false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 customFormat="false" ht="15.75" hidden="false" customHeight="true" outlineLevel="0" collapsed="false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 customFormat="false" ht="15.75" hidden="false" customHeight="true" outlineLevel="0" collapsed="false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 customFormat="false" ht="15.75" hidden="false" customHeight="true" outlineLevel="0" collapsed="false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 customFormat="false" ht="15.75" hidden="false" customHeight="true" outlineLevel="0" collapsed="false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 customFormat="false" ht="15.75" hidden="false" customHeight="true" outlineLevel="0" collapsed="false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 customFormat="false" ht="15.75" hidden="false" customHeight="true" outlineLevel="0" collapsed="false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 customFormat="false" ht="15.75" hidden="false" customHeight="true" outlineLevel="0" collapsed="false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 customFormat="false" ht="15.75" hidden="false" customHeight="true" outlineLevel="0" collapsed="false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 customFormat="false" ht="15.75" hidden="false" customHeight="true" outlineLevel="0" collapsed="false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 customFormat="false" ht="15.75" hidden="false" customHeight="true" outlineLevel="0" collapsed="false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 customFormat="false" ht="15.75" hidden="false" customHeight="true" outlineLevel="0" collapsed="false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 customFormat="false" ht="15.75" hidden="false" customHeight="true" outlineLevel="0" collapsed="false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 customFormat="false" ht="15.75" hidden="false" customHeight="true" outlineLevel="0" collapsed="false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 customFormat="false" ht="15.75" hidden="false" customHeight="true" outlineLevel="0" collapsed="false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 customFormat="false" ht="15.75" hidden="false" customHeight="true" outlineLevel="0" collapsed="false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 customFormat="false" ht="15.75" hidden="false" customHeight="true" outlineLevel="0" collapsed="false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 customFormat="false" ht="15.75" hidden="false" customHeight="true" outlineLevel="0" collapsed="false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 customFormat="false" ht="15.75" hidden="false" customHeight="true" outlineLevel="0" collapsed="false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 customFormat="false" ht="15.75" hidden="false" customHeight="true" outlineLevel="0" collapsed="false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 customFormat="false" ht="15.75" hidden="false" customHeight="true" outlineLevel="0" collapsed="false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 customFormat="false" ht="15.75" hidden="false" customHeight="true" outlineLevel="0" collapsed="false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 customFormat="false" ht="15.75" hidden="false" customHeight="true" outlineLevel="0" collapsed="false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 customFormat="false" ht="15.75" hidden="false" customHeight="true" outlineLevel="0" collapsed="false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 customFormat="false" ht="15.75" hidden="false" customHeight="true" outlineLevel="0" collapsed="false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 customFormat="false" ht="15.75" hidden="false" customHeight="true" outlineLevel="0" collapsed="false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 customFormat="false" ht="15.75" hidden="false" customHeight="true" outlineLevel="0" collapsed="false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 customFormat="false" ht="15.75" hidden="false" customHeight="true" outlineLevel="0" collapsed="false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 customFormat="false" ht="15.75" hidden="false" customHeight="true" outlineLevel="0" collapsed="false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 customFormat="false" ht="15.75" hidden="false" customHeight="true" outlineLevel="0" collapsed="false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 customFormat="false" ht="15.75" hidden="false" customHeight="true" outlineLevel="0" collapsed="false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 customFormat="false" ht="15.75" hidden="false" customHeight="true" outlineLevel="0" collapsed="false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 customFormat="false" ht="15.75" hidden="false" customHeight="true" outlineLevel="0" collapsed="false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 customFormat="false" ht="15.75" hidden="false" customHeight="true" outlineLevel="0" collapsed="false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 customFormat="false" ht="15.75" hidden="false" customHeight="true" outlineLevel="0" collapsed="false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 customFormat="false" ht="15.75" hidden="false" customHeight="true" outlineLevel="0" collapsed="false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 customFormat="false" ht="15.75" hidden="false" customHeight="true" outlineLevel="0" collapsed="false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 customFormat="false" ht="15.75" hidden="false" customHeight="true" outlineLevel="0" collapsed="false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 customFormat="false" ht="15.75" hidden="false" customHeight="true" outlineLevel="0" collapsed="false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 customFormat="false" ht="15.75" hidden="false" customHeight="true" outlineLevel="0" collapsed="false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 customFormat="false" ht="15.75" hidden="false" customHeight="true" outlineLevel="0" collapsed="false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 customFormat="false" ht="15.75" hidden="false" customHeight="true" outlineLevel="0" collapsed="false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 customFormat="false" ht="15.75" hidden="false" customHeight="true" outlineLevel="0" collapsed="false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 customFormat="false" ht="15.75" hidden="false" customHeight="true" outlineLevel="0" collapsed="false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 customFormat="false" ht="15.75" hidden="false" customHeight="true" outlineLevel="0" collapsed="false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 customFormat="false" ht="15.75" hidden="false" customHeight="true" outlineLevel="0" collapsed="false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 customFormat="false" ht="15.75" hidden="false" customHeight="true" outlineLevel="0" collapsed="false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 customFormat="false" ht="15.75" hidden="false" customHeight="true" outlineLevel="0" collapsed="false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 customFormat="false" ht="15.75" hidden="false" customHeight="true" outlineLevel="0" collapsed="false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 customFormat="false" ht="15.75" hidden="false" customHeight="true" outlineLevel="0" collapsed="false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 customFormat="false" ht="15.75" hidden="false" customHeight="true" outlineLevel="0" collapsed="false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 customFormat="false" ht="15.75" hidden="false" customHeight="true" outlineLevel="0" collapsed="false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 customFormat="false" ht="15.75" hidden="false" customHeight="true" outlineLevel="0" collapsed="false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 customFormat="false" ht="15.75" hidden="false" customHeight="true" outlineLevel="0" collapsed="false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 customFormat="false" ht="15.75" hidden="false" customHeight="true" outlineLevel="0" collapsed="false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 customFormat="false" ht="15.75" hidden="false" customHeight="true" outlineLevel="0" collapsed="false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 customFormat="false" ht="15.75" hidden="false" customHeight="true" outlineLevel="0" collapsed="false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 customFormat="false" ht="15.75" hidden="false" customHeight="true" outlineLevel="0" collapsed="false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 customFormat="false" ht="15.75" hidden="false" customHeight="true" outlineLevel="0" collapsed="false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 customFormat="false" ht="15.75" hidden="false" customHeight="true" outlineLevel="0" collapsed="false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 customFormat="false" ht="15.75" hidden="false" customHeight="true" outlineLevel="0" collapsed="false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 customFormat="false" ht="15.75" hidden="false" customHeight="true" outlineLevel="0" collapsed="false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 customFormat="false" ht="15.75" hidden="false" customHeight="true" outlineLevel="0" collapsed="false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 customFormat="false" ht="15.75" hidden="false" customHeight="true" outlineLevel="0" collapsed="false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 customFormat="false" ht="15.75" hidden="false" customHeight="true" outlineLevel="0" collapsed="false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 customFormat="false" ht="15.75" hidden="false" customHeight="true" outlineLevel="0" collapsed="false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 customFormat="false" ht="15.75" hidden="false" customHeight="true" outlineLevel="0" collapsed="false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 customFormat="false" ht="15.75" hidden="false" customHeight="true" outlineLevel="0" collapsed="false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 customFormat="false" ht="15.75" hidden="false" customHeight="true" outlineLevel="0" collapsed="false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 customFormat="false" ht="15.75" hidden="false" customHeight="true" outlineLevel="0" collapsed="false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 customFormat="false" ht="15.75" hidden="false" customHeight="true" outlineLevel="0" collapsed="false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 customFormat="false" ht="15.75" hidden="false" customHeight="true" outlineLevel="0" collapsed="false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 customFormat="false" ht="15.75" hidden="false" customHeight="true" outlineLevel="0" collapsed="false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 customFormat="false" ht="15.75" hidden="false" customHeight="true" outlineLevel="0" collapsed="false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 customFormat="false" ht="15.75" hidden="false" customHeight="true" outlineLevel="0" collapsed="false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 customFormat="false" ht="15.75" hidden="false" customHeight="true" outlineLevel="0" collapsed="false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 customFormat="false" ht="15.75" hidden="false" customHeight="true" outlineLevel="0" collapsed="false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 customFormat="false" ht="15.75" hidden="false" customHeight="true" outlineLevel="0" collapsed="false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 customFormat="false" ht="15.75" hidden="false" customHeight="true" outlineLevel="0" collapsed="false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 customFormat="false" ht="15.75" hidden="false" customHeight="true" outlineLevel="0" collapsed="false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 customFormat="false" ht="15.75" hidden="false" customHeight="true" outlineLevel="0" collapsed="false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 customFormat="false" ht="15.75" hidden="false" customHeight="true" outlineLevel="0" collapsed="false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 customFormat="false" ht="15.75" hidden="false" customHeight="true" outlineLevel="0" collapsed="false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 customFormat="false" ht="15.75" hidden="false" customHeight="true" outlineLevel="0" collapsed="false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 customFormat="false" ht="15.75" hidden="false" customHeight="true" outlineLevel="0" collapsed="false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 customFormat="false" ht="15.75" hidden="false" customHeight="true" outlineLevel="0" collapsed="false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 customFormat="false" ht="15.75" hidden="false" customHeight="true" outlineLevel="0" collapsed="false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 customFormat="false" ht="15.75" hidden="false" customHeight="true" outlineLevel="0" collapsed="false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 customFormat="false" ht="15.75" hidden="false" customHeight="true" outlineLevel="0" collapsed="false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 customFormat="false" ht="15.75" hidden="false" customHeight="true" outlineLevel="0" collapsed="false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 customFormat="false" ht="15.75" hidden="false" customHeight="true" outlineLevel="0" collapsed="false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 customFormat="false" ht="15.75" hidden="false" customHeight="true" outlineLevel="0" collapsed="false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 customFormat="false" ht="15.75" hidden="false" customHeight="true" outlineLevel="0" collapsed="false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 customFormat="false" ht="15.75" hidden="false" customHeight="true" outlineLevel="0" collapsed="false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 customFormat="false" ht="15.75" hidden="false" customHeight="true" outlineLevel="0" collapsed="false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 customFormat="false" ht="15.75" hidden="false" customHeight="true" outlineLevel="0" collapsed="false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 customFormat="false" ht="15.75" hidden="false" customHeight="true" outlineLevel="0" collapsed="false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 customFormat="false" ht="15.75" hidden="false" customHeight="true" outlineLevel="0" collapsed="false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 customFormat="false" ht="15.75" hidden="false" customHeight="true" outlineLevel="0" collapsed="false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 customFormat="false" ht="15.75" hidden="false" customHeight="true" outlineLevel="0" collapsed="false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 customFormat="false" ht="15.75" hidden="false" customHeight="true" outlineLevel="0" collapsed="false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 customFormat="false" ht="15.75" hidden="false" customHeight="true" outlineLevel="0" collapsed="false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 customFormat="false" ht="15.75" hidden="false" customHeight="true" outlineLevel="0" collapsed="false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 customFormat="false" ht="15.75" hidden="false" customHeight="true" outlineLevel="0" collapsed="false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 customFormat="false" ht="15.75" hidden="false" customHeight="true" outlineLevel="0" collapsed="false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 customFormat="false" ht="15.75" hidden="false" customHeight="true" outlineLevel="0" collapsed="false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 customFormat="false" ht="15.75" hidden="false" customHeight="true" outlineLevel="0" collapsed="false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 customFormat="false" ht="15.75" hidden="false" customHeight="true" outlineLevel="0" collapsed="false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 customFormat="false" ht="15.75" hidden="false" customHeight="true" outlineLevel="0" collapsed="false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 customFormat="false" ht="15.75" hidden="false" customHeight="true" outlineLevel="0" collapsed="false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 customFormat="false" ht="15.75" hidden="false" customHeight="true" outlineLevel="0" collapsed="false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 customFormat="false" ht="15.75" hidden="false" customHeight="true" outlineLevel="0" collapsed="false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 customFormat="false" ht="15.75" hidden="false" customHeight="true" outlineLevel="0" collapsed="false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 customFormat="false" ht="15.75" hidden="false" customHeight="true" outlineLevel="0" collapsed="false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 customFormat="false" ht="15.75" hidden="false" customHeight="true" outlineLevel="0" collapsed="false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 customFormat="false" ht="15.75" hidden="false" customHeight="true" outlineLevel="0" collapsed="false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 customFormat="false" ht="15.75" hidden="false" customHeight="true" outlineLevel="0" collapsed="false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 customFormat="false" ht="15.75" hidden="false" customHeight="true" outlineLevel="0" collapsed="false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 customFormat="false" ht="15.75" hidden="false" customHeight="true" outlineLevel="0" collapsed="false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 customFormat="false" ht="15.75" hidden="false" customHeight="true" outlineLevel="0" collapsed="false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 customFormat="false" ht="15.75" hidden="false" customHeight="true" outlineLevel="0" collapsed="false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 customFormat="false" ht="15.75" hidden="false" customHeight="true" outlineLevel="0" collapsed="false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 customFormat="false" ht="15.75" hidden="false" customHeight="true" outlineLevel="0" collapsed="false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 customFormat="false" ht="15.75" hidden="false" customHeight="true" outlineLevel="0" collapsed="false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 customFormat="false" ht="15.75" hidden="false" customHeight="true" outlineLevel="0" collapsed="false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 customFormat="false" ht="15.75" hidden="false" customHeight="true" outlineLevel="0" collapsed="false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 customFormat="false" ht="15.75" hidden="false" customHeight="true" outlineLevel="0" collapsed="false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 customFormat="false" ht="15.75" hidden="false" customHeight="true" outlineLevel="0" collapsed="false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 customFormat="false" ht="15.75" hidden="false" customHeight="true" outlineLevel="0" collapsed="false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 customFormat="false" ht="15.75" hidden="false" customHeight="true" outlineLevel="0" collapsed="false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 customFormat="false" ht="15.75" hidden="false" customHeight="true" outlineLevel="0" collapsed="false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 customFormat="false" ht="15.75" hidden="false" customHeight="true" outlineLevel="0" collapsed="false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 customFormat="false" ht="15.75" hidden="false" customHeight="true" outlineLevel="0" collapsed="false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 customFormat="false" ht="15.75" hidden="false" customHeight="true" outlineLevel="0" collapsed="false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 customFormat="false" ht="15.75" hidden="false" customHeight="true" outlineLevel="0" collapsed="false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 customFormat="false" ht="15.75" hidden="false" customHeight="true" outlineLevel="0" collapsed="false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 customFormat="false" ht="15.75" hidden="false" customHeight="true" outlineLevel="0" collapsed="false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 customFormat="false" ht="15.75" hidden="false" customHeight="true" outlineLevel="0" collapsed="false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 customFormat="false" ht="15.75" hidden="false" customHeight="true" outlineLevel="0" collapsed="false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 customFormat="false" ht="15.75" hidden="false" customHeight="true" outlineLevel="0" collapsed="false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 customFormat="false" ht="15.75" hidden="false" customHeight="true" outlineLevel="0" collapsed="false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 customFormat="false" ht="15.75" hidden="false" customHeight="true" outlineLevel="0" collapsed="false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 customFormat="false" ht="15.75" hidden="false" customHeight="true" outlineLevel="0" collapsed="false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 customFormat="false" ht="15.75" hidden="false" customHeight="true" outlineLevel="0" collapsed="false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 customFormat="false" ht="15.75" hidden="false" customHeight="true" outlineLevel="0" collapsed="false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 customFormat="false" ht="15.75" hidden="false" customHeight="true" outlineLevel="0" collapsed="false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 customFormat="false" ht="15.75" hidden="false" customHeight="true" outlineLevel="0" collapsed="false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 customFormat="false" ht="15.75" hidden="false" customHeight="true" outlineLevel="0" collapsed="false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 customFormat="false" ht="15.75" hidden="false" customHeight="true" outlineLevel="0" collapsed="false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 customFormat="false" ht="15.75" hidden="false" customHeight="true" outlineLevel="0" collapsed="false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 customFormat="false" ht="15.75" hidden="false" customHeight="true" outlineLevel="0" collapsed="false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 customFormat="false" ht="15.75" hidden="false" customHeight="true" outlineLevel="0" collapsed="false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 customFormat="false" ht="15.75" hidden="false" customHeight="true" outlineLevel="0" collapsed="false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 customFormat="false" ht="15.75" hidden="false" customHeight="true" outlineLevel="0" collapsed="false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 customFormat="false" ht="15.75" hidden="false" customHeight="true" outlineLevel="0" collapsed="false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 customFormat="false" ht="15.75" hidden="false" customHeight="true" outlineLevel="0" collapsed="false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 customFormat="false" ht="15.75" hidden="false" customHeight="true" outlineLevel="0" collapsed="false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 customFormat="false" ht="15.75" hidden="false" customHeight="true" outlineLevel="0" collapsed="false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 customFormat="false" ht="15.75" hidden="false" customHeight="true" outlineLevel="0" collapsed="false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 customFormat="false" ht="15.75" hidden="false" customHeight="true" outlineLevel="0" collapsed="false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 customFormat="false" ht="15.75" hidden="false" customHeight="true" outlineLevel="0" collapsed="false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 customFormat="false" ht="15.75" hidden="false" customHeight="true" outlineLevel="0" collapsed="false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 customFormat="false" ht="15.75" hidden="false" customHeight="true" outlineLevel="0" collapsed="false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 customFormat="false" ht="15.75" hidden="false" customHeight="true" outlineLevel="0" collapsed="false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 customFormat="false" ht="15.75" hidden="false" customHeight="true" outlineLevel="0" collapsed="false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 customFormat="false" ht="15.75" hidden="false" customHeight="true" outlineLevel="0" collapsed="false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 customFormat="false" ht="15.75" hidden="false" customHeight="true" outlineLevel="0" collapsed="false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 customFormat="false" ht="15.75" hidden="false" customHeight="true" outlineLevel="0" collapsed="false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 customFormat="false" ht="15.75" hidden="false" customHeight="true" outlineLevel="0" collapsed="false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 customFormat="false" ht="15.75" hidden="false" customHeight="true" outlineLevel="0" collapsed="false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 customFormat="false" ht="15.75" hidden="false" customHeight="true" outlineLevel="0" collapsed="false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 customFormat="false" ht="15.75" hidden="false" customHeight="true" outlineLevel="0" collapsed="false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 customFormat="false" ht="15.75" hidden="false" customHeight="true" outlineLevel="0" collapsed="false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 customFormat="false" ht="15.75" hidden="false" customHeight="true" outlineLevel="0" collapsed="false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 customFormat="false" ht="15.75" hidden="false" customHeight="true" outlineLevel="0" collapsed="false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 customFormat="false" ht="15.75" hidden="false" customHeight="true" outlineLevel="0" collapsed="false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 customFormat="false" ht="15.75" hidden="false" customHeight="true" outlineLevel="0" collapsed="false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r="924" customFormat="false" ht="15.75" hidden="false" customHeight="true" outlineLevel="0" collapsed="false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 customFormat="false" ht="15.75" hidden="false" customHeight="true" outlineLevel="0" collapsed="false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r="926" customFormat="false" ht="15.75" hidden="false" customHeight="true" outlineLevel="0" collapsed="false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 customFormat="false" ht="15.75" hidden="false" customHeight="true" outlineLevel="0" collapsed="false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r="928" customFormat="false" ht="15.75" hidden="false" customHeight="true" outlineLevel="0" collapsed="false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 customFormat="false" ht="15.75" hidden="false" customHeight="true" outlineLevel="0" collapsed="false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r="930" customFormat="false" ht="15.75" hidden="false" customHeight="true" outlineLevel="0" collapsed="false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 customFormat="false" ht="15.75" hidden="false" customHeight="true" outlineLevel="0" collapsed="false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r="932" customFormat="false" ht="15.75" hidden="false" customHeight="true" outlineLevel="0" collapsed="false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 customFormat="false" ht="15.75" hidden="false" customHeight="true" outlineLevel="0" collapsed="false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r="934" customFormat="false" ht="15.75" hidden="false" customHeight="true" outlineLevel="0" collapsed="false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 customFormat="false" ht="15.75" hidden="false" customHeight="true" outlineLevel="0" collapsed="false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r="936" customFormat="false" ht="15.75" hidden="false" customHeight="true" outlineLevel="0" collapsed="false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 customFormat="false" ht="15.75" hidden="false" customHeight="true" outlineLevel="0" collapsed="false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r="938" customFormat="false" ht="15.75" hidden="false" customHeight="true" outlineLevel="0" collapsed="false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 customFormat="false" ht="15.75" hidden="false" customHeight="true" outlineLevel="0" collapsed="false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r="940" customFormat="false" ht="15.75" hidden="false" customHeight="true" outlineLevel="0" collapsed="false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 customFormat="false" ht="15.75" hidden="false" customHeight="true" outlineLevel="0" collapsed="false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</row>
    <row r="942" customFormat="false" ht="15.75" hidden="false" customHeight="true" outlineLevel="0" collapsed="false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r="943" customFormat="false" ht="15.75" hidden="false" customHeight="true" outlineLevel="0" collapsed="false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</row>
    <row r="944" customFormat="false" ht="15.75" hidden="false" customHeight="true" outlineLevel="0" collapsed="false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r="945" customFormat="false" ht="15.75" hidden="false" customHeight="true" outlineLevel="0" collapsed="false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</row>
    <row r="946" customFormat="false" ht="15.75" hidden="false" customHeight="true" outlineLevel="0" collapsed="false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r="947" customFormat="false" ht="15.75" hidden="false" customHeight="true" outlineLevel="0" collapsed="false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r="948" customFormat="false" ht="15.75" hidden="false" customHeight="true" outlineLevel="0" collapsed="false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 customFormat="false" ht="15.75" hidden="false" customHeight="true" outlineLevel="0" collapsed="false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r="950" customFormat="false" ht="15.75" hidden="false" customHeight="true" outlineLevel="0" collapsed="false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 customFormat="false" ht="15.75" hidden="false" customHeight="true" outlineLevel="0" collapsed="false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</row>
    <row r="952" customFormat="false" ht="15.75" hidden="false" customHeight="true" outlineLevel="0" collapsed="false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</row>
    <row r="953" customFormat="false" ht="15.75" hidden="false" customHeight="true" outlineLevel="0" collapsed="false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</row>
    <row r="954" customFormat="false" ht="15.75" hidden="false" customHeight="true" outlineLevel="0" collapsed="false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</row>
    <row r="955" customFormat="false" ht="15.75" hidden="false" customHeight="true" outlineLevel="0" collapsed="false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</row>
    <row r="956" customFormat="false" ht="15.75" hidden="false" customHeight="true" outlineLevel="0" collapsed="false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</row>
    <row r="957" customFormat="false" ht="15.75" hidden="false" customHeight="true" outlineLevel="0" collapsed="false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</row>
    <row r="958" customFormat="false" ht="15.75" hidden="false" customHeight="true" outlineLevel="0" collapsed="false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</row>
    <row r="959" customFormat="false" ht="15.75" hidden="false" customHeight="true" outlineLevel="0" collapsed="false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</row>
    <row r="960" customFormat="false" ht="15.75" hidden="false" customHeight="true" outlineLevel="0" collapsed="false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</row>
    <row r="961" customFormat="false" ht="15.75" hidden="false" customHeight="true" outlineLevel="0" collapsed="false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</row>
    <row r="962" customFormat="false" ht="15.75" hidden="false" customHeight="true" outlineLevel="0" collapsed="false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</row>
    <row r="963" customFormat="false" ht="15.75" hidden="false" customHeight="true" outlineLevel="0" collapsed="false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</row>
    <row r="964" customFormat="false" ht="15.75" hidden="false" customHeight="true" outlineLevel="0" collapsed="false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</row>
    <row r="965" customFormat="false" ht="15.75" hidden="false" customHeight="true" outlineLevel="0" collapsed="false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</row>
    <row r="966" customFormat="false" ht="15.75" hidden="false" customHeight="true" outlineLevel="0" collapsed="false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</row>
    <row r="967" customFormat="false" ht="15.75" hidden="false" customHeight="true" outlineLevel="0" collapsed="false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</row>
    <row r="968" customFormat="false" ht="15.75" hidden="false" customHeight="true" outlineLevel="0" collapsed="false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</row>
    <row r="969" customFormat="false" ht="15.75" hidden="false" customHeight="true" outlineLevel="0" collapsed="false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</row>
    <row r="970" customFormat="false" ht="15.75" hidden="false" customHeight="true" outlineLevel="0" collapsed="false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</row>
    <row r="971" customFormat="false" ht="15.75" hidden="false" customHeight="true" outlineLevel="0" collapsed="false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</row>
    <row r="972" customFormat="false" ht="15.75" hidden="false" customHeight="true" outlineLevel="0" collapsed="false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</row>
  </sheetData>
  <autoFilter ref="B1:F269"/>
  <mergeCells count="1">
    <mergeCell ref="H1:J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true" outlineLevel="0" max="1" min="1" style="8" width="32.13"/>
    <col collapsed="false" customWidth="true" hidden="false" outlineLevel="0" max="2" min="2" style="8" width="30.63"/>
    <col collapsed="false" customWidth="true" hidden="false" outlineLevel="0" max="3" min="3" style="8" width="13.75"/>
    <col collapsed="false" customWidth="true" hidden="false" outlineLevel="0" max="4" min="4" style="8" width="19.63"/>
    <col collapsed="false" customWidth="true" hidden="false" outlineLevel="0" max="5" min="5" style="8" width="21.63"/>
  </cols>
  <sheetData>
    <row r="1" customFormat="false" ht="15.75" hidden="false" customHeight="true" outlineLevel="0" collapsed="false">
      <c r="A1" s="18" t="s">
        <v>376</v>
      </c>
      <c r="B1" s="18" t="str">
        <f aca="false">TRIM(A1)</f>
        <v>operator_name</v>
      </c>
      <c r="C1" s="18" t="s">
        <v>41</v>
      </c>
      <c r="D1" s="18" t="s">
        <v>377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customFormat="false" ht="15.75" hidden="false" customHeight="true" outlineLevel="0" collapsed="false">
      <c r="A2" s="18" t="s">
        <v>346</v>
      </c>
      <c r="B2" s="18" t="str">
        <f aca="false">TRIM(A2)</f>
        <v>مرکز صدور حمید طیبی</v>
      </c>
      <c r="C2" s="18" t="n">
        <v>1</v>
      </c>
      <c r="D2" s="18" t="n">
        <v>1</v>
      </c>
      <c r="E2" s="15" t="str">
        <f aca="false">IFERROR(VLOOKUP(B2,'Operators performance'!B:P,15,0),"")</f>
        <v/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customFormat="false" ht="15.75" hidden="false" customHeight="true" outlineLevel="0" collapsed="false">
      <c r="A3" s="65" t="s">
        <v>384</v>
      </c>
      <c r="B3" s="65" t="str">
        <f aca="false">TRIM(A3)</f>
        <v>مهدی حیدری VIP</v>
      </c>
      <c r="C3" s="65" t="n">
        <v>3</v>
      </c>
      <c r="D3" s="65" t="n">
        <v>1</v>
      </c>
      <c r="E3" s="66" t="str">
        <f aca="false">IFERROR(VLOOKUP(B3,'Operators performance'!B:P,15,0),"")</f>
        <v/>
      </c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</row>
    <row r="4" customFormat="false" ht="15.75" hidden="false" customHeight="true" outlineLevel="0" collapsed="false">
      <c r="A4" s="18" t="s">
        <v>49</v>
      </c>
      <c r="B4" s="18" t="str">
        <f aca="false">TRIM(A4)</f>
        <v>آبتین جباری</v>
      </c>
      <c r="C4" s="18" t="n">
        <v>298</v>
      </c>
      <c r="D4" s="18" t="n">
        <v>8</v>
      </c>
      <c r="E4" s="15" t="n">
        <f aca="false">IFERROR(VLOOKUP(B4,'Operators performance'!B:P,15,0),"")</f>
        <v>5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customFormat="false" ht="15.75" hidden="false" customHeight="true" outlineLevel="0" collapsed="false">
      <c r="A5" s="65" t="s">
        <v>385</v>
      </c>
      <c r="B5" s="65" t="str">
        <f aca="false">TRIM(A5)</f>
        <v>صدور الحاقیه | درسا خوشرو</v>
      </c>
      <c r="C5" s="65" t="n">
        <v>3</v>
      </c>
      <c r="D5" s="65" t="n">
        <v>9</v>
      </c>
      <c r="E5" s="66" t="str">
        <f aca="false">IFERROR(VLOOKUP(B5,'Operators performance'!B:P,15,0),"")</f>
        <v/>
      </c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</row>
    <row r="6" customFormat="false" ht="15.75" hidden="false" customHeight="true" outlineLevel="0" collapsed="false">
      <c r="A6" s="18" t="s">
        <v>52</v>
      </c>
      <c r="B6" s="18" t="str">
        <f aca="false">TRIM(A6)</f>
        <v>علیرضا حمید نیا</v>
      </c>
      <c r="C6" s="18" t="n">
        <v>253</v>
      </c>
      <c r="D6" s="18" t="n">
        <v>11</v>
      </c>
      <c r="E6" s="15" t="n">
        <f aca="false">IFERROR(VLOOKUP(B6,'Operators performance'!B:P,15,0),"")</f>
        <v>5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customFormat="false" ht="15.75" hidden="false" customHeight="true" outlineLevel="0" collapsed="false">
      <c r="A7" s="18" t="s">
        <v>116</v>
      </c>
      <c r="B7" s="18" t="str">
        <f aca="false">TRIM(A7)</f>
        <v>مرکز صدور کاظمی | ملیکاحسینی</v>
      </c>
      <c r="C7" s="18" t="n">
        <v>199</v>
      </c>
      <c r="D7" s="18" t="n">
        <v>11</v>
      </c>
      <c r="E7" s="15" t="n">
        <f aca="false">IFERROR(VLOOKUP(B7,'Operators performance'!B:P,15,0),"")</f>
        <v>5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customFormat="false" ht="15.75" hidden="false" customHeight="true" outlineLevel="0" collapsed="false">
      <c r="A8" s="18" t="s">
        <v>53</v>
      </c>
      <c r="B8" s="18" t="str">
        <f aca="false">TRIM(A8)</f>
        <v>معراج عزیزی</v>
      </c>
      <c r="C8" s="18" t="n">
        <v>194</v>
      </c>
      <c r="D8" s="18" t="n">
        <v>12</v>
      </c>
      <c r="E8" s="15" t="n">
        <f aca="false">IFERROR(VLOOKUP(B8,'Operators performance'!B:P,15,0),"")</f>
        <v>5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customFormat="false" ht="15.75" hidden="false" customHeight="true" outlineLevel="0" collapsed="false">
      <c r="A9" s="18" t="s">
        <v>117</v>
      </c>
      <c r="B9" s="18" t="str">
        <f aca="false">TRIM(A9)</f>
        <v>مرکز صدور هاشم زاده | محمد هاشم زاده</v>
      </c>
      <c r="C9" s="18" t="n">
        <v>72</v>
      </c>
      <c r="D9" s="18" t="n">
        <v>12</v>
      </c>
      <c r="E9" s="15" t="n">
        <f aca="false">IFERROR(VLOOKUP(B9,'Operators performance'!B:P,15,0),"")</f>
        <v>3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customFormat="false" ht="15.75" hidden="false" customHeight="true" outlineLevel="0" collapsed="false">
      <c r="A10" s="18" t="s">
        <v>77</v>
      </c>
      <c r="B10" s="18" t="str">
        <f aca="false">TRIM(A10)</f>
        <v>اعظم خردبیشه</v>
      </c>
      <c r="C10" s="18" t="n">
        <v>215</v>
      </c>
      <c r="D10" s="18" t="n">
        <v>13</v>
      </c>
      <c r="E10" s="15" t="n">
        <f aca="false">IFERROR(VLOOKUP(B10,'Operators performance'!B:P,15,0),"")</f>
        <v>5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customFormat="false" ht="15.75" hidden="false" customHeight="true" outlineLevel="0" collapsed="false">
      <c r="A11" s="18" t="s">
        <v>50</v>
      </c>
      <c r="B11" s="18" t="str">
        <f aca="false">TRIM(A11)</f>
        <v>رویا زارعی</v>
      </c>
      <c r="C11" s="18" t="n">
        <v>232</v>
      </c>
      <c r="D11" s="18" t="n">
        <v>13</v>
      </c>
      <c r="E11" s="15" t="n">
        <f aca="false">IFERROR(VLOOKUP(B11,'Operators performance'!B:P,15,0),"")</f>
        <v>5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customFormat="false" ht="15.75" hidden="false" customHeight="true" outlineLevel="0" collapsed="false">
      <c r="A12" s="65" t="s">
        <v>386</v>
      </c>
      <c r="B12" s="65" t="str">
        <f aca="false">TRIM(A12)</f>
        <v>علی شاهدی (صدور حضوری)</v>
      </c>
      <c r="C12" s="65" t="n">
        <v>125</v>
      </c>
      <c r="D12" s="65" t="n">
        <v>15</v>
      </c>
      <c r="E12" s="66" t="str">
        <f aca="false">IFERROR(VLOOKUP(B12,'Operators performance'!B:P,15,0),"")</f>
        <v/>
      </c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</row>
    <row r="13" customFormat="false" ht="15.75" hidden="false" customHeight="true" outlineLevel="0" collapsed="false">
      <c r="A13" s="65" t="s">
        <v>387</v>
      </c>
      <c r="B13" s="65" t="str">
        <f aca="false">TRIM(A13)</f>
        <v>دنیا نوروزی (صدور حضوری )</v>
      </c>
      <c r="C13" s="65" t="n">
        <v>170</v>
      </c>
      <c r="D13" s="65" t="n">
        <v>14</v>
      </c>
      <c r="E13" s="66" t="str">
        <f aca="false">IFERROR(VLOOKUP(B13,'Operators performance'!B:P,15,0),"")</f>
        <v/>
      </c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customFormat="false" ht="15.75" hidden="false" customHeight="true" outlineLevel="0" collapsed="false">
      <c r="A14" s="18" t="s">
        <v>124</v>
      </c>
      <c r="B14" s="18" t="str">
        <f aca="false">TRIM(A14)</f>
        <v>آرین بحیرایی</v>
      </c>
      <c r="C14" s="18" t="n">
        <v>10</v>
      </c>
      <c r="D14" s="18" t="n">
        <v>15</v>
      </c>
      <c r="E14" s="15" t="n">
        <f aca="false">IFERROR(VLOOKUP(B14,'Operators performance'!B:P,15,0),"")</f>
        <v>2.5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customFormat="false" ht="15.75" hidden="false" customHeight="true" outlineLevel="0" collapsed="false">
      <c r="A15" s="18" t="s">
        <v>74</v>
      </c>
      <c r="B15" s="18" t="str">
        <f aca="false">TRIM(A15)</f>
        <v>مهسا قادری</v>
      </c>
      <c r="C15" s="18" t="n">
        <v>202</v>
      </c>
      <c r="D15" s="18" t="n">
        <v>15</v>
      </c>
      <c r="E15" s="15" t="n">
        <f aca="false">IFERROR(VLOOKUP(B15,'Operators performance'!B:P,15,0),"")</f>
        <v>5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customFormat="false" ht="15.75" hidden="false" customHeight="true" outlineLevel="0" collapsed="false">
      <c r="A16" s="18" t="s">
        <v>61</v>
      </c>
      <c r="B16" s="18" t="str">
        <f aca="false">TRIM(A16)</f>
        <v>آوا صادق زاده</v>
      </c>
      <c r="C16" s="18" t="n">
        <v>105</v>
      </c>
      <c r="D16" s="18" t="n">
        <v>15</v>
      </c>
      <c r="E16" s="15" t="n">
        <f aca="false">IFERROR(VLOOKUP(B16,'Operators performance'!B:P,15,0),"")</f>
        <v>3.5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customFormat="false" ht="15.75" hidden="false" customHeight="true" outlineLevel="0" collapsed="false">
      <c r="A17" s="18" t="s">
        <v>60</v>
      </c>
      <c r="B17" s="18" t="str">
        <f aca="false">TRIM(A17)</f>
        <v>مرکز صدور خوش سیرت | نازنین به نظر</v>
      </c>
      <c r="C17" s="18" t="n">
        <v>238</v>
      </c>
      <c r="D17" s="18" t="n">
        <v>15</v>
      </c>
      <c r="E17" s="15" t="n">
        <f aca="false">IFERROR(VLOOKUP(B17,'Operators performance'!B:P,15,0),"")</f>
        <v>5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customFormat="false" ht="15.75" hidden="false" customHeight="true" outlineLevel="0" collapsed="false">
      <c r="A18" s="18" t="s">
        <v>73</v>
      </c>
      <c r="B18" s="18" t="str">
        <f aca="false">TRIM(A18)</f>
        <v>مرکز صدور رضوانی | طاهارضوانی</v>
      </c>
      <c r="C18" s="18" t="n">
        <v>173</v>
      </c>
      <c r="D18" s="18" t="n">
        <v>16</v>
      </c>
      <c r="E18" s="15" t="n">
        <f aca="false">IFERROR(VLOOKUP(B18,'Operators performance'!B:P,15,0),"")</f>
        <v>4.5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customFormat="false" ht="15.75" hidden="false" customHeight="true" outlineLevel="0" collapsed="false">
      <c r="A19" s="65" t="s">
        <v>388</v>
      </c>
      <c r="B19" s="65" t="str">
        <f aca="false">TRIM(A19)</f>
        <v>شکیبا جعفری (صدور حضوری )</v>
      </c>
      <c r="C19" s="65" t="n">
        <v>106</v>
      </c>
      <c r="D19" s="65" t="n">
        <v>16</v>
      </c>
      <c r="E19" s="66" t="str">
        <f aca="false">IFERROR(VLOOKUP(B19,'Operators performance'!B:P,15,0),"")</f>
        <v/>
      </c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</row>
    <row r="20" customFormat="false" ht="15.75" hidden="false" customHeight="true" outlineLevel="0" collapsed="false">
      <c r="A20" s="18" t="s">
        <v>203</v>
      </c>
      <c r="B20" s="18" t="str">
        <f aca="false">TRIM(A20)</f>
        <v>مجتبی درزی</v>
      </c>
      <c r="C20" s="18" t="n">
        <v>92</v>
      </c>
      <c r="D20" s="18" t="n">
        <v>16</v>
      </c>
      <c r="E20" s="15" t="n">
        <f aca="false">IFERROR(VLOOKUP(B20,'Operators performance'!B:P,15,0),"")</f>
        <v>3.5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customFormat="false" ht="15.75" hidden="false" customHeight="true" outlineLevel="0" collapsed="false">
      <c r="A21" s="65" t="s">
        <v>389</v>
      </c>
      <c r="B21" s="65" t="str">
        <f aca="false">TRIM(A21)</f>
        <v>صدور الحاقیه | دریا فضلی</v>
      </c>
      <c r="C21" s="65" t="n">
        <v>16</v>
      </c>
      <c r="D21" s="65" t="n">
        <v>16</v>
      </c>
      <c r="E21" s="66" t="str">
        <f aca="false">IFERROR(VLOOKUP(B21,'Operators performance'!B:P,15,0),"")</f>
        <v/>
      </c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</row>
    <row r="22" customFormat="false" ht="15.75" hidden="false" customHeight="true" outlineLevel="0" collapsed="false">
      <c r="A22" s="18" t="s">
        <v>209</v>
      </c>
      <c r="B22" s="18" t="str">
        <f aca="false">TRIM(A22)</f>
        <v>مهدی سالاری</v>
      </c>
      <c r="C22" s="18" t="n">
        <v>27</v>
      </c>
      <c r="D22" s="18" t="n">
        <v>16</v>
      </c>
      <c r="E22" s="15" t="n">
        <f aca="false">IFERROR(VLOOKUP(B22,'Operators performance'!B:P,15,0),"")</f>
        <v>2.5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customFormat="false" ht="15.75" hidden="false" customHeight="true" outlineLevel="0" collapsed="false">
      <c r="A23" s="18" t="s">
        <v>56</v>
      </c>
      <c r="B23" s="18" t="str">
        <f aca="false">TRIM(A23)</f>
        <v>سارا جاوری</v>
      </c>
      <c r="C23" s="18" t="n">
        <v>258</v>
      </c>
      <c r="D23" s="18" t="n">
        <v>17</v>
      </c>
      <c r="E23" s="15" t="n">
        <f aca="false">IFERROR(VLOOKUP(B23,'Operators performance'!B:P,15,0),"")</f>
        <v>5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customFormat="false" ht="15.75" hidden="false" customHeight="true" outlineLevel="0" collapsed="false">
      <c r="A24" s="18" t="s">
        <v>134</v>
      </c>
      <c r="B24" s="18" t="str">
        <f aca="false">TRIM(A24)</f>
        <v>سهراب ایروانی</v>
      </c>
      <c r="C24" s="18" t="n">
        <v>213</v>
      </c>
      <c r="D24" s="18" t="n">
        <v>17</v>
      </c>
      <c r="E24" s="15" t="n">
        <f aca="false">IFERROR(VLOOKUP(B24,'Operators performance'!B:P,15,0),"")</f>
        <v>5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customFormat="false" ht="15.75" hidden="false" customHeight="true" outlineLevel="0" collapsed="false">
      <c r="A25" s="18" t="s">
        <v>87</v>
      </c>
      <c r="B25" s="18" t="str">
        <f aca="false">TRIM(A25)</f>
        <v>مرکز صدور کاظمی | فاطمه عسگری</v>
      </c>
      <c r="C25" s="18" t="n">
        <v>255</v>
      </c>
      <c r="D25" s="18" t="n">
        <v>17</v>
      </c>
      <c r="E25" s="15" t="n">
        <f aca="false">IFERROR(VLOOKUP(B25,'Operators performance'!B:P,15,0),"")</f>
        <v>5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customFormat="false" ht="15.75" hidden="false" customHeight="true" outlineLevel="0" collapsed="false">
      <c r="A26" s="18" t="s">
        <v>72</v>
      </c>
      <c r="B26" s="18" t="str">
        <f aca="false">TRIM(A26)</f>
        <v>مرکز صدور رضوانی | رضا رضوانی</v>
      </c>
      <c r="C26" s="18" t="n">
        <v>264</v>
      </c>
      <c r="D26" s="18" t="n">
        <v>17</v>
      </c>
      <c r="E26" s="15" t="n">
        <f aca="false">IFERROR(VLOOKUP(B26,'Operators performance'!B:P,15,0),"")</f>
        <v>5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customFormat="false" ht="15.75" hidden="false" customHeight="true" outlineLevel="0" collapsed="false">
      <c r="A27" s="18" t="s">
        <v>58</v>
      </c>
      <c r="B27" s="18" t="str">
        <f aca="false">TRIM(A27)</f>
        <v>فاطمه بهزادی</v>
      </c>
      <c r="C27" s="18" t="n">
        <v>171</v>
      </c>
      <c r="D27" s="18" t="n">
        <v>17</v>
      </c>
      <c r="E27" s="15" t="n">
        <f aca="false">IFERROR(VLOOKUP(B27,'Operators performance'!B:P,15,0),"")</f>
        <v>4.5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customFormat="false" ht="15.75" hidden="false" customHeight="true" outlineLevel="0" collapsed="false">
      <c r="A28" s="18" t="s">
        <v>328</v>
      </c>
      <c r="B28" s="18" t="str">
        <f aca="false">TRIM(A28)</f>
        <v>زهره علی عسکری فرد</v>
      </c>
      <c r="C28" s="18" t="n">
        <v>210</v>
      </c>
      <c r="D28" s="18" t="n">
        <v>17</v>
      </c>
      <c r="E28" s="15" t="n">
        <f aca="false">IFERROR(VLOOKUP(B28,'Operators performance'!B:P,15,0),"")</f>
        <v>5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customFormat="false" ht="15.75" hidden="false" customHeight="true" outlineLevel="0" collapsed="false">
      <c r="A29" s="18" t="s">
        <v>51</v>
      </c>
      <c r="B29" s="18" t="str">
        <f aca="false">TRIM(A29)</f>
        <v>علی قناعتی</v>
      </c>
      <c r="C29" s="18" t="n">
        <v>480</v>
      </c>
      <c r="D29" s="18" t="n">
        <v>18</v>
      </c>
      <c r="E29" s="15" t="n">
        <f aca="false">IFERROR(VLOOKUP(B29,'Operators performance'!B:P,15,0),"")</f>
        <v>5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customFormat="false" ht="15.75" hidden="false" customHeight="true" outlineLevel="0" collapsed="false">
      <c r="A30" s="18" t="s">
        <v>170</v>
      </c>
      <c r="B30" s="18" t="str">
        <f aca="false">TRIM(A30)</f>
        <v>مهرشاد شقاقی</v>
      </c>
      <c r="C30" s="18" t="n">
        <v>17</v>
      </c>
      <c r="D30" s="18" t="n">
        <v>18</v>
      </c>
      <c r="E30" s="15" t="n">
        <f aca="false">IFERROR(VLOOKUP(B30,'Operators performance'!B:P,15,0),"")</f>
        <v>2.5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customFormat="false" ht="15.75" hidden="false" customHeight="true" outlineLevel="0" collapsed="false">
      <c r="A31" s="18" t="s">
        <v>75</v>
      </c>
      <c r="B31" s="18" t="str">
        <f aca="false">TRIM(A31)</f>
        <v>نرگس نصیری</v>
      </c>
      <c r="C31" s="18" t="n">
        <v>323</v>
      </c>
      <c r="D31" s="18" t="n">
        <v>18</v>
      </c>
      <c r="E31" s="15" t="n">
        <f aca="false">IFERROR(VLOOKUP(B31,'Operators performance'!B:P,15,0),"")</f>
        <v>5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customFormat="false" ht="15.75" hidden="false" customHeight="true" outlineLevel="0" collapsed="false">
      <c r="A32" s="18" t="s">
        <v>329</v>
      </c>
      <c r="B32" s="18" t="str">
        <f aca="false">TRIM(A32)</f>
        <v>امیر رضا نوروزی</v>
      </c>
      <c r="C32" s="18" t="n">
        <v>89</v>
      </c>
      <c r="D32" s="18" t="n">
        <v>18</v>
      </c>
      <c r="E32" s="15" t="n">
        <f aca="false">IFERROR(VLOOKUP(B32,'Operators performance'!B:P,15,0),"")</f>
        <v>3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customFormat="false" ht="15.75" hidden="false" customHeight="true" outlineLevel="0" collapsed="false">
      <c r="A33" s="18" t="s">
        <v>62</v>
      </c>
      <c r="B33" s="18" t="str">
        <f aca="false">TRIM(A33)</f>
        <v>چنور قاسمی</v>
      </c>
      <c r="C33" s="18" t="n">
        <v>217</v>
      </c>
      <c r="D33" s="18" t="n">
        <v>18</v>
      </c>
      <c r="E33" s="15" t="n">
        <f aca="false">IFERROR(VLOOKUP(B33,'Operators performance'!B:P,15,0),"")</f>
        <v>5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customFormat="false" ht="15.75" hidden="false" customHeight="true" outlineLevel="0" collapsed="false">
      <c r="A34" s="18" t="s">
        <v>71</v>
      </c>
      <c r="B34" s="18" t="str">
        <f aca="false">TRIM(A34)</f>
        <v>قاسم شکری</v>
      </c>
      <c r="C34" s="18" t="n">
        <v>178</v>
      </c>
      <c r="D34" s="18" t="n">
        <v>18</v>
      </c>
      <c r="E34" s="15" t="n">
        <f aca="false">IFERROR(VLOOKUP(B34,'Operators performance'!B:P,15,0),"")</f>
        <v>4.5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customFormat="false" ht="15.75" hidden="false" customHeight="true" outlineLevel="0" collapsed="false">
      <c r="A35" s="18" t="s">
        <v>94</v>
      </c>
      <c r="B35" s="18" t="str">
        <f aca="false">TRIM(A35)</f>
        <v>الناز بهمنی</v>
      </c>
      <c r="C35" s="18" t="n">
        <v>228</v>
      </c>
      <c r="D35" s="18" t="n">
        <v>18</v>
      </c>
      <c r="E35" s="15" t="n">
        <f aca="false">IFERROR(VLOOKUP(B35,'Operators performance'!B:P,15,0),"")</f>
        <v>5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customFormat="false" ht="15.75" hidden="false" customHeight="true" outlineLevel="0" collapsed="false">
      <c r="A36" s="18" t="s">
        <v>215</v>
      </c>
      <c r="B36" s="18" t="str">
        <f aca="false">TRIM(A36)</f>
        <v>یاسین صحرایی</v>
      </c>
      <c r="C36" s="18" t="n">
        <v>193</v>
      </c>
      <c r="D36" s="18" t="n">
        <v>19</v>
      </c>
      <c r="E36" s="15" t="n">
        <f aca="false">IFERROR(VLOOKUP(B36,'Operators performance'!B:P,15,0),"")</f>
        <v>5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customFormat="false" ht="15.75" hidden="false" customHeight="true" outlineLevel="0" collapsed="false">
      <c r="A37" s="18" t="s">
        <v>171</v>
      </c>
      <c r="B37" s="18" t="str">
        <f aca="false">TRIM(A37)</f>
        <v>مهسا بابائی</v>
      </c>
      <c r="C37" s="18" t="n">
        <v>148</v>
      </c>
      <c r="D37" s="18" t="n">
        <v>19</v>
      </c>
      <c r="E37" s="15" t="n">
        <f aca="false">IFERROR(VLOOKUP(B37,'Operators performance'!B:P,15,0),"")</f>
        <v>4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customFormat="false" ht="15.75" hidden="false" customHeight="true" outlineLevel="0" collapsed="false">
      <c r="A38" s="65" t="s">
        <v>390</v>
      </c>
      <c r="B38" s="65" t="str">
        <f aca="false">TRIM(A38)</f>
        <v>صدور الحاقیه | آرش امامی</v>
      </c>
      <c r="C38" s="65" t="n">
        <v>18</v>
      </c>
      <c r="D38" s="65" t="n">
        <v>19</v>
      </c>
      <c r="E38" s="66" t="str">
        <f aca="false">IFERROR(VLOOKUP(B38,'Operators performance'!B:P,15,0),"")</f>
        <v/>
      </c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</row>
    <row r="39" customFormat="false" ht="15.75" hidden="false" customHeight="true" outlineLevel="0" collapsed="false">
      <c r="A39" s="18" t="s">
        <v>88</v>
      </c>
      <c r="B39" s="18" t="str">
        <f aca="false">TRIM(A39)</f>
        <v>مرکز صدور هاشم زاده | شیما هاشم زاده</v>
      </c>
      <c r="C39" s="18" t="n">
        <v>153</v>
      </c>
      <c r="D39" s="18" t="n">
        <v>18</v>
      </c>
      <c r="E39" s="15" t="n">
        <f aca="false">IFERROR(VLOOKUP(B39,'Operators performance'!B:P,15,0),"")</f>
        <v>4.5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customFormat="false" ht="15.75" hidden="false" customHeight="true" outlineLevel="0" collapsed="false">
      <c r="A40" s="18" t="s">
        <v>141</v>
      </c>
      <c r="B40" s="18" t="str">
        <f aca="false">TRIM(A40)</f>
        <v>معصومه یعقوبی</v>
      </c>
      <c r="C40" s="18" t="n">
        <v>78</v>
      </c>
      <c r="D40" s="18" t="n">
        <v>19</v>
      </c>
      <c r="E40" s="15" t="n">
        <f aca="false">IFERROR(VLOOKUP(B40,'Operators performance'!B:P,15,0),"")</f>
        <v>3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customFormat="false" ht="15.75" hidden="false" customHeight="true" outlineLevel="0" collapsed="false">
      <c r="A41" s="18" t="s">
        <v>347</v>
      </c>
      <c r="B41" s="18" t="str">
        <f aca="false">TRIM(A41)</f>
        <v>مرکز صدور رضوانی | داوود رضوانی</v>
      </c>
      <c r="C41" s="18" t="n">
        <v>3</v>
      </c>
      <c r="D41" s="18" t="n">
        <v>19</v>
      </c>
      <c r="E41" s="15" t="str">
        <f aca="false">IFERROR(VLOOKUP(B41,'Operators performance'!B:P,15,0),"")</f>
        <v/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customFormat="false" ht="15.75" hidden="false" customHeight="true" outlineLevel="0" collapsed="false">
      <c r="A42" s="18" t="s">
        <v>84</v>
      </c>
      <c r="B42" s="18" t="str">
        <f aca="false">TRIM(A42)</f>
        <v>فرشته باشتنی</v>
      </c>
      <c r="C42" s="18" t="n">
        <v>114</v>
      </c>
      <c r="D42" s="18" t="n">
        <v>19</v>
      </c>
      <c r="E42" s="15" t="n">
        <f aca="false">IFERROR(VLOOKUP(B42,'Operators performance'!B:P,15,0),"")</f>
        <v>3.5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customFormat="false" ht="15.75" hidden="false" customHeight="true" outlineLevel="0" collapsed="false">
      <c r="A43" s="18" t="s">
        <v>118</v>
      </c>
      <c r="B43" s="18" t="str">
        <f aca="false">TRIM(A43)</f>
        <v>مصطفی نوری</v>
      </c>
      <c r="C43" s="18" t="n">
        <v>180</v>
      </c>
      <c r="D43" s="18" t="n">
        <v>19</v>
      </c>
      <c r="E43" s="15" t="n">
        <f aca="false">IFERROR(VLOOKUP(B43,'Operators performance'!B:P,15,0),"")</f>
        <v>5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customFormat="false" ht="15.75" hidden="false" customHeight="true" outlineLevel="0" collapsed="false">
      <c r="A44" s="65" t="s">
        <v>391</v>
      </c>
      <c r="B44" s="65" t="str">
        <f aca="false">TRIM(A44)</f>
        <v>ملینا احمدی (صدور حضوری)</v>
      </c>
      <c r="C44" s="65" t="n">
        <v>130</v>
      </c>
      <c r="D44" s="65" t="n">
        <v>20</v>
      </c>
      <c r="E44" s="66" t="str">
        <f aca="false">IFERROR(VLOOKUP(B44,'Operators performance'!B:P,15,0),"")</f>
        <v/>
      </c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</row>
    <row r="45" customFormat="false" ht="15.75" hidden="false" customHeight="true" outlineLevel="0" collapsed="false">
      <c r="A45" s="18" t="s">
        <v>80</v>
      </c>
      <c r="B45" s="18" t="str">
        <f aca="false">TRIM(A45)</f>
        <v>سمانه فاطمی</v>
      </c>
      <c r="C45" s="18" t="n">
        <v>83</v>
      </c>
      <c r="D45" s="18" t="n">
        <v>20</v>
      </c>
      <c r="E45" s="15" t="n">
        <f aca="false">IFERROR(VLOOKUP(B45,'Operators performance'!B:P,15,0),"")</f>
        <v>3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customFormat="false" ht="15.75" hidden="false" customHeight="true" outlineLevel="0" collapsed="false">
      <c r="A46" s="18" t="s">
        <v>96</v>
      </c>
      <c r="B46" s="18" t="str">
        <f aca="false">TRIM(A46)</f>
        <v>پارسا نصراللهی</v>
      </c>
      <c r="C46" s="18" t="n">
        <v>206</v>
      </c>
      <c r="D46" s="18" t="n">
        <v>20</v>
      </c>
      <c r="E46" s="15" t="n">
        <f aca="false">IFERROR(VLOOKUP(B46,'Operators performance'!B:P,15,0),"")</f>
        <v>5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customFormat="false" ht="15.75" hidden="false" customHeight="true" outlineLevel="0" collapsed="false">
      <c r="A47" s="18" t="s">
        <v>95</v>
      </c>
      <c r="B47" s="18" t="str">
        <f aca="false">TRIM(A47)</f>
        <v>امیر حسین رستمی</v>
      </c>
      <c r="C47" s="18" t="n">
        <v>156</v>
      </c>
      <c r="D47" s="18" t="n">
        <v>20</v>
      </c>
      <c r="E47" s="15" t="n">
        <f aca="false">IFERROR(VLOOKUP(B47,'Operators performance'!B:P,15,0),"")</f>
        <v>4.5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customFormat="false" ht="15.75" hidden="false" customHeight="true" outlineLevel="0" collapsed="false">
      <c r="A48" s="18" t="s">
        <v>155</v>
      </c>
      <c r="B48" s="18" t="str">
        <f aca="false">TRIM(A48)</f>
        <v>زهرا اکبری</v>
      </c>
      <c r="C48" s="18" t="n">
        <v>13</v>
      </c>
      <c r="D48" s="18" t="n">
        <v>20</v>
      </c>
      <c r="E48" s="15" t="n">
        <f aca="false">IFERROR(VLOOKUP(B48,'Operators performance'!B:P,15,0),"")</f>
        <v>2.5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customFormat="false" ht="15.75" hidden="false" customHeight="true" outlineLevel="0" collapsed="false">
      <c r="A49" s="18" t="s">
        <v>130</v>
      </c>
      <c r="B49" s="18" t="str">
        <f aca="false">TRIM(A49)</f>
        <v>زهرا اسماعیلی</v>
      </c>
      <c r="C49" s="18" t="n">
        <v>187</v>
      </c>
      <c r="D49" s="18" t="n">
        <v>20</v>
      </c>
      <c r="E49" s="15" t="n">
        <f aca="false">IFERROR(VLOOKUP(B49,'Operators performance'!B:P,15,0),"")</f>
        <v>5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customFormat="false" ht="15.75" hidden="false" customHeight="true" outlineLevel="0" collapsed="false">
      <c r="A50" s="65" t="s">
        <v>392</v>
      </c>
      <c r="B50" s="65" t="str">
        <f aca="false">TRIM(A50)</f>
        <v>الهه احمدیان (صدور حضوری)</v>
      </c>
      <c r="C50" s="65" t="n">
        <v>105</v>
      </c>
      <c r="D50" s="65" t="n">
        <v>20</v>
      </c>
      <c r="E50" s="66" t="str">
        <f aca="false">IFERROR(VLOOKUP(B50,'Operators performance'!B:P,15,0),"")</f>
        <v/>
      </c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</row>
    <row r="51" customFormat="false" ht="15.75" hidden="false" customHeight="true" outlineLevel="0" collapsed="false">
      <c r="A51" s="18" t="s">
        <v>348</v>
      </c>
      <c r="B51" s="18" t="str">
        <f aca="false">TRIM(A51)</f>
        <v>مرکز صدور خوش سیرت | امیر مهدی خوش سیرت</v>
      </c>
      <c r="C51" s="18" t="n">
        <v>98</v>
      </c>
      <c r="D51" s="18" t="n">
        <v>20</v>
      </c>
      <c r="E51" s="15" t="str">
        <f aca="false">IFERROR(VLOOKUP(B51,'Operators performance'!B:P,15,0),"")</f>
        <v/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customFormat="false" ht="15.75" hidden="false" customHeight="true" outlineLevel="0" collapsed="false">
      <c r="A52" s="65" t="s">
        <v>393</v>
      </c>
      <c r="B52" s="65" t="str">
        <f aca="false">TRIM(A52)</f>
        <v>صدور الحاقیه | محمدمهدی صفری</v>
      </c>
      <c r="C52" s="65" t="n">
        <v>71</v>
      </c>
      <c r="D52" s="65" t="n">
        <v>20</v>
      </c>
      <c r="E52" s="66" t="str">
        <f aca="false">IFERROR(VLOOKUP(B52,'Operators performance'!B:P,15,0),"")</f>
        <v/>
      </c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</row>
    <row r="53" customFormat="false" ht="15.75" hidden="false" customHeight="true" outlineLevel="0" collapsed="false">
      <c r="A53" s="18" t="s">
        <v>59</v>
      </c>
      <c r="B53" s="18" t="str">
        <f aca="false">TRIM(A53)</f>
        <v>محمد سعیدیان</v>
      </c>
      <c r="C53" s="18" t="n">
        <v>160</v>
      </c>
      <c r="D53" s="18" t="n">
        <v>20</v>
      </c>
      <c r="E53" s="15" t="n">
        <f aca="false">IFERROR(VLOOKUP(B53,'Operators performance'!B:P,15,0),"")</f>
        <v>4.5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customFormat="false" ht="15.75" hidden="false" customHeight="true" outlineLevel="0" collapsed="false">
      <c r="A54" s="18" t="s">
        <v>132</v>
      </c>
      <c r="B54" s="18" t="str">
        <f aca="false">TRIM(A54)</f>
        <v>زهره ذبیحی</v>
      </c>
      <c r="C54" s="18" t="n">
        <v>54</v>
      </c>
      <c r="D54" s="18" t="n">
        <v>21</v>
      </c>
      <c r="E54" s="15" t="n">
        <f aca="false">IFERROR(VLOOKUP(B54,'Operators performance'!B:P,15,0),"")</f>
        <v>2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customFormat="false" ht="15.75" hidden="false" customHeight="true" outlineLevel="0" collapsed="false">
      <c r="A55" s="18" t="s">
        <v>210</v>
      </c>
      <c r="B55" s="18" t="str">
        <f aca="false">TRIM(A55)</f>
        <v>مهدیه داودی</v>
      </c>
      <c r="C55" s="18" t="n">
        <v>90</v>
      </c>
      <c r="D55" s="18" t="n">
        <v>21</v>
      </c>
      <c r="E55" s="15" t="n">
        <f aca="false">IFERROR(VLOOKUP(B55,'Operators performance'!B:P,15,0),"")</f>
        <v>3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customFormat="false" ht="15.75" hidden="false" customHeight="true" outlineLevel="0" collapsed="false">
      <c r="A56" s="18" t="s">
        <v>162</v>
      </c>
      <c r="B56" s="18" t="str">
        <f aca="false">TRIM(A56)</f>
        <v>علی رمضی</v>
      </c>
      <c r="C56" s="18" t="n">
        <v>138</v>
      </c>
      <c r="D56" s="18" t="n">
        <v>21</v>
      </c>
      <c r="E56" s="15" t="n">
        <f aca="false">IFERROR(VLOOKUP(B56,'Operators performance'!B:P,15,0),"")</f>
        <v>3.5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customFormat="false" ht="15.75" hidden="false" customHeight="true" outlineLevel="0" collapsed="false">
      <c r="A57" s="18" t="s">
        <v>127</v>
      </c>
      <c r="B57" s="18" t="str">
        <f aca="false">TRIM(A57)</f>
        <v>حسن خادمی</v>
      </c>
      <c r="C57" s="18" t="n">
        <v>121</v>
      </c>
      <c r="D57" s="18" t="n">
        <v>21</v>
      </c>
      <c r="E57" s="15" t="n">
        <f aca="false">IFERROR(VLOOKUP(B57,'Operators performance'!B:P,15,0),"")</f>
        <v>3.5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customFormat="false" ht="15.75" hidden="false" customHeight="true" outlineLevel="0" collapsed="false">
      <c r="A58" s="18" t="s">
        <v>92</v>
      </c>
      <c r="B58" s="18" t="str">
        <f aca="false">TRIM(A58)</f>
        <v>آرزو حمیدی</v>
      </c>
      <c r="C58" s="18" t="n">
        <v>61</v>
      </c>
      <c r="D58" s="18" t="n">
        <v>21</v>
      </c>
      <c r="E58" s="15" t="n">
        <f aca="false">IFERROR(VLOOKUP(B58,'Operators performance'!B:P,15,0),"")</f>
        <v>2.5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customFormat="false" ht="15.75" hidden="false" customHeight="true" outlineLevel="0" collapsed="false">
      <c r="A59" s="18" t="s">
        <v>197</v>
      </c>
      <c r="B59" s="18" t="str">
        <f aca="false">TRIM(A59)</f>
        <v>عباس نصیری</v>
      </c>
      <c r="C59" s="18" t="n">
        <v>92</v>
      </c>
      <c r="D59" s="18" t="n">
        <v>21</v>
      </c>
      <c r="E59" s="15" t="n">
        <f aca="false">IFERROR(VLOOKUP(B59,'Operators performance'!B:P,15,0),"")</f>
        <v>3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customFormat="false" ht="15.75" hidden="false" customHeight="true" outlineLevel="0" collapsed="false">
      <c r="A60" s="18" t="s">
        <v>128</v>
      </c>
      <c r="B60" s="18" t="str">
        <f aca="false">TRIM(A60)</f>
        <v>حسین بهزادی مقدم</v>
      </c>
      <c r="C60" s="18" t="n">
        <v>63</v>
      </c>
      <c r="D60" s="18" t="n">
        <v>21</v>
      </c>
      <c r="E60" s="15" t="n">
        <f aca="false">IFERROR(VLOOKUP(B60,'Operators performance'!B:P,15,0),"")</f>
        <v>2.5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customFormat="false" ht="15.75" hidden="false" customHeight="true" outlineLevel="0" collapsed="false">
      <c r="A61" s="18" t="s">
        <v>98</v>
      </c>
      <c r="B61" s="18" t="str">
        <f aca="false">TRIM(A61)</f>
        <v>پویا شهبازی</v>
      </c>
      <c r="C61" s="18" t="n">
        <v>84</v>
      </c>
      <c r="D61" s="18" t="n">
        <v>22</v>
      </c>
      <c r="E61" s="15" t="n">
        <f aca="false">IFERROR(VLOOKUP(B61,'Operators performance'!B:P,15,0),"")</f>
        <v>2.5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customFormat="false" ht="15.75" hidden="false" customHeight="true" outlineLevel="0" collapsed="false">
      <c r="A62" s="18" t="s">
        <v>160</v>
      </c>
      <c r="B62" s="18" t="str">
        <f aca="false">TRIM(A62)</f>
        <v>سمانه آشوری</v>
      </c>
      <c r="C62" s="18" t="n">
        <v>66</v>
      </c>
      <c r="D62" s="18" t="n">
        <v>21</v>
      </c>
      <c r="E62" s="15" t="n">
        <f aca="false">IFERROR(VLOOKUP(B62,'Operators performance'!B:P,15,0),"")</f>
        <v>2.5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customFormat="false" ht="15.75" hidden="false" customHeight="true" outlineLevel="0" collapsed="false">
      <c r="A63" s="18" t="s">
        <v>228</v>
      </c>
      <c r="B63" s="18" t="str">
        <f aca="false">TRIM(A63)</f>
        <v>شیرین امیری</v>
      </c>
      <c r="C63" s="18" t="n">
        <v>42</v>
      </c>
      <c r="D63" s="18" t="n">
        <v>22</v>
      </c>
      <c r="E63" s="15" t="n">
        <f aca="false">IFERROR(VLOOKUP(B63,'Operators performance'!B:P,15,0),"")</f>
        <v>2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customFormat="false" ht="15.75" hidden="false" customHeight="true" outlineLevel="0" collapsed="false">
      <c r="A64" s="18" t="s">
        <v>154</v>
      </c>
      <c r="B64" s="18" t="str">
        <f aca="false">TRIM(A64)</f>
        <v>دنیا سیسختی</v>
      </c>
      <c r="C64" s="18" t="n">
        <v>72</v>
      </c>
      <c r="D64" s="18" t="n">
        <v>22</v>
      </c>
      <c r="E64" s="15" t="n">
        <f aca="false">IFERROR(VLOOKUP(B64,'Operators performance'!B:P,15,0),"")</f>
        <v>2.5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customFormat="false" ht="15.75" hidden="false" customHeight="true" outlineLevel="0" collapsed="false">
      <c r="A65" s="18" t="s">
        <v>349</v>
      </c>
      <c r="B65" s="18" t="str">
        <f aca="false">TRIM(A65)</f>
        <v>مرکز صدور کیانی | شایان کیانی بیگدلی</v>
      </c>
      <c r="C65" s="18" t="n">
        <v>126</v>
      </c>
      <c r="D65" s="18" t="n">
        <v>21</v>
      </c>
      <c r="E65" s="15" t="str">
        <f aca="false">IFERROR(VLOOKUP(B65,'Operators performance'!B:P,15,0),"")</f>
        <v/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customFormat="false" ht="15.75" hidden="false" customHeight="true" outlineLevel="0" collapsed="false">
      <c r="A66" s="18" t="s">
        <v>64</v>
      </c>
      <c r="B66" s="18" t="str">
        <f aca="false">TRIM(A66)</f>
        <v>رویا خیری</v>
      </c>
      <c r="C66" s="18" t="n">
        <v>245</v>
      </c>
      <c r="D66" s="18" t="n">
        <v>22</v>
      </c>
      <c r="E66" s="15" t="n">
        <f aca="false">IFERROR(VLOOKUP(B66,'Operators performance'!B:P,15,0),"")</f>
        <v>4.5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customFormat="false" ht="15.75" hidden="false" customHeight="true" outlineLevel="0" collapsed="false">
      <c r="A67" s="18" t="s">
        <v>85</v>
      </c>
      <c r="B67" s="18" t="str">
        <f aca="false">TRIM(A67)</f>
        <v>لیلا داوطلب</v>
      </c>
      <c r="C67" s="18" t="n">
        <v>378</v>
      </c>
      <c r="D67" s="18" t="n">
        <v>22</v>
      </c>
      <c r="E67" s="15" t="n">
        <f aca="false">IFERROR(VLOOKUP(B67,'Operators performance'!B:P,15,0),"")</f>
        <v>4.5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customFormat="false" ht="15.75" hidden="false" customHeight="true" outlineLevel="0" collapsed="false">
      <c r="A68" s="18" t="s">
        <v>55</v>
      </c>
      <c r="B68" s="18" t="str">
        <f aca="false">TRIM(A68)</f>
        <v>امیر حسین پزشک پور</v>
      </c>
      <c r="C68" s="18" t="n">
        <v>233</v>
      </c>
      <c r="D68" s="18" t="n">
        <v>22</v>
      </c>
      <c r="E68" s="15" t="n">
        <f aca="false">IFERROR(VLOOKUP(B68,'Operators performance'!B:P,15,0),"")</f>
        <v>4.5</v>
      </c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customFormat="false" ht="15.75" hidden="false" customHeight="true" outlineLevel="0" collapsed="false">
      <c r="A69" s="18" t="s">
        <v>173</v>
      </c>
      <c r="B69" s="18" t="str">
        <f aca="false">TRIM(A69)</f>
        <v>مهشید حمیدی</v>
      </c>
      <c r="C69" s="18" t="n">
        <v>99</v>
      </c>
      <c r="D69" s="18" t="n">
        <v>22</v>
      </c>
      <c r="E69" s="15" t="n">
        <f aca="false">IFERROR(VLOOKUP(B69,'Operators performance'!B:P,15,0),"")</f>
        <v>3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customFormat="false" ht="15.75" hidden="false" customHeight="true" outlineLevel="0" collapsed="false">
      <c r="A70" s="18" t="s">
        <v>237</v>
      </c>
      <c r="B70" s="18" t="str">
        <f aca="false">TRIM(A70)</f>
        <v>مرکز صدور خوش سیرت | آیدا افشاری</v>
      </c>
      <c r="C70" s="18" t="n">
        <v>135</v>
      </c>
      <c r="D70" s="18" t="n">
        <v>22</v>
      </c>
      <c r="E70" s="15" t="n">
        <f aca="false">IFERROR(VLOOKUP(B70,'Operators performance'!B:P,15,0),"")</f>
        <v>3.5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customFormat="false" ht="15.75" hidden="false" customHeight="true" outlineLevel="0" collapsed="false">
      <c r="A71" s="18" t="s">
        <v>178</v>
      </c>
      <c r="B71" s="18" t="str">
        <f aca="false">TRIM(A71)</f>
        <v>مرکز صدور رضوانی | امیرحسین صابر</v>
      </c>
      <c r="C71" s="18" t="n">
        <v>117</v>
      </c>
      <c r="D71" s="18" t="n">
        <v>22</v>
      </c>
      <c r="E71" s="15" t="n">
        <f aca="false">IFERROR(VLOOKUP(B71,'Operators performance'!B:P,15,0),"")</f>
        <v>3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customFormat="false" ht="15.75" hidden="false" customHeight="true" outlineLevel="0" collapsed="false">
      <c r="A72" s="18" t="s">
        <v>107</v>
      </c>
      <c r="B72" s="18" t="str">
        <f aca="false">TRIM(A72)</f>
        <v>فاطمه اقلیمی</v>
      </c>
      <c r="C72" s="18" t="n">
        <v>197</v>
      </c>
      <c r="D72" s="18" t="n">
        <v>22</v>
      </c>
      <c r="E72" s="15" t="n">
        <f aca="false">IFERROR(VLOOKUP(B72,'Operators performance'!B:P,15,0),"")</f>
        <v>4.5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customFormat="false" ht="15.75" hidden="false" customHeight="true" outlineLevel="0" collapsed="false">
      <c r="A73" s="18" t="s">
        <v>126</v>
      </c>
      <c r="B73" s="18" t="str">
        <f aca="false">TRIM(A73)</f>
        <v>تینا مختاری</v>
      </c>
      <c r="C73" s="18" t="n">
        <v>149</v>
      </c>
      <c r="D73" s="18" t="n">
        <v>22</v>
      </c>
      <c r="E73" s="15" t="n">
        <f aca="false">IFERROR(VLOOKUP(B73,'Operators performance'!B:P,15,0),"")</f>
        <v>3.5</v>
      </c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customFormat="false" ht="15.75" hidden="false" customHeight="true" outlineLevel="0" collapsed="false">
      <c r="A74" s="18" t="s">
        <v>78</v>
      </c>
      <c r="B74" s="18" t="str">
        <f aca="false">TRIM(A74)</f>
        <v>زهرا قربانی</v>
      </c>
      <c r="C74" s="18" t="n">
        <v>132</v>
      </c>
      <c r="D74" s="18" t="n">
        <v>22</v>
      </c>
      <c r="E74" s="15" t="n">
        <f aca="false">IFERROR(VLOOKUP(B74,'Operators performance'!B:P,15,0),"")</f>
        <v>3.5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customFormat="false" ht="15.75" hidden="false" customHeight="true" outlineLevel="0" collapsed="false">
      <c r="A75" s="18" t="s">
        <v>182</v>
      </c>
      <c r="B75" s="18" t="str">
        <f aca="false">TRIM(A75)</f>
        <v>امیر حسین گل محمدی</v>
      </c>
      <c r="C75" s="18" t="n">
        <v>75</v>
      </c>
      <c r="D75" s="18" t="n">
        <v>23</v>
      </c>
      <c r="E75" s="15" t="n">
        <f aca="false">IFERROR(VLOOKUP(B75,'Operators performance'!B:P,15,0),"")</f>
        <v>2.5</v>
      </c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customFormat="false" ht="15.75" hidden="false" customHeight="true" outlineLevel="0" collapsed="false">
      <c r="A76" s="18" t="s">
        <v>66</v>
      </c>
      <c r="B76" s="18" t="str">
        <f aca="false">TRIM(A76)</f>
        <v>زهرا عبدی</v>
      </c>
      <c r="C76" s="18" t="n">
        <v>230</v>
      </c>
      <c r="D76" s="18" t="n">
        <v>23</v>
      </c>
      <c r="E76" s="15" t="n">
        <f aca="false">IFERROR(VLOOKUP(B76,'Operators performance'!B:P,15,0),"")</f>
        <v>4.5</v>
      </c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customFormat="false" ht="15.75" hidden="false" customHeight="true" outlineLevel="0" collapsed="false">
      <c r="A77" s="18" t="s">
        <v>70</v>
      </c>
      <c r="B77" s="18" t="str">
        <f aca="false">TRIM(A77)</f>
        <v>فاطمه هاشمی</v>
      </c>
      <c r="C77" s="18" t="n">
        <v>235</v>
      </c>
      <c r="D77" s="18" t="n">
        <v>23</v>
      </c>
      <c r="E77" s="15" t="n">
        <f aca="false">IFERROR(VLOOKUP(B77,'Operators performance'!B:P,15,0),"")</f>
        <v>4.5</v>
      </c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customFormat="false" ht="15.75" hidden="false" customHeight="true" outlineLevel="0" collapsed="false">
      <c r="A78" s="18" t="s">
        <v>103</v>
      </c>
      <c r="B78" s="18" t="str">
        <f aca="false">TRIM(A78)</f>
        <v>سایه ملکی</v>
      </c>
      <c r="C78" s="18" t="n">
        <v>138</v>
      </c>
      <c r="D78" s="18" t="n">
        <v>23</v>
      </c>
      <c r="E78" s="15" t="n">
        <f aca="false">IFERROR(VLOOKUP(B78,'Operators performance'!B:P,15,0),"")</f>
        <v>3.5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customFormat="false" ht="15.75" hidden="false" customHeight="true" outlineLevel="0" collapsed="false">
      <c r="A79" s="18" t="s">
        <v>239</v>
      </c>
      <c r="B79" s="18" t="str">
        <f aca="false">TRIM(A79)</f>
        <v>مرکز صدور غفوری | حسن غفوری</v>
      </c>
      <c r="C79" s="18" t="n">
        <v>67</v>
      </c>
      <c r="D79" s="18" t="n">
        <v>23</v>
      </c>
      <c r="E79" s="15" t="n">
        <f aca="false">IFERROR(VLOOKUP(B79,'Operators performance'!B:P,15,0),"")</f>
        <v>2.5</v>
      </c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customFormat="false" ht="15.75" hidden="false" customHeight="true" outlineLevel="0" collapsed="false">
      <c r="A80" s="18" t="s">
        <v>113</v>
      </c>
      <c r="B80" s="18" t="str">
        <f aca="false">TRIM(A80)</f>
        <v>مرتضی احمدی</v>
      </c>
      <c r="C80" s="18" t="n">
        <v>107</v>
      </c>
      <c r="D80" s="18" t="n">
        <v>23</v>
      </c>
      <c r="E80" s="15" t="n">
        <f aca="false">IFERROR(VLOOKUP(B80,'Operators performance'!B:P,15,0),"")</f>
        <v>3</v>
      </c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customFormat="false" ht="15.75" hidden="false" customHeight="true" outlineLevel="0" collapsed="false">
      <c r="A81" s="18" t="s">
        <v>86</v>
      </c>
      <c r="B81" s="18" t="str">
        <f aca="false">TRIM(A81)</f>
        <v>ماهدخت حسنی</v>
      </c>
      <c r="C81" s="18" t="n">
        <v>183</v>
      </c>
      <c r="D81" s="18" t="n">
        <v>23</v>
      </c>
      <c r="E81" s="15" t="n">
        <f aca="false">IFERROR(VLOOKUP(B81,'Operators performance'!B:P,15,0),"")</f>
        <v>4.5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customFormat="false" ht="15.75" hidden="false" customHeight="true" outlineLevel="0" collapsed="false">
      <c r="A82" s="65" t="s">
        <v>394</v>
      </c>
      <c r="B82" s="65" t="str">
        <f aca="false">TRIM(A82)</f>
        <v>صدور الحاقیه | امین سقائی</v>
      </c>
      <c r="C82" s="65" t="n">
        <v>35</v>
      </c>
      <c r="D82" s="65" t="n">
        <v>23</v>
      </c>
      <c r="E82" s="66" t="str">
        <f aca="false">IFERROR(VLOOKUP(B82,'Operators performance'!B:P,15,0),"")</f>
        <v/>
      </c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</row>
    <row r="83" customFormat="false" ht="15.75" hidden="false" customHeight="true" outlineLevel="0" collapsed="false">
      <c r="A83" s="18" t="s">
        <v>68</v>
      </c>
      <c r="B83" s="18" t="str">
        <f aca="false">TRIM(A83)</f>
        <v>صادق عبدی</v>
      </c>
      <c r="C83" s="18" t="n">
        <v>213</v>
      </c>
      <c r="D83" s="18" t="n">
        <v>23</v>
      </c>
      <c r="E83" s="15" t="n">
        <f aca="false">IFERROR(VLOOKUP(B83,'Operators performance'!B:P,15,0),"")</f>
        <v>4.5</v>
      </c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customFormat="false" ht="15.75" hidden="false" customHeight="true" outlineLevel="0" collapsed="false">
      <c r="A84" s="18" t="s">
        <v>104</v>
      </c>
      <c r="B84" s="18" t="str">
        <f aca="false">TRIM(A84)</f>
        <v>سمیرا فتاحی</v>
      </c>
      <c r="C84" s="18" t="n">
        <v>153</v>
      </c>
      <c r="D84" s="18" t="n">
        <v>23</v>
      </c>
      <c r="E84" s="15" t="n">
        <f aca="false">IFERROR(VLOOKUP(B84,'Operators performance'!B:P,15,0),"")</f>
        <v>4</v>
      </c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customFormat="false" ht="15.75" hidden="false" customHeight="true" outlineLevel="0" collapsed="false">
      <c r="A85" s="18" t="s">
        <v>125</v>
      </c>
      <c r="B85" s="18" t="str">
        <f aca="false">TRIM(A85)</f>
        <v>آمنه رنجبری</v>
      </c>
      <c r="C85" s="18" t="n">
        <v>100</v>
      </c>
      <c r="D85" s="18" t="n">
        <v>23</v>
      </c>
      <c r="E85" s="15" t="n">
        <f aca="false">IFERROR(VLOOKUP(B85,'Operators performance'!B:P,15,0),"")</f>
        <v>3</v>
      </c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customFormat="false" ht="15.75" hidden="false" customHeight="true" outlineLevel="0" collapsed="false">
      <c r="A86" s="18" t="s">
        <v>57</v>
      </c>
      <c r="B86" s="18" t="str">
        <f aca="false">TRIM(A86)</f>
        <v>سارا رسولی</v>
      </c>
      <c r="C86" s="18" t="n">
        <v>283</v>
      </c>
      <c r="D86" s="18" t="n">
        <v>24</v>
      </c>
      <c r="E86" s="15" t="n">
        <f aca="false">IFERROR(VLOOKUP(B86,'Operators performance'!B:P,15,0),"")</f>
        <v>4.5</v>
      </c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customFormat="false" ht="15.75" hidden="false" customHeight="true" outlineLevel="0" collapsed="false">
      <c r="A87" s="18" t="s">
        <v>67</v>
      </c>
      <c r="B87" s="18" t="str">
        <f aca="false">TRIM(A87)</f>
        <v>سولماز اسدپور</v>
      </c>
      <c r="C87" s="18" t="n">
        <v>198</v>
      </c>
      <c r="D87" s="18" t="n">
        <v>24</v>
      </c>
      <c r="E87" s="15" t="n">
        <f aca="false">IFERROR(VLOOKUP(B87,'Operators performance'!B:P,15,0),"")</f>
        <v>4.5</v>
      </c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customFormat="false" ht="15.75" hidden="false" customHeight="true" outlineLevel="0" collapsed="false">
      <c r="A88" s="18" t="s">
        <v>395</v>
      </c>
      <c r="B88" s="18" t="str">
        <f aca="false">TRIM(A88)</f>
        <v>الهام اصلی</v>
      </c>
      <c r="C88" s="18" t="n">
        <v>10</v>
      </c>
      <c r="D88" s="18" t="n">
        <v>23</v>
      </c>
      <c r="E88" s="15" t="str">
        <f aca="false">IFERROR(VLOOKUP(B88,'Operators performance'!B:P,15,0),"")</f>
        <v/>
      </c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customFormat="false" ht="15.75" hidden="false" customHeight="true" outlineLevel="0" collapsed="false">
      <c r="A89" s="18" t="s">
        <v>146</v>
      </c>
      <c r="B89" s="18" t="str">
        <f aca="false">TRIM(A89)</f>
        <v>آزیتا عبدی</v>
      </c>
      <c r="C89" s="18" t="n">
        <v>36</v>
      </c>
      <c r="D89" s="18" t="n">
        <v>24</v>
      </c>
      <c r="E89" s="15" t="n">
        <f aca="false">IFERROR(VLOOKUP(B89,'Operators performance'!B:P,15,0),"")</f>
        <v>2</v>
      </c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customFormat="false" ht="15.75" hidden="false" customHeight="true" outlineLevel="0" collapsed="false">
      <c r="A90" s="18" t="s">
        <v>396</v>
      </c>
      <c r="B90" s="18" t="str">
        <f aca="false">TRIM(A90)</f>
        <v>علی بوستانی ماوی</v>
      </c>
      <c r="C90" s="18" t="n">
        <v>1</v>
      </c>
      <c r="D90" s="18" t="n">
        <v>23</v>
      </c>
      <c r="E90" s="15" t="str">
        <f aca="false">IFERROR(VLOOKUP(B90,'Operators performance'!B:P,15,0),"")</f>
        <v/>
      </c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customFormat="false" ht="15.75" hidden="false" customHeight="true" outlineLevel="0" collapsed="false">
      <c r="A91" s="65" t="s">
        <v>397</v>
      </c>
      <c r="B91" s="65" t="str">
        <f aca="false">TRIM(A91)</f>
        <v>محمد جعفری</v>
      </c>
      <c r="C91" s="65" t="n">
        <v>1</v>
      </c>
      <c r="D91" s="65" t="n">
        <v>23</v>
      </c>
      <c r="E91" s="66" t="str">
        <f aca="false">IFERROR(VLOOKUP(B91,'Operators performance'!B:P,15,0),"")</f>
        <v/>
      </c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</row>
    <row r="92" customFormat="false" ht="15.75" hidden="false" customHeight="true" outlineLevel="0" collapsed="false">
      <c r="A92" s="18" t="s">
        <v>213</v>
      </c>
      <c r="B92" s="18" t="str">
        <f aca="false">TRIM(A92)</f>
        <v>نگین سالاریان نژاد</v>
      </c>
      <c r="C92" s="18" t="n">
        <v>61</v>
      </c>
      <c r="D92" s="18" t="n">
        <v>23</v>
      </c>
      <c r="E92" s="15" t="n">
        <f aca="false">IFERROR(VLOOKUP(B92,'Operators performance'!B:P,15,0),"")</f>
        <v>2.5</v>
      </c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customFormat="false" ht="15.75" hidden="false" customHeight="true" outlineLevel="0" collapsed="false">
      <c r="A93" s="18" t="s">
        <v>63</v>
      </c>
      <c r="B93" s="18" t="str">
        <f aca="false">TRIM(A93)</f>
        <v>رامینا برنجیان</v>
      </c>
      <c r="C93" s="18" t="n">
        <v>338</v>
      </c>
      <c r="D93" s="18" t="n">
        <v>23</v>
      </c>
      <c r="E93" s="15" t="n">
        <f aca="false">IFERROR(VLOOKUP(B93,'Operators performance'!B:P,15,0),"")</f>
        <v>4.5</v>
      </c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customFormat="false" ht="15.75" hidden="false" customHeight="true" outlineLevel="0" collapsed="false">
      <c r="A94" s="18" t="s">
        <v>183</v>
      </c>
      <c r="B94" s="18" t="str">
        <f aca="false">TRIM(A94)</f>
        <v>امیر قربانی</v>
      </c>
      <c r="C94" s="18" t="n">
        <v>64</v>
      </c>
      <c r="D94" s="18" t="n">
        <v>23</v>
      </c>
      <c r="E94" s="15" t="n">
        <f aca="false">IFERROR(VLOOKUP(B94,'Operators performance'!B:P,15,0),"")</f>
        <v>2.5</v>
      </c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customFormat="false" ht="15.75" hidden="false" customHeight="true" outlineLevel="0" collapsed="false">
      <c r="A95" s="18" t="s">
        <v>179</v>
      </c>
      <c r="B95" s="18" t="str">
        <f aca="false">TRIM(A95)</f>
        <v>آروین کیخسروی</v>
      </c>
      <c r="C95" s="18" t="n">
        <v>97</v>
      </c>
      <c r="D95" s="18" t="n">
        <v>24</v>
      </c>
      <c r="E95" s="15" t="n">
        <f aca="false">IFERROR(VLOOKUP(B95,'Operators performance'!B:P,15,0),"")</f>
        <v>3</v>
      </c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customFormat="false" ht="15.75" hidden="false" customHeight="true" outlineLevel="0" collapsed="false">
      <c r="A96" s="18" t="s">
        <v>344</v>
      </c>
      <c r="B96" s="18" t="str">
        <f aca="false">TRIM(A96)</f>
        <v>محمد طاهری</v>
      </c>
      <c r="C96" s="18" t="n">
        <v>5</v>
      </c>
      <c r="D96" s="18" t="n">
        <v>24</v>
      </c>
      <c r="E96" s="15" t="str">
        <f aca="false">IFERROR(VLOOKUP(B96,'Operators performance'!B:P,15,0),"")</f>
        <v/>
      </c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customFormat="false" ht="15.75" hidden="false" customHeight="true" outlineLevel="0" collapsed="false">
      <c r="A97" s="18" t="s">
        <v>208</v>
      </c>
      <c r="B97" s="18" t="str">
        <f aca="false">TRIM(A97)</f>
        <v>ملیکا جعفریان</v>
      </c>
      <c r="C97" s="18" t="n">
        <v>92</v>
      </c>
      <c r="D97" s="18" t="n">
        <v>24</v>
      </c>
      <c r="E97" s="15" t="n">
        <f aca="false">IFERROR(VLOOKUP(B97,'Operators performance'!B:P,15,0),"")</f>
        <v>3</v>
      </c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customFormat="false" ht="15.75" hidden="false" customHeight="true" outlineLevel="0" collapsed="false">
      <c r="A98" s="18" t="s">
        <v>165</v>
      </c>
      <c r="B98" s="18" t="str">
        <f aca="false">TRIM(A98)</f>
        <v>فاطمه نیکوبین</v>
      </c>
      <c r="C98" s="18" t="n">
        <v>62</v>
      </c>
      <c r="D98" s="18" t="n">
        <v>24</v>
      </c>
      <c r="E98" s="15" t="n">
        <f aca="false">IFERROR(VLOOKUP(B98,'Operators performance'!B:P,15,0),"")</f>
        <v>2.5</v>
      </c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customFormat="false" ht="15.75" hidden="false" customHeight="true" outlineLevel="0" collapsed="false">
      <c r="A99" s="18" t="s">
        <v>114</v>
      </c>
      <c r="B99" s="18" t="str">
        <f aca="false">TRIM(A99)</f>
        <v>مرکز صدور خلیلی | حمید خلیلی</v>
      </c>
      <c r="C99" s="18" t="n">
        <v>97</v>
      </c>
      <c r="D99" s="18" t="n">
        <v>24</v>
      </c>
      <c r="E99" s="15" t="n">
        <f aca="false">IFERROR(VLOOKUP(B99,'Operators performance'!B:P,15,0),"")</f>
        <v>3</v>
      </c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customFormat="false" ht="15.75" hidden="false" customHeight="true" outlineLevel="0" collapsed="false">
      <c r="A100" s="18" t="s">
        <v>135</v>
      </c>
      <c r="B100" s="18" t="str">
        <f aca="false">TRIM(A100)</f>
        <v>فاطمه شریفی</v>
      </c>
      <c r="C100" s="18" t="n">
        <v>228</v>
      </c>
      <c r="D100" s="18" t="n">
        <v>24</v>
      </c>
      <c r="E100" s="15" t="n">
        <f aca="false">IFERROR(VLOOKUP(B100,'Operators performance'!B:P,15,0),"")</f>
        <v>4.5</v>
      </c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customFormat="false" ht="15.75" hidden="false" customHeight="true" outlineLevel="0" collapsed="false">
      <c r="A101" s="18" t="s">
        <v>115</v>
      </c>
      <c r="B101" s="18" t="str">
        <f aca="false">TRIM(A101)</f>
        <v>مرکز صدور شاه محمدی | شیوا شجاعی</v>
      </c>
      <c r="C101" s="18" t="n">
        <v>93</v>
      </c>
      <c r="D101" s="18" t="n">
        <v>24</v>
      </c>
      <c r="E101" s="15" t="n">
        <f aca="false">IFERROR(VLOOKUP(B101,'Operators performance'!B:P,15,0),"")</f>
        <v>3</v>
      </c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customFormat="false" ht="15.75" hidden="false" customHeight="true" outlineLevel="0" collapsed="false">
      <c r="A102" s="18" t="s">
        <v>83</v>
      </c>
      <c r="B102" s="18" t="str">
        <f aca="false">TRIM(A102)</f>
        <v>فاطمه خوئینی</v>
      </c>
      <c r="C102" s="18" t="n">
        <v>256</v>
      </c>
      <c r="D102" s="18" t="n">
        <v>24</v>
      </c>
      <c r="E102" s="15" t="n">
        <f aca="false">IFERROR(VLOOKUP(B102,'Operators performance'!B:P,15,0),"")</f>
        <v>4.5</v>
      </c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customFormat="false" ht="15.75" hidden="false" customHeight="true" outlineLevel="0" collapsed="false">
      <c r="A103" s="18" t="s">
        <v>289</v>
      </c>
      <c r="B103" s="18" t="str">
        <f aca="false">TRIM(A103)</f>
        <v>مرکز صدور شاه محمدی | مبینا یارمحمدی</v>
      </c>
      <c r="C103" s="18" t="n">
        <v>64</v>
      </c>
      <c r="D103" s="18" t="n">
        <v>24</v>
      </c>
      <c r="E103" s="15" t="n">
        <f aca="false">IFERROR(VLOOKUP(B103,'Operators performance'!B:P,15,0),"")</f>
        <v>2.5</v>
      </c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customFormat="false" ht="15.75" hidden="false" customHeight="true" outlineLevel="0" collapsed="false">
      <c r="A104" s="18" t="s">
        <v>139</v>
      </c>
      <c r="B104" s="18" t="str">
        <f aca="false">TRIM(A104)</f>
        <v>مرکز صدور اسکندری | نرگس حسنی</v>
      </c>
      <c r="C104" s="18" t="n">
        <v>134</v>
      </c>
      <c r="D104" s="18" t="n">
        <v>24</v>
      </c>
      <c r="E104" s="15" t="n">
        <f aca="false">IFERROR(VLOOKUP(B104,'Operators performance'!B:P,15,0),"")</f>
        <v>3.5</v>
      </c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customFormat="false" ht="15.75" hidden="false" customHeight="true" outlineLevel="0" collapsed="false">
      <c r="A105" s="18" t="s">
        <v>89</v>
      </c>
      <c r="B105" s="18" t="str">
        <f aca="false">TRIM(A105)</f>
        <v>مریم هاشمی</v>
      </c>
      <c r="C105" s="18" t="n">
        <v>165</v>
      </c>
      <c r="D105" s="18" t="n">
        <v>25</v>
      </c>
      <c r="E105" s="15" t="n">
        <f aca="false">IFERROR(VLOOKUP(B105,'Operators performance'!B:P,15,0),"")</f>
        <v>4</v>
      </c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customFormat="false" ht="15.75" hidden="false" customHeight="true" outlineLevel="0" collapsed="false">
      <c r="A106" s="18" t="s">
        <v>214</v>
      </c>
      <c r="B106" s="18" t="str">
        <f aca="false">TRIM(A106)</f>
        <v>هاجر کمالی</v>
      </c>
      <c r="C106" s="18" t="n">
        <v>75</v>
      </c>
      <c r="D106" s="18" t="n">
        <v>24</v>
      </c>
      <c r="E106" s="15" t="n">
        <f aca="false">IFERROR(VLOOKUP(B106,'Operators performance'!B:P,15,0),"")</f>
        <v>2.5</v>
      </c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customFormat="false" ht="15.75" hidden="false" customHeight="true" outlineLevel="0" collapsed="false">
      <c r="A107" s="18" t="s">
        <v>219</v>
      </c>
      <c r="B107" s="18" t="str">
        <f aca="false">TRIM(A107)</f>
        <v>امین سلیمانی فرد</v>
      </c>
      <c r="C107" s="18" t="n">
        <v>52</v>
      </c>
      <c r="D107" s="18" t="n">
        <v>25</v>
      </c>
      <c r="E107" s="15" t="n">
        <f aca="false">IFERROR(VLOOKUP(B107,'Operators performance'!B:P,15,0),"")</f>
        <v>2</v>
      </c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customFormat="false" ht="15.75" hidden="false" customHeight="true" outlineLevel="0" collapsed="false">
      <c r="A108" s="18" t="s">
        <v>54</v>
      </c>
      <c r="B108" s="18" t="str">
        <f aca="false">TRIM(A108)</f>
        <v>افشین میرزاده</v>
      </c>
      <c r="C108" s="18" t="n">
        <v>201</v>
      </c>
      <c r="D108" s="18" t="n">
        <v>24</v>
      </c>
      <c r="E108" s="15" t="n">
        <f aca="false">IFERROR(VLOOKUP(B108,'Operators performance'!B:P,15,0),"")</f>
        <v>4.5</v>
      </c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customFormat="false" ht="15.75" hidden="false" customHeight="true" outlineLevel="0" collapsed="false">
      <c r="A109" s="18" t="s">
        <v>231</v>
      </c>
      <c r="B109" s="18" t="str">
        <f aca="false">TRIM(A109)</f>
        <v>غزل فردی تبریزی</v>
      </c>
      <c r="C109" s="18" t="n">
        <v>14</v>
      </c>
      <c r="D109" s="18" t="n">
        <v>24</v>
      </c>
      <c r="E109" s="15" t="n">
        <f aca="false">IFERROR(VLOOKUP(B109,'Operators performance'!B:P,15,0),"")</f>
        <v>2</v>
      </c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customFormat="false" ht="15.75" hidden="false" customHeight="true" outlineLevel="0" collapsed="false">
      <c r="A110" s="18" t="s">
        <v>174</v>
      </c>
      <c r="B110" s="18" t="str">
        <f aca="false">TRIM(A110)</f>
        <v>نرگس خزلی</v>
      </c>
      <c r="C110" s="18" t="n">
        <v>173</v>
      </c>
      <c r="D110" s="18" t="n">
        <v>24</v>
      </c>
      <c r="E110" s="15" t="n">
        <f aca="false">IFERROR(VLOOKUP(B110,'Operators performance'!B:P,15,0),"")</f>
        <v>4</v>
      </c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customFormat="false" ht="15.75" hidden="false" customHeight="true" outlineLevel="0" collapsed="false">
      <c r="A111" s="18" t="s">
        <v>120</v>
      </c>
      <c r="B111" s="18" t="str">
        <f aca="false">TRIM(A111)</f>
        <v>ملیکا جان محمدی</v>
      </c>
      <c r="C111" s="18" t="n">
        <v>255</v>
      </c>
      <c r="D111" s="18" t="n">
        <v>24</v>
      </c>
      <c r="E111" s="15" t="n">
        <f aca="false">IFERROR(VLOOKUP(B111,'Operators performance'!B:P,15,0),"")</f>
        <v>4.5</v>
      </c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customFormat="false" ht="15.75" hidden="false" customHeight="true" outlineLevel="0" collapsed="false">
      <c r="A112" s="18" t="s">
        <v>133</v>
      </c>
      <c r="B112" s="18" t="str">
        <f aca="false">TRIM(A112)</f>
        <v>زیبا زارعی</v>
      </c>
      <c r="C112" s="18" t="n">
        <v>157</v>
      </c>
      <c r="D112" s="18" t="n">
        <v>25</v>
      </c>
      <c r="E112" s="15" t="n">
        <f aca="false">IFERROR(VLOOKUP(B112,'Operators performance'!B:P,15,0),"")</f>
        <v>4</v>
      </c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customFormat="false" ht="15.75" hidden="false" customHeight="true" outlineLevel="0" collapsed="false">
      <c r="A113" s="18" t="s">
        <v>224</v>
      </c>
      <c r="B113" s="18" t="str">
        <f aca="false">TRIM(A113)</f>
        <v>زهرا رحیمی احسان</v>
      </c>
      <c r="C113" s="18" t="n">
        <v>69</v>
      </c>
      <c r="D113" s="18" t="n">
        <v>24</v>
      </c>
      <c r="E113" s="15" t="n">
        <f aca="false">IFERROR(VLOOKUP(B113,'Operators performance'!B:P,15,0),"")</f>
        <v>2.5</v>
      </c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customFormat="false" ht="15.75" hidden="false" customHeight="true" outlineLevel="0" collapsed="false">
      <c r="A114" s="18" t="s">
        <v>144</v>
      </c>
      <c r="B114" s="18" t="str">
        <f aca="false">TRIM(A114)</f>
        <v>مهدیه آزادی</v>
      </c>
      <c r="C114" s="18" t="n">
        <v>124</v>
      </c>
      <c r="D114" s="18" t="n">
        <v>25</v>
      </c>
      <c r="E114" s="15" t="n">
        <f aca="false">IFERROR(VLOOKUP(B114,'Operators performance'!B:P,15,0),"")</f>
        <v>3.5</v>
      </c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customFormat="false" ht="15.75" hidden="false" customHeight="true" outlineLevel="0" collapsed="false">
      <c r="A115" s="18" t="s">
        <v>258</v>
      </c>
      <c r="B115" s="18" t="str">
        <f aca="false">TRIM(A115)</f>
        <v>پرنیان امیری</v>
      </c>
      <c r="C115" s="18" t="n">
        <v>46</v>
      </c>
      <c r="D115" s="18" t="n">
        <v>25</v>
      </c>
      <c r="E115" s="15" t="n">
        <f aca="false">IFERROR(VLOOKUP(B115,'Operators performance'!B:P,15,0),"")</f>
        <v>2</v>
      </c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customFormat="false" ht="15.75" hidden="false" customHeight="true" outlineLevel="0" collapsed="false">
      <c r="A116" s="18" t="s">
        <v>157</v>
      </c>
      <c r="B116" s="18" t="str">
        <f aca="false">TRIM(A116)</f>
        <v>زهره شمس</v>
      </c>
      <c r="C116" s="18" t="n">
        <v>182</v>
      </c>
      <c r="D116" s="18" t="n">
        <v>25</v>
      </c>
      <c r="E116" s="15" t="n">
        <f aca="false">IFERROR(VLOOKUP(B116,'Operators performance'!B:P,15,0),"")</f>
        <v>4.5</v>
      </c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customFormat="false" ht="15.75" hidden="false" customHeight="true" outlineLevel="0" collapsed="false">
      <c r="A117" s="18" t="s">
        <v>212</v>
      </c>
      <c r="B117" s="18" t="str">
        <f aca="false">TRIM(A117)</f>
        <v>مینا صفرپور</v>
      </c>
      <c r="C117" s="18" t="n">
        <v>59</v>
      </c>
      <c r="D117" s="18" t="n">
        <v>25</v>
      </c>
      <c r="E117" s="15" t="n">
        <f aca="false">IFERROR(VLOOKUP(B117,'Operators performance'!B:P,15,0),"")</f>
        <v>2</v>
      </c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customFormat="false" ht="15.75" hidden="false" customHeight="true" outlineLevel="0" collapsed="false">
      <c r="A118" s="18" t="s">
        <v>172</v>
      </c>
      <c r="B118" s="18" t="str">
        <f aca="false">TRIM(A118)</f>
        <v>مهسا عبدی پور</v>
      </c>
      <c r="C118" s="18" t="n">
        <v>100</v>
      </c>
      <c r="D118" s="18" t="n">
        <v>25</v>
      </c>
      <c r="E118" s="15" t="n">
        <f aca="false">IFERROR(VLOOKUP(B118,'Operators performance'!B:P,15,0),"")</f>
        <v>3</v>
      </c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customFormat="false" ht="15.75" hidden="false" customHeight="true" outlineLevel="0" collapsed="false">
      <c r="A119" s="18" t="s">
        <v>188</v>
      </c>
      <c r="B119" s="18" t="str">
        <f aca="false">TRIM(A119)</f>
        <v>رویا نادرالوارس</v>
      </c>
      <c r="C119" s="18" t="n">
        <v>98</v>
      </c>
      <c r="D119" s="18" t="n">
        <v>25</v>
      </c>
      <c r="E119" s="15" t="n">
        <f aca="false">IFERROR(VLOOKUP(B119,'Operators performance'!B:P,15,0),"")</f>
        <v>3</v>
      </c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customFormat="false" ht="15.75" hidden="false" customHeight="true" outlineLevel="0" collapsed="false">
      <c r="A120" s="18" t="s">
        <v>211</v>
      </c>
      <c r="B120" s="18" t="str">
        <f aca="false">TRIM(A120)</f>
        <v>مهناز کبریتی</v>
      </c>
      <c r="C120" s="18" t="n">
        <v>118</v>
      </c>
      <c r="D120" s="18" t="n">
        <v>25</v>
      </c>
      <c r="E120" s="15" t="n">
        <f aca="false">IFERROR(VLOOKUP(B120,'Operators performance'!B:P,15,0),"")</f>
        <v>3</v>
      </c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customFormat="false" ht="15.75" hidden="false" customHeight="true" outlineLevel="0" collapsed="false">
      <c r="A121" s="18" t="s">
        <v>138</v>
      </c>
      <c r="B121" s="18" t="str">
        <f aca="false">TRIM(A121)</f>
        <v>محمدامین شصتی</v>
      </c>
      <c r="C121" s="18" t="n">
        <v>96</v>
      </c>
      <c r="D121" s="18" t="n">
        <v>25</v>
      </c>
      <c r="E121" s="15" t="n">
        <f aca="false">IFERROR(VLOOKUP(B121,'Operators performance'!B:P,15,0),"")</f>
        <v>3</v>
      </c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customFormat="false" ht="15.75" hidden="false" customHeight="true" outlineLevel="0" collapsed="false">
      <c r="A122" s="18" t="s">
        <v>221</v>
      </c>
      <c r="B122" s="18" t="str">
        <f aca="false">TRIM(A122)</f>
        <v>پریسا شعبانی</v>
      </c>
      <c r="C122" s="18" t="n">
        <v>32</v>
      </c>
      <c r="D122" s="18" t="n">
        <v>25</v>
      </c>
      <c r="E122" s="15" t="n">
        <f aca="false">IFERROR(VLOOKUP(B122,'Operators performance'!B:P,15,0),"")</f>
        <v>2</v>
      </c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customFormat="false" ht="15.75" hidden="false" customHeight="true" outlineLevel="0" collapsed="false">
      <c r="A123" s="18" t="s">
        <v>193</v>
      </c>
      <c r="B123" s="18" t="str">
        <f aca="false">TRIM(A123)</f>
        <v>سعید براری</v>
      </c>
      <c r="C123" s="18" t="n">
        <v>50</v>
      </c>
      <c r="D123" s="18" t="n">
        <v>25</v>
      </c>
      <c r="E123" s="15" t="n">
        <f aca="false">IFERROR(VLOOKUP(B123,'Operators performance'!B:P,15,0),"")</f>
        <v>2</v>
      </c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customFormat="false" ht="15.75" hidden="false" customHeight="true" outlineLevel="0" collapsed="false">
      <c r="A124" s="18" t="s">
        <v>112</v>
      </c>
      <c r="B124" s="18" t="str">
        <f aca="false">TRIM(A124)</f>
        <v>محمدمهدی پارسا</v>
      </c>
      <c r="C124" s="18" t="n">
        <v>174</v>
      </c>
      <c r="D124" s="18" t="n">
        <v>26</v>
      </c>
      <c r="E124" s="15" t="n">
        <f aca="false">IFERROR(VLOOKUP(B124,'Operators performance'!B:P,15,0),"")</f>
        <v>4</v>
      </c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customFormat="false" ht="15.75" hidden="false" customHeight="true" outlineLevel="0" collapsed="false">
      <c r="A125" s="18" t="s">
        <v>227</v>
      </c>
      <c r="B125" s="18" t="str">
        <f aca="false">TRIM(A125)</f>
        <v>ستایش ارفع نیا</v>
      </c>
      <c r="C125" s="18" t="n">
        <v>61</v>
      </c>
      <c r="D125" s="18" t="n">
        <v>26</v>
      </c>
      <c r="E125" s="15" t="n">
        <f aca="false">IFERROR(VLOOKUP(B125,'Operators performance'!B:P,15,0),"")</f>
        <v>2.5</v>
      </c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customFormat="false" ht="15.75" hidden="false" customHeight="true" outlineLevel="0" collapsed="false">
      <c r="A126" s="18" t="s">
        <v>242</v>
      </c>
      <c r="B126" s="18" t="str">
        <f aca="false">TRIM(A126)</f>
        <v>مریم احمدی</v>
      </c>
      <c r="C126" s="18" t="n">
        <v>42</v>
      </c>
      <c r="D126" s="18" t="n">
        <v>26</v>
      </c>
      <c r="E126" s="15" t="n">
        <f aca="false">IFERROR(VLOOKUP(B126,'Operators performance'!B:P,15,0),"")</f>
        <v>2</v>
      </c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customFormat="false" ht="15.75" hidden="false" customHeight="true" outlineLevel="0" collapsed="false">
      <c r="A127" s="18" t="s">
        <v>264</v>
      </c>
      <c r="B127" s="18" t="str">
        <f aca="false">TRIM(A127)</f>
        <v>درسا ناصری</v>
      </c>
      <c r="C127" s="18" t="n">
        <v>23</v>
      </c>
      <c r="D127" s="18" t="n">
        <v>26</v>
      </c>
      <c r="E127" s="15" t="n">
        <f aca="false">IFERROR(VLOOKUP(B127,'Operators performance'!B:P,15,0),"")</f>
        <v>2</v>
      </c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customFormat="false" ht="15.75" hidden="false" customHeight="true" outlineLevel="0" collapsed="false">
      <c r="A128" s="18" t="s">
        <v>229</v>
      </c>
      <c r="B128" s="18" t="str">
        <f aca="false">TRIM(A128)</f>
        <v>صبا اکبری</v>
      </c>
      <c r="C128" s="18" t="n">
        <v>57</v>
      </c>
      <c r="D128" s="18" t="n">
        <v>26</v>
      </c>
      <c r="E128" s="15" t="n">
        <f aca="false">IFERROR(VLOOKUP(B128,'Operators performance'!B:P,15,0),"")</f>
        <v>2</v>
      </c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customFormat="false" ht="15.75" hidden="false" customHeight="true" outlineLevel="0" collapsed="false">
      <c r="A129" s="18" t="s">
        <v>153</v>
      </c>
      <c r="B129" s="18" t="str">
        <f aca="false">TRIM(A129)</f>
        <v>حنانه حنانی</v>
      </c>
      <c r="C129" s="18" t="n">
        <v>105</v>
      </c>
      <c r="D129" s="18" t="n">
        <v>26</v>
      </c>
      <c r="E129" s="15" t="n">
        <f aca="false">IFERROR(VLOOKUP(B129,'Operators performance'!B:P,15,0),"")</f>
        <v>3</v>
      </c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customFormat="false" ht="15.75" hidden="false" customHeight="true" outlineLevel="0" collapsed="false">
      <c r="A130" s="65" t="s">
        <v>398</v>
      </c>
      <c r="B130" s="65" t="str">
        <f aca="false">TRIM(A130)</f>
        <v>علیرضا طهوری (صدور حضوری)</v>
      </c>
      <c r="C130" s="65" t="n">
        <v>77</v>
      </c>
      <c r="D130" s="65" t="n">
        <v>26</v>
      </c>
      <c r="E130" s="66" t="str">
        <f aca="false">IFERROR(VLOOKUP(B130,'Operators performance'!B:P,15,0),"")</f>
        <v/>
      </c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</row>
    <row r="131" customFormat="false" ht="15.75" hidden="false" customHeight="true" outlineLevel="0" collapsed="false">
      <c r="A131" s="18" t="s">
        <v>185</v>
      </c>
      <c r="B131" s="18" t="str">
        <f aca="false">TRIM(A131)</f>
        <v>امیرمحمد بادکوبه</v>
      </c>
      <c r="C131" s="18" t="n">
        <v>106</v>
      </c>
      <c r="D131" s="18" t="n">
        <v>26</v>
      </c>
      <c r="E131" s="15" t="n">
        <f aca="false">IFERROR(VLOOKUP(B131,'Operators performance'!B:P,15,0),"")</f>
        <v>3</v>
      </c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customFormat="false" ht="15.75" hidden="false" customHeight="true" outlineLevel="0" collapsed="false">
      <c r="A132" s="18" t="s">
        <v>69</v>
      </c>
      <c r="B132" s="18" t="str">
        <f aca="false">TRIM(A132)</f>
        <v>فاطمه عبدی</v>
      </c>
      <c r="C132" s="18" t="n">
        <v>331</v>
      </c>
      <c r="D132" s="18" t="n">
        <v>26</v>
      </c>
      <c r="E132" s="15" t="n">
        <f aca="false">IFERROR(VLOOKUP(B132,'Operators performance'!B:P,15,0),"")</f>
        <v>4.5</v>
      </c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customFormat="false" ht="15.75" hidden="false" customHeight="true" outlineLevel="0" collapsed="false">
      <c r="A133" s="18" t="s">
        <v>247</v>
      </c>
      <c r="B133" s="18" t="str">
        <f aca="false">TRIM(A133)</f>
        <v>مهدیه زند</v>
      </c>
      <c r="C133" s="18" t="n">
        <v>74</v>
      </c>
      <c r="D133" s="18" t="n">
        <v>27</v>
      </c>
      <c r="E133" s="15" t="n">
        <f aca="false">IFERROR(VLOOKUP(B133,'Operators performance'!B:P,15,0),"")</f>
        <v>2</v>
      </c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customFormat="false" ht="15.75" hidden="false" customHeight="true" outlineLevel="0" collapsed="false">
      <c r="A134" s="18" t="s">
        <v>194</v>
      </c>
      <c r="B134" s="18" t="str">
        <f aca="false">TRIM(A134)</f>
        <v>سعید عزیزی میرحسنی</v>
      </c>
      <c r="C134" s="18" t="n">
        <v>138</v>
      </c>
      <c r="D134" s="18" t="n">
        <v>26</v>
      </c>
      <c r="E134" s="15" t="n">
        <f aca="false">IFERROR(VLOOKUP(B134,'Operators performance'!B:P,15,0),"")</f>
        <v>3.5</v>
      </c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customFormat="false" ht="15.75" hidden="false" customHeight="true" outlineLevel="0" collapsed="false">
      <c r="A135" s="18" t="s">
        <v>93</v>
      </c>
      <c r="B135" s="18" t="str">
        <f aca="false">TRIM(A135)</f>
        <v>آرمان صاحبی</v>
      </c>
      <c r="C135" s="18" t="n">
        <v>281</v>
      </c>
      <c r="D135" s="18" t="n">
        <v>27</v>
      </c>
      <c r="E135" s="15" t="n">
        <f aca="false">IFERROR(VLOOKUP(B135,'Operators performance'!B:P,15,0),"")</f>
        <v>4</v>
      </c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customFormat="false" ht="15.75" hidden="false" customHeight="true" outlineLevel="0" collapsed="false">
      <c r="A136" s="18" t="s">
        <v>129</v>
      </c>
      <c r="B136" s="18" t="str">
        <f aca="false">TRIM(A136)</f>
        <v>ریحانه کمالی</v>
      </c>
      <c r="C136" s="18" t="n">
        <v>196</v>
      </c>
      <c r="D136" s="18" t="n">
        <v>27</v>
      </c>
      <c r="E136" s="15" t="n">
        <f aca="false">IFERROR(VLOOKUP(B136,'Operators performance'!B:P,15,0),"")</f>
        <v>4</v>
      </c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customFormat="false" ht="15.75" hidden="false" customHeight="true" outlineLevel="0" collapsed="false">
      <c r="A137" s="65" t="s">
        <v>399</v>
      </c>
      <c r="B137" s="65" t="str">
        <f aca="false">TRIM(A137)</f>
        <v>صدور الحاقیه | منا سبزی</v>
      </c>
      <c r="C137" s="65" t="n">
        <v>3</v>
      </c>
      <c r="D137" s="65" t="n">
        <v>27</v>
      </c>
      <c r="E137" s="66" t="str">
        <f aca="false">IFERROR(VLOOKUP(B137,'Operators performance'!B:P,15,0),"")</f>
        <v/>
      </c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</row>
    <row r="138" customFormat="false" ht="15.75" hidden="false" customHeight="true" outlineLevel="0" collapsed="false">
      <c r="A138" s="18" t="s">
        <v>119</v>
      </c>
      <c r="B138" s="18" t="str">
        <f aca="false">TRIM(A138)</f>
        <v>معصومه صمدی</v>
      </c>
      <c r="C138" s="18" t="n">
        <v>121</v>
      </c>
      <c r="D138" s="18" t="n">
        <v>27</v>
      </c>
      <c r="E138" s="15" t="n">
        <f aca="false">IFERROR(VLOOKUP(B138,'Operators performance'!B:P,15,0),"")</f>
        <v>3</v>
      </c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customFormat="false" ht="15.75" hidden="false" customHeight="true" outlineLevel="0" collapsed="false">
      <c r="A139" s="18" t="s">
        <v>167</v>
      </c>
      <c r="B139" s="18" t="str">
        <f aca="false">TRIM(A139)</f>
        <v>مرکز صدور رسول اسماعیل پوراقدم</v>
      </c>
      <c r="C139" s="18" t="n">
        <v>64</v>
      </c>
      <c r="D139" s="18" t="n">
        <v>27</v>
      </c>
      <c r="E139" s="15" t="n">
        <f aca="false">IFERROR(VLOOKUP(B139,'Operators performance'!B:P,15,0),"")</f>
        <v>2</v>
      </c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customFormat="false" ht="15.75" hidden="false" customHeight="true" outlineLevel="0" collapsed="false">
      <c r="A140" s="18" t="s">
        <v>106</v>
      </c>
      <c r="B140" s="18" t="str">
        <f aca="false">TRIM(A140)</f>
        <v>علی جمالی</v>
      </c>
      <c r="C140" s="18" t="n">
        <v>239</v>
      </c>
      <c r="D140" s="18" t="n">
        <v>27</v>
      </c>
      <c r="E140" s="15" t="n">
        <f aca="false">IFERROR(VLOOKUP(B140,'Operators performance'!B:P,15,0),"")</f>
        <v>4</v>
      </c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customFormat="false" ht="15.75" hidden="false" customHeight="true" outlineLevel="0" collapsed="false">
      <c r="A141" s="18" t="s">
        <v>168</v>
      </c>
      <c r="B141" s="18" t="str">
        <f aca="false">TRIM(A141)</f>
        <v>مرکز صدور علی دادی | ستاره علی دادی</v>
      </c>
      <c r="C141" s="18" t="n">
        <v>111</v>
      </c>
      <c r="D141" s="18" t="n">
        <v>27</v>
      </c>
      <c r="E141" s="15" t="n">
        <f aca="false">IFERROR(VLOOKUP(B141,'Operators performance'!B:P,15,0),"")</f>
        <v>2.5</v>
      </c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customFormat="false" ht="15.75" hidden="false" customHeight="true" outlineLevel="0" collapsed="false">
      <c r="A142" s="18" t="s">
        <v>76</v>
      </c>
      <c r="B142" s="18" t="str">
        <f aca="false">TRIM(A142)</f>
        <v>آرزو عسگری</v>
      </c>
      <c r="C142" s="18" t="n">
        <v>272</v>
      </c>
      <c r="D142" s="18" t="n">
        <v>27</v>
      </c>
      <c r="E142" s="15" t="n">
        <f aca="false">IFERROR(VLOOKUP(B142,'Operators performance'!B:P,15,0),"")</f>
        <v>4</v>
      </c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customFormat="false" ht="15.75" hidden="false" customHeight="true" outlineLevel="0" collapsed="false">
      <c r="A143" s="65" t="s">
        <v>400</v>
      </c>
      <c r="B143" s="65" t="str">
        <f aca="false">TRIM(A143)</f>
        <v>مرکز صدور رضوانی | آموزش</v>
      </c>
      <c r="C143" s="65" t="n">
        <v>2</v>
      </c>
      <c r="D143" s="65" t="n">
        <v>27</v>
      </c>
      <c r="E143" s="66" t="str">
        <f aca="false">IFERROR(VLOOKUP(B143,'Operators performance'!B:P,15,0),"")</f>
        <v/>
      </c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</row>
    <row r="144" customFormat="false" ht="15.75" hidden="false" customHeight="true" outlineLevel="0" collapsed="false">
      <c r="A144" s="18" t="s">
        <v>81</v>
      </c>
      <c r="B144" s="18" t="str">
        <f aca="false">TRIM(A144)</f>
        <v>عالم جعفری</v>
      </c>
      <c r="C144" s="18" t="n">
        <v>193</v>
      </c>
      <c r="D144" s="18" t="n">
        <v>27</v>
      </c>
      <c r="E144" s="15" t="n">
        <f aca="false">IFERROR(VLOOKUP(B144,'Operators performance'!B:P,15,0),"")</f>
        <v>4</v>
      </c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customFormat="false" ht="15.75" hidden="false" customHeight="true" outlineLevel="0" collapsed="false">
      <c r="A145" s="18" t="s">
        <v>150</v>
      </c>
      <c r="B145" s="18" t="str">
        <f aca="false">TRIM(A145)</f>
        <v>امیرمحمد نسائی</v>
      </c>
      <c r="C145" s="18" t="n">
        <v>144</v>
      </c>
      <c r="D145" s="18" t="n">
        <v>27</v>
      </c>
      <c r="E145" s="15" t="n">
        <f aca="false">IFERROR(VLOOKUP(B145,'Operators performance'!B:P,15,0),"")</f>
        <v>3</v>
      </c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customFormat="false" ht="15.75" hidden="false" customHeight="true" outlineLevel="0" collapsed="false">
      <c r="A146" s="18" t="s">
        <v>110</v>
      </c>
      <c r="B146" s="18" t="str">
        <f aca="false">TRIM(A146)</f>
        <v>مبینا شکری</v>
      </c>
      <c r="C146" s="18" t="n">
        <v>126</v>
      </c>
      <c r="D146" s="18" t="n">
        <v>27</v>
      </c>
      <c r="E146" s="15" t="n">
        <f aca="false">IFERROR(VLOOKUP(B146,'Operators performance'!B:P,15,0),"")</f>
        <v>3</v>
      </c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customFormat="false" ht="15.75" hidden="false" customHeight="true" outlineLevel="0" collapsed="false">
      <c r="A147" s="18" t="s">
        <v>200</v>
      </c>
      <c r="B147" s="18" t="str">
        <f aca="false">TRIM(A147)</f>
        <v>فرناز اشجع</v>
      </c>
      <c r="C147" s="18" t="n">
        <v>107</v>
      </c>
      <c r="D147" s="18" t="n">
        <v>27</v>
      </c>
      <c r="E147" s="15" t="n">
        <f aca="false">IFERROR(VLOOKUP(B147,'Operators performance'!B:P,15,0),"")</f>
        <v>2.5</v>
      </c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customFormat="false" ht="15.75" hidden="false" customHeight="true" outlineLevel="0" collapsed="false">
      <c r="A148" s="18" t="s">
        <v>142</v>
      </c>
      <c r="B148" s="18" t="str">
        <f aca="false">TRIM(A148)</f>
        <v>منیر مغفوری</v>
      </c>
      <c r="C148" s="18" t="n">
        <v>161</v>
      </c>
      <c r="D148" s="18" t="n">
        <v>27</v>
      </c>
      <c r="E148" s="15" t="n">
        <f aca="false">IFERROR(VLOOKUP(B148,'Operators performance'!B:P,15,0),"")</f>
        <v>3.5</v>
      </c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customFormat="false" ht="15.75" hidden="false" customHeight="true" outlineLevel="0" collapsed="false">
      <c r="A149" s="18" t="s">
        <v>100</v>
      </c>
      <c r="B149" s="18" t="str">
        <f aca="false">TRIM(A149)</f>
        <v>حسین حقیقت</v>
      </c>
      <c r="C149" s="18" t="n">
        <v>292</v>
      </c>
      <c r="D149" s="18" t="n">
        <v>28</v>
      </c>
      <c r="E149" s="15" t="n">
        <f aca="false">IFERROR(VLOOKUP(B149,'Operators performance'!B:P,15,0),"")</f>
        <v>4</v>
      </c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customFormat="false" ht="15.75" hidden="false" customHeight="true" outlineLevel="0" collapsed="false">
      <c r="A150" s="65" t="s">
        <v>401</v>
      </c>
      <c r="B150" s="65" t="str">
        <f aca="false">TRIM(A150)</f>
        <v>صدور الحاقیه | محدثه معصومی زاده</v>
      </c>
      <c r="C150" s="65" t="n">
        <v>48</v>
      </c>
      <c r="D150" s="65" t="n">
        <v>28</v>
      </c>
      <c r="E150" s="66" t="str">
        <f aca="false">IFERROR(VLOOKUP(B150,'Operators performance'!B:P,15,0),"")</f>
        <v/>
      </c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</row>
    <row r="151" customFormat="false" ht="15.75" hidden="false" customHeight="true" outlineLevel="0" collapsed="false">
      <c r="A151" s="18" t="s">
        <v>280</v>
      </c>
      <c r="B151" s="18" t="str">
        <f aca="false">TRIM(A151)</f>
        <v>مرکز صدور رضوانی | مینا آقاجانی</v>
      </c>
      <c r="C151" s="18" t="n">
        <v>53</v>
      </c>
      <c r="D151" s="18" t="n">
        <v>28</v>
      </c>
      <c r="E151" s="15" t="n">
        <f aca="false">IFERROR(VLOOKUP(B151,'Operators performance'!B:P,15,0),"")</f>
        <v>1.5</v>
      </c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customFormat="false" ht="15.75" hidden="false" customHeight="true" outlineLevel="0" collapsed="false">
      <c r="A152" s="18" t="s">
        <v>293</v>
      </c>
      <c r="B152" s="18" t="str">
        <f aca="false">TRIM(A152)</f>
        <v>حنانه سلامی</v>
      </c>
      <c r="C152" s="18" t="n">
        <v>39</v>
      </c>
      <c r="D152" s="18" t="n">
        <v>28</v>
      </c>
      <c r="E152" s="15" t="n">
        <f aca="false">IFERROR(VLOOKUP(B152,'Operators performance'!B:P,15,0),"")</f>
        <v>1.5</v>
      </c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customFormat="false" ht="15.75" hidden="false" customHeight="true" outlineLevel="0" collapsed="false">
      <c r="A153" s="18" t="s">
        <v>91</v>
      </c>
      <c r="B153" s="18" t="str">
        <f aca="false">TRIM(A153)</f>
        <v>نسرین بابالو</v>
      </c>
      <c r="C153" s="18" t="n">
        <v>216</v>
      </c>
      <c r="D153" s="18" t="n">
        <v>28</v>
      </c>
      <c r="E153" s="15" t="n">
        <f aca="false">IFERROR(VLOOKUP(B153,'Operators performance'!B:P,15,0),"")</f>
        <v>4</v>
      </c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customFormat="false" ht="15.75" hidden="false" customHeight="true" outlineLevel="0" collapsed="false">
      <c r="A154" s="18" t="s">
        <v>109</v>
      </c>
      <c r="B154" s="18" t="str">
        <f aca="false">TRIM(A154)</f>
        <v>ماهان عبدی</v>
      </c>
      <c r="C154" s="18" t="n">
        <v>199</v>
      </c>
      <c r="D154" s="18" t="n">
        <v>28</v>
      </c>
      <c r="E154" s="15" t="n">
        <f aca="false">IFERROR(VLOOKUP(B154,'Operators performance'!B:P,15,0),"")</f>
        <v>4</v>
      </c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customFormat="false" ht="15.75" hidden="false" customHeight="true" outlineLevel="0" collapsed="false">
      <c r="A155" s="18" t="s">
        <v>161</v>
      </c>
      <c r="B155" s="18" t="str">
        <f aca="false">TRIM(A155)</f>
        <v>سمیه اسماعیلی</v>
      </c>
      <c r="C155" s="18" t="n">
        <v>181</v>
      </c>
      <c r="D155" s="18" t="n">
        <v>28</v>
      </c>
      <c r="E155" s="15" t="n">
        <f aca="false">IFERROR(VLOOKUP(B155,'Operators performance'!B:P,15,0),"")</f>
        <v>4</v>
      </c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customFormat="false" ht="15.75" hidden="false" customHeight="true" outlineLevel="0" collapsed="false">
      <c r="A156" s="18" t="s">
        <v>350</v>
      </c>
      <c r="B156" s="18" t="str">
        <f aca="false">TRIM(A156)</f>
        <v>مرکز صدور غفوری | سمیه غفوری</v>
      </c>
      <c r="C156" s="18" t="n">
        <v>28</v>
      </c>
      <c r="D156" s="18" t="n">
        <v>28</v>
      </c>
      <c r="E156" s="15" t="str">
        <f aca="false">IFERROR(VLOOKUP(B156,'Operators performance'!B:P,15,0),"")</f>
        <v/>
      </c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customFormat="false" ht="15.75" hidden="false" customHeight="true" outlineLevel="0" collapsed="false">
      <c r="A157" s="18" t="s">
        <v>82</v>
      </c>
      <c r="B157" s="18" t="str">
        <f aca="false">TRIM(A157)</f>
        <v>فاطمه الهیاری</v>
      </c>
      <c r="C157" s="18" t="n">
        <v>161</v>
      </c>
      <c r="D157" s="18" t="n">
        <v>28</v>
      </c>
      <c r="E157" s="15" t="n">
        <f aca="false">IFERROR(VLOOKUP(B157,'Operators performance'!B:P,15,0),"")</f>
        <v>3.5</v>
      </c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customFormat="false" ht="15.75" hidden="false" customHeight="true" outlineLevel="0" collapsed="false">
      <c r="A158" s="18" t="s">
        <v>163</v>
      </c>
      <c r="B158" s="18" t="str">
        <f aca="false">TRIM(A158)</f>
        <v>فاطمه قاسمی</v>
      </c>
      <c r="C158" s="18" t="n">
        <v>116</v>
      </c>
      <c r="D158" s="18" t="n">
        <v>29</v>
      </c>
      <c r="E158" s="15" t="n">
        <f aca="false">IFERROR(VLOOKUP(B158,'Operators performance'!B:P,15,0),"")</f>
        <v>2.5</v>
      </c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customFormat="false" ht="15.75" hidden="false" customHeight="true" outlineLevel="0" collapsed="false">
      <c r="A159" s="18" t="s">
        <v>249</v>
      </c>
      <c r="B159" s="18" t="str">
        <f aca="false">TRIM(A159)</f>
        <v>مونا منصوری</v>
      </c>
      <c r="C159" s="18" t="n">
        <v>112</v>
      </c>
      <c r="D159" s="18" t="n">
        <v>29</v>
      </c>
      <c r="E159" s="15" t="n">
        <f aca="false">IFERROR(VLOOKUP(B159,'Operators performance'!B:P,15,0),"")</f>
        <v>2.5</v>
      </c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customFormat="false" ht="15.75" hidden="false" customHeight="true" outlineLevel="0" collapsed="false">
      <c r="A160" s="18" t="s">
        <v>195</v>
      </c>
      <c r="B160" s="18" t="str">
        <f aca="false">TRIM(A160)</f>
        <v>سید امیررضا فیض آبادی</v>
      </c>
      <c r="C160" s="18" t="n">
        <v>58</v>
      </c>
      <c r="D160" s="18" t="n">
        <v>29</v>
      </c>
      <c r="E160" s="15" t="n">
        <f aca="false">IFERROR(VLOOKUP(B160,'Operators performance'!B:P,15,0),"")</f>
        <v>1.5</v>
      </c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customFormat="false" ht="15.75" hidden="false" customHeight="true" outlineLevel="0" collapsed="false">
      <c r="A161" s="18" t="s">
        <v>351</v>
      </c>
      <c r="B161" s="18" t="str">
        <f aca="false">TRIM(A161)</f>
        <v>جواد پور نقش بند</v>
      </c>
      <c r="C161" s="18" t="n">
        <v>25</v>
      </c>
      <c r="D161" s="18" t="n">
        <v>29</v>
      </c>
      <c r="E161" s="15" t="str">
        <f aca="false">IFERROR(VLOOKUP(B161,'Operators performance'!B:P,15,0),"")</f>
        <v/>
      </c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customFormat="false" ht="15.75" hidden="false" customHeight="true" outlineLevel="0" collapsed="false">
      <c r="A162" s="18" t="s">
        <v>143</v>
      </c>
      <c r="B162" s="18" t="str">
        <f aca="false">TRIM(A162)</f>
        <v>مهدی عبدی</v>
      </c>
      <c r="C162" s="18" t="n">
        <v>214</v>
      </c>
      <c r="D162" s="18" t="n">
        <v>29</v>
      </c>
      <c r="E162" s="15" t="n">
        <f aca="false">IFERROR(VLOOKUP(B162,'Operators performance'!B:P,15,0),"")</f>
        <v>4</v>
      </c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customFormat="false" ht="15.75" hidden="false" customHeight="true" outlineLevel="0" collapsed="false">
      <c r="A163" s="18" t="s">
        <v>79</v>
      </c>
      <c r="B163" s="18" t="str">
        <f aca="false">TRIM(A163)</f>
        <v>زینب جعفری</v>
      </c>
      <c r="C163" s="18" t="n">
        <v>198</v>
      </c>
      <c r="D163" s="18" t="n">
        <v>29</v>
      </c>
      <c r="E163" s="15" t="n">
        <f aca="false">IFERROR(VLOOKUP(B163,'Operators performance'!B:P,15,0),"")</f>
        <v>4</v>
      </c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customFormat="false" ht="15.75" hidden="false" customHeight="true" outlineLevel="0" collapsed="false">
      <c r="A164" s="18" t="s">
        <v>276</v>
      </c>
      <c r="B164" s="18" t="str">
        <f aca="false">TRIM(A164)</f>
        <v>لیلا یگانه</v>
      </c>
      <c r="C164" s="18" t="n">
        <v>73</v>
      </c>
      <c r="D164" s="18" t="n">
        <v>29</v>
      </c>
      <c r="E164" s="15" t="n">
        <f aca="false">IFERROR(VLOOKUP(B164,'Operators performance'!B:P,15,0),"")</f>
        <v>2</v>
      </c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customFormat="false" ht="15.75" hidden="false" customHeight="true" outlineLevel="0" collapsed="false">
      <c r="A165" s="18" t="s">
        <v>255</v>
      </c>
      <c r="B165" s="18" t="str">
        <f aca="false">TRIM(A165)</f>
        <v>اکبر یوسفی</v>
      </c>
      <c r="C165" s="18" t="n">
        <v>58</v>
      </c>
      <c r="D165" s="18" t="n">
        <v>29</v>
      </c>
      <c r="E165" s="15" t="n">
        <f aca="false">IFERROR(VLOOKUP(B165,'Operators performance'!B:P,15,0),"")</f>
        <v>1.5</v>
      </c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customFormat="false" ht="15.75" hidden="false" customHeight="true" outlineLevel="0" collapsed="false">
      <c r="A166" s="18" t="s">
        <v>169</v>
      </c>
      <c r="B166" s="18" t="str">
        <f aca="false">TRIM(A166)</f>
        <v>مریم بیشه بان</v>
      </c>
      <c r="C166" s="18" t="n">
        <v>173</v>
      </c>
      <c r="D166" s="18" t="n">
        <v>29</v>
      </c>
      <c r="E166" s="15" t="n">
        <f aca="false">IFERROR(VLOOKUP(B166,'Operators performance'!B:P,15,0),"")</f>
        <v>3.5</v>
      </c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customFormat="false" ht="15.75" hidden="false" customHeight="true" outlineLevel="0" collapsed="false">
      <c r="A167" s="18" t="s">
        <v>290</v>
      </c>
      <c r="B167" s="18" t="str">
        <f aca="false">TRIM(A167)</f>
        <v>مرکز صدور کیانی| تانیا کیانی بیگدلی</v>
      </c>
      <c r="C167" s="18" t="n">
        <v>105</v>
      </c>
      <c r="D167" s="18" t="n">
        <v>29</v>
      </c>
      <c r="E167" s="15" t="n">
        <f aca="false">IFERROR(VLOOKUP(B167,'Operators performance'!B:P,15,0),"")</f>
        <v>2.5</v>
      </c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customFormat="false" ht="15.75" hidden="false" customHeight="true" outlineLevel="0" collapsed="false">
      <c r="A168" s="18" t="s">
        <v>321</v>
      </c>
      <c r="B168" s="18" t="str">
        <f aca="false">TRIM(A168)</f>
        <v>نرگس احمدی</v>
      </c>
      <c r="C168" s="18" t="n">
        <v>31</v>
      </c>
      <c r="D168" s="18" t="n">
        <v>29</v>
      </c>
      <c r="E168" s="15" t="n">
        <f aca="false">IFERROR(VLOOKUP(B168,'Operators performance'!B:P,15,0),"")</f>
        <v>1.5</v>
      </c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customFormat="false" ht="15.75" hidden="false" customHeight="true" outlineLevel="0" collapsed="false">
      <c r="A169" s="18" t="s">
        <v>260</v>
      </c>
      <c r="B169" s="18" t="str">
        <f aca="false">TRIM(A169)</f>
        <v>پویا رحمانی</v>
      </c>
      <c r="C169" s="18" t="n">
        <v>76</v>
      </c>
      <c r="D169" s="18" t="n">
        <v>29</v>
      </c>
      <c r="E169" s="15" t="n">
        <f aca="false">IFERROR(VLOOKUP(B169,'Operators performance'!B:P,15,0),"")</f>
        <v>2</v>
      </c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customFormat="false" ht="15.75" hidden="false" customHeight="true" outlineLevel="0" collapsed="false">
      <c r="A170" s="18" t="s">
        <v>145</v>
      </c>
      <c r="B170" s="18" t="str">
        <f aca="false">TRIM(A170)</f>
        <v>مهنا رئوف</v>
      </c>
      <c r="C170" s="18" t="n">
        <v>92</v>
      </c>
      <c r="D170" s="18" t="n">
        <v>29</v>
      </c>
      <c r="E170" s="15" t="n">
        <f aca="false">IFERROR(VLOOKUP(B170,'Operators performance'!B:P,15,0),"")</f>
        <v>2.5</v>
      </c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customFormat="false" ht="15.75" hidden="false" customHeight="true" outlineLevel="0" collapsed="false">
      <c r="A171" s="18" t="s">
        <v>282</v>
      </c>
      <c r="B171" s="18" t="str">
        <f aca="false">TRIM(A171)</f>
        <v>مریم جلالیان</v>
      </c>
      <c r="C171" s="18" t="n">
        <v>22</v>
      </c>
      <c r="D171" s="18" t="n">
        <v>29</v>
      </c>
      <c r="E171" s="15" t="n">
        <f aca="false">IFERROR(VLOOKUP(B171,'Operators performance'!B:P,15,0),"")</f>
        <v>1.5</v>
      </c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customFormat="false" ht="15.75" hidden="false" customHeight="true" outlineLevel="0" collapsed="false">
      <c r="A172" s="65" t="s">
        <v>402</v>
      </c>
      <c r="B172" s="65" t="str">
        <f aca="false">TRIM(A172)</f>
        <v>بیتا مقصودی (صدور حضوری)</v>
      </c>
      <c r="C172" s="65" t="n">
        <v>104</v>
      </c>
      <c r="D172" s="65" t="n">
        <v>30</v>
      </c>
      <c r="E172" s="66" t="str">
        <f aca="false">IFERROR(VLOOKUP(B172,'Operators performance'!B:P,15,0),"")</f>
        <v/>
      </c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</row>
    <row r="173" customFormat="false" ht="15.75" hidden="false" customHeight="true" outlineLevel="0" collapsed="false">
      <c r="A173" s="18" t="s">
        <v>181</v>
      </c>
      <c r="B173" s="18" t="str">
        <f aca="false">TRIM(A173)</f>
        <v>الهه دریکوند</v>
      </c>
      <c r="C173" s="18" t="n">
        <v>91</v>
      </c>
      <c r="D173" s="18" t="n">
        <v>30</v>
      </c>
      <c r="E173" s="15" t="n">
        <f aca="false">IFERROR(VLOOKUP(B173,'Operators performance'!B:P,15,0),"")</f>
        <v>2.5</v>
      </c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customFormat="false" ht="15.75" hidden="false" customHeight="true" outlineLevel="0" collapsed="false">
      <c r="A174" s="18" t="s">
        <v>270</v>
      </c>
      <c r="B174" s="18" t="str">
        <f aca="false">TRIM(A174)</f>
        <v>سهیلا ناکینی</v>
      </c>
      <c r="C174" s="18" t="n">
        <v>67</v>
      </c>
      <c r="D174" s="18" t="n">
        <v>30</v>
      </c>
      <c r="E174" s="15" t="n">
        <f aca="false">IFERROR(VLOOKUP(B174,'Operators performance'!B:P,15,0),"")</f>
        <v>2</v>
      </c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customFormat="false" ht="15.75" hidden="false" customHeight="true" outlineLevel="0" collapsed="false">
      <c r="A175" s="18" t="s">
        <v>140</v>
      </c>
      <c r="B175" s="18" t="str">
        <f aca="false">TRIM(A175)</f>
        <v>مرکز صدور علی دادی | زهرا چهرآزاد</v>
      </c>
      <c r="C175" s="18" t="n">
        <v>133</v>
      </c>
      <c r="D175" s="18" t="n">
        <v>30</v>
      </c>
      <c r="E175" s="15" t="n">
        <f aca="false">IFERROR(VLOOKUP(B175,'Operators performance'!B:P,15,0),"")</f>
        <v>3</v>
      </c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customFormat="false" ht="15.75" hidden="false" customHeight="true" outlineLevel="0" collapsed="false">
      <c r="A176" s="18" t="s">
        <v>241</v>
      </c>
      <c r="B176" s="18" t="str">
        <f aca="false">TRIM(A176)</f>
        <v>مرکز صدور کاظمی | ویدا نوری</v>
      </c>
      <c r="C176" s="18" t="n">
        <v>39</v>
      </c>
      <c r="D176" s="18" t="n">
        <v>30</v>
      </c>
      <c r="E176" s="15" t="n">
        <f aca="false">IFERROR(VLOOKUP(B176,'Operators performance'!B:P,15,0),"")</f>
        <v>1.5</v>
      </c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customFormat="false" ht="15.75" hidden="false" customHeight="true" outlineLevel="0" collapsed="false">
      <c r="A177" s="18" t="s">
        <v>180</v>
      </c>
      <c r="B177" s="18" t="str">
        <f aca="false">TRIM(A177)</f>
        <v>آزاده محبی</v>
      </c>
      <c r="C177" s="18" t="n">
        <v>136</v>
      </c>
      <c r="D177" s="18" t="n">
        <v>31</v>
      </c>
      <c r="E177" s="15" t="n">
        <f aca="false">IFERROR(VLOOKUP(B177,'Operators performance'!B:P,15,0),"")</f>
        <v>3</v>
      </c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customFormat="false" ht="15.75" hidden="false" customHeight="true" outlineLevel="0" collapsed="false">
      <c r="A178" s="18" t="s">
        <v>151</v>
      </c>
      <c r="B178" s="18" t="str">
        <f aca="false">TRIM(A178)</f>
        <v>پریا کشوری</v>
      </c>
      <c r="C178" s="18" t="n">
        <v>132</v>
      </c>
      <c r="D178" s="18" t="n">
        <v>31</v>
      </c>
      <c r="E178" s="15" t="n">
        <f aca="false">IFERROR(VLOOKUP(B178,'Operators performance'!B:P,15,0),"")</f>
        <v>3</v>
      </c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customFormat="false" ht="15.75" hidden="false" customHeight="true" outlineLevel="0" collapsed="false">
      <c r="A179" s="18" t="s">
        <v>175</v>
      </c>
      <c r="B179" s="18" t="str">
        <f aca="false">TRIM(A179)</f>
        <v>نسترن نیک کار</v>
      </c>
      <c r="C179" s="18" t="n">
        <v>246</v>
      </c>
      <c r="D179" s="18" t="n">
        <v>30</v>
      </c>
      <c r="E179" s="15" t="n">
        <f aca="false">IFERROR(VLOOKUP(B179,'Operators performance'!B:P,15,0),"")</f>
        <v>4</v>
      </c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customFormat="false" ht="15.75" hidden="false" customHeight="true" outlineLevel="0" collapsed="false">
      <c r="A180" s="18" t="s">
        <v>105</v>
      </c>
      <c r="B180" s="18" t="str">
        <f aca="false">TRIM(A180)</f>
        <v>صبا صباغ</v>
      </c>
      <c r="C180" s="18" t="n">
        <v>111</v>
      </c>
      <c r="D180" s="18" t="n">
        <v>31</v>
      </c>
      <c r="E180" s="15" t="n">
        <f aca="false">IFERROR(VLOOKUP(B180,'Operators performance'!B:P,15,0),"")</f>
        <v>2.5</v>
      </c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customFormat="false" ht="15.75" hidden="false" customHeight="true" outlineLevel="0" collapsed="false">
      <c r="A181" s="18" t="s">
        <v>65</v>
      </c>
      <c r="B181" s="18" t="str">
        <f aca="false">TRIM(A181)</f>
        <v>زهرا براتیان</v>
      </c>
      <c r="C181" s="18" t="n">
        <v>219</v>
      </c>
      <c r="D181" s="18" t="n">
        <v>31</v>
      </c>
      <c r="E181" s="15" t="n">
        <f aca="false">IFERROR(VLOOKUP(B181,'Operators performance'!B:P,15,0),"")</f>
        <v>4</v>
      </c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customFormat="false" ht="15.75" hidden="false" customHeight="true" outlineLevel="0" collapsed="false">
      <c r="A182" s="65" t="s">
        <v>403</v>
      </c>
      <c r="B182" s="65" t="str">
        <f aca="false">TRIM(A182)</f>
        <v>پانیذ کریمی (صدور حضوری)</v>
      </c>
      <c r="C182" s="65" t="n">
        <v>97</v>
      </c>
      <c r="D182" s="65" t="n">
        <v>30</v>
      </c>
      <c r="E182" s="66" t="str">
        <f aca="false">IFERROR(VLOOKUP(B182,'Operators performance'!B:P,15,0),"")</f>
        <v/>
      </c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</row>
    <row r="183" customFormat="false" ht="15.75" hidden="false" customHeight="true" outlineLevel="0" collapsed="false">
      <c r="A183" s="18" t="s">
        <v>204</v>
      </c>
      <c r="B183" s="18" t="str">
        <f aca="false">TRIM(A183)</f>
        <v>مجتبی رفیع زاده بنادک</v>
      </c>
      <c r="C183" s="18" t="n">
        <v>112</v>
      </c>
      <c r="D183" s="18" t="n">
        <v>31</v>
      </c>
      <c r="E183" s="15" t="n">
        <f aca="false">IFERROR(VLOOKUP(B183,'Operators performance'!B:P,15,0),"")</f>
        <v>2.5</v>
      </c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customFormat="false" ht="15.75" hidden="false" customHeight="true" outlineLevel="0" collapsed="false">
      <c r="A184" s="18" t="s">
        <v>352</v>
      </c>
      <c r="B184" s="18" t="str">
        <f aca="false">TRIM(A184)</f>
        <v>مرکز صدور امیرموسوی| فاطمه رحیمی زاده</v>
      </c>
      <c r="C184" s="18" t="n">
        <v>14</v>
      </c>
      <c r="D184" s="18" t="n">
        <v>31</v>
      </c>
      <c r="E184" s="15" t="str">
        <f aca="false">IFERROR(VLOOKUP(B184,'Operators performance'!B:P,15,0),"")</f>
        <v/>
      </c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customFormat="false" ht="15.75" hidden="false" customHeight="true" outlineLevel="0" collapsed="false">
      <c r="A185" s="18" t="s">
        <v>123</v>
      </c>
      <c r="B185" s="18" t="str">
        <f aca="false">TRIM(A185)</f>
        <v>آتنا محبی</v>
      </c>
      <c r="C185" s="18" t="n">
        <v>175</v>
      </c>
      <c r="D185" s="18" t="n">
        <v>31</v>
      </c>
      <c r="E185" s="15" t="n">
        <f aca="false">IFERROR(VLOOKUP(B185,'Operators performance'!B:P,15,0),"")</f>
        <v>3.5</v>
      </c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customFormat="false" ht="15.75" hidden="false" customHeight="true" outlineLevel="0" collapsed="false">
      <c r="A186" s="18" t="s">
        <v>304</v>
      </c>
      <c r="B186" s="18" t="str">
        <f aca="false">TRIM(A186)</f>
        <v>مبینا کریمی</v>
      </c>
      <c r="C186" s="18" t="n">
        <v>12</v>
      </c>
      <c r="D186" s="18" t="n">
        <v>31</v>
      </c>
      <c r="E186" s="15" t="n">
        <f aca="false">IFERROR(VLOOKUP(B186,'Operators performance'!B:P,15,0),"")</f>
        <v>1.5</v>
      </c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customFormat="false" ht="15.75" hidden="false" customHeight="true" outlineLevel="0" collapsed="false">
      <c r="A187" s="18" t="s">
        <v>234</v>
      </c>
      <c r="B187" s="18" t="str">
        <f aca="false">TRIM(A187)</f>
        <v>لیلا حسن نیا</v>
      </c>
      <c r="C187" s="18" t="n">
        <v>88</v>
      </c>
      <c r="D187" s="18" t="n">
        <v>31</v>
      </c>
      <c r="E187" s="15" t="n">
        <f aca="false">IFERROR(VLOOKUP(B187,'Operators performance'!B:P,15,0),"")</f>
        <v>2</v>
      </c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customFormat="false" ht="15.75" hidden="false" customHeight="true" outlineLevel="0" collapsed="false">
      <c r="A188" s="18" t="s">
        <v>220</v>
      </c>
      <c r="B188" s="18" t="str">
        <f aca="false">TRIM(A188)</f>
        <v>بهار آبنار</v>
      </c>
      <c r="C188" s="18" t="n">
        <v>74</v>
      </c>
      <c r="D188" s="18" t="n">
        <v>31</v>
      </c>
      <c r="E188" s="15" t="n">
        <f aca="false">IFERROR(VLOOKUP(B188,'Operators performance'!B:P,15,0),"")</f>
        <v>2</v>
      </c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customFormat="false" ht="15.75" hidden="false" customHeight="true" outlineLevel="0" collapsed="false">
      <c r="A189" s="18" t="s">
        <v>196</v>
      </c>
      <c r="B189" s="18" t="str">
        <f aca="false">TRIM(A189)</f>
        <v>شاهین صباحی</v>
      </c>
      <c r="C189" s="18" t="n">
        <v>79</v>
      </c>
      <c r="D189" s="18" t="n">
        <v>31</v>
      </c>
      <c r="E189" s="15" t="n">
        <f aca="false">IFERROR(VLOOKUP(B189,'Operators performance'!B:P,15,0),"")</f>
        <v>2</v>
      </c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customFormat="false" ht="15.75" hidden="false" customHeight="true" outlineLevel="0" collapsed="false">
      <c r="A190" s="18" t="s">
        <v>301</v>
      </c>
      <c r="B190" s="18" t="str">
        <f aca="false">TRIM(A190)</f>
        <v>فاطمه براری</v>
      </c>
      <c r="C190" s="18" t="n">
        <v>59</v>
      </c>
      <c r="D190" s="18" t="n">
        <v>31</v>
      </c>
      <c r="E190" s="15" t="n">
        <f aca="false">IFERROR(VLOOKUP(B190,'Operators performance'!B:P,15,0),"")</f>
        <v>1.5</v>
      </c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customFormat="false" ht="15.75" hidden="false" customHeight="true" outlineLevel="0" collapsed="false">
      <c r="A191" s="18" t="s">
        <v>251</v>
      </c>
      <c r="B191" s="18" t="str">
        <f aca="false">TRIM(A191)</f>
        <v>نرگس کدخدایی</v>
      </c>
      <c r="C191" s="18" t="n">
        <v>122</v>
      </c>
      <c r="D191" s="18" t="n">
        <v>31</v>
      </c>
      <c r="E191" s="15" t="n">
        <f aca="false">IFERROR(VLOOKUP(B191,'Operators performance'!B:P,15,0),"")</f>
        <v>3</v>
      </c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customFormat="false" ht="15.75" hidden="false" customHeight="true" outlineLevel="0" collapsed="false">
      <c r="A192" s="18" t="s">
        <v>158</v>
      </c>
      <c r="B192" s="18" t="str">
        <f aca="false">TRIM(A192)</f>
        <v>سحر خدابنده</v>
      </c>
      <c r="C192" s="18" t="n">
        <v>108</v>
      </c>
      <c r="D192" s="18" t="n">
        <v>31</v>
      </c>
      <c r="E192" s="15" t="n">
        <f aca="false">IFERROR(VLOOKUP(B192,'Operators performance'!B:P,15,0),"")</f>
        <v>2.5</v>
      </c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customFormat="false" ht="15.75" hidden="false" customHeight="true" outlineLevel="0" collapsed="false">
      <c r="A193" s="18" t="s">
        <v>122</v>
      </c>
      <c r="B193" s="18" t="str">
        <f aca="false">TRIM(A193)</f>
        <v>هانیه همتی</v>
      </c>
      <c r="C193" s="18" t="n">
        <v>119</v>
      </c>
      <c r="D193" s="18" t="n">
        <v>32</v>
      </c>
      <c r="E193" s="15" t="n">
        <f aca="false">IFERROR(VLOOKUP(B193,'Operators performance'!B:P,15,0),"")</f>
        <v>2.5</v>
      </c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customFormat="false" ht="15.75" hidden="false" customHeight="true" outlineLevel="0" collapsed="false">
      <c r="A194" s="18" t="s">
        <v>283</v>
      </c>
      <c r="B194" s="18" t="str">
        <f aca="false">TRIM(A194)</f>
        <v>مریم خسرو جردی</v>
      </c>
      <c r="C194" s="18" t="n">
        <v>19</v>
      </c>
      <c r="D194" s="18" t="n">
        <v>32</v>
      </c>
      <c r="E194" s="15" t="n">
        <f aca="false">IFERROR(VLOOKUP(B194,'Operators performance'!B:P,15,0),"")</f>
        <v>1.5</v>
      </c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customFormat="false" ht="15.75" hidden="false" customHeight="true" outlineLevel="0" collapsed="false">
      <c r="A195" s="18" t="s">
        <v>326</v>
      </c>
      <c r="B195" s="18" t="str">
        <f aca="false">TRIM(A195)</f>
        <v>مرکز صدور امیرموسوی| سید مهدی امیرموسوی</v>
      </c>
      <c r="C195" s="18" t="n">
        <v>14</v>
      </c>
      <c r="D195" s="18" t="n">
        <v>32</v>
      </c>
      <c r="E195" s="15" t="n">
        <f aca="false">IFERROR(VLOOKUP(B195,'Operators performance'!B:P,15,0),"")</f>
        <v>1.5</v>
      </c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customFormat="false" ht="15.75" hidden="false" customHeight="true" outlineLevel="0" collapsed="false">
      <c r="A196" s="18" t="s">
        <v>238</v>
      </c>
      <c r="B196" s="18" t="str">
        <f aca="false">TRIM(A196)</f>
        <v>مرکز صدور رضوانی | محدثه رضوانی</v>
      </c>
      <c r="C196" s="18" t="n">
        <v>63</v>
      </c>
      <c r="D196" s="18" t="n">
        <v>32</v>
      </c>
      <c r="E196" s="15" t="n">
        <f aca="false">IFERROR(VLOOKUP(B196,'Operators performance'!B:P,15,0),"")</f>
        <v>2</v>
      </c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customFormat="false" ht="15.75" hidden="false" customHeight="true" outlineLevel="0" collapsed="false">
      <c r="A197" s="18" t="s">
        <v>186</v>
      </c>
      <c r="B197" s="18" t="str">
        <f aca="false">TRIM(A197)</f>
        <v>حمید قربانی</v>
      </c>
      <c r="C197" s="18" t="n">
        <v>39</v>
      </c>
      <c r="D197" s="18" t="n">
        <v>32</v>
      </c>
      <c r="E197" s="15" t="n">
        <f aca="false">IFERROR(VLOOKUP(B197,'Operators performance'!B:P,15,0),"")</f>
        <v>1.5</v>
      </c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customFormat="false" ht="15.75" hidden="false" customHeight="true" outlineLevel="0" collapsed="false">
      <c r="A198" s="18" t="s">
        <v>192</v>
      </c>
      <c r="B198" s="18" t="str">
        <f aca="false">TRIM(A198)</f>
        <v>سپیده عبدی پور</v>
      </c>
      <c r="C198" s="18" t="n">
        <v>56</v>
      </c>
      <c r="D198" s="18" t="n">
        <v>32</v>
      </c>
      <c r="E198" s="15" t="n">
        <f aca="false">IFERROR(VLOOKUP(B198,'Operators performance'!B:P,15,0),"")</f>
        <v>1.5</v>
      </c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customFormat="false" ht="15.75" hidden="false" customHeight="true" outlineLevel="0" collapsed="false">
      <c r="A199" s="18" t="s">
        <v>222</v>
      </c>
      <c r="B199" s="18" t="str">
        <f aca="false">TRIM(A199)</f>
        <v>حدیثه آباده</v>
      </c>
      <c r="C199" s="18" t="n">
        <v>75</v>
      </c>
      <c r="D199" s="18" t="n">
        <v>32</v>
      </c>
      <c r="E199" s="15" t="n">
        <f aca="false">IFERROR(VLOOKUP(B199,'Operators performance'!B:P,15,0),"")</f>
        <v>2</v>
      </c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customFormat="false" ht="15.75" hidden="false" customHeight="true" outlineLevel="0" collapsed="false">
      <c r="A200" s="18" t="s">
        <v>202</v>
      </c>
      <c r="B200" s="18" t="str">
        <f aca="false">TRIM(A200)</f>
        <v>ماهرخ باوکان</v>
      </c>
      <c r="C200" s="18" t="n">
        <v>140</v>
      </c>
      <c r="D200" s="18" t="n">
        <v>32</v>
      </c>
      <c r="E200" s="15" t="n">
        <f aca="false">IFERROR(VLOOKUP(B200,'Operators performance'!B:P,15,0),"")</f>
        <v>3</v>
      </c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customFormat="false" ht="15.75" hidden="false" customHeight="true" outlineLevel="0" collapsed="false">
      <c r="A201" s="18" t="s">
        <v>201</v>
      </c>
      <c r="B201" s="18" t="str">
        <f aca="false">TRIM(A201)</f>
        <v>لیلی خالقی</v>
      </c>
      <c r="C201" s="18" t="n">
        <v>99</v>
      </c>
      <c r="D201" s="18" t="n">
        <v>33</v>
      </c>
      <c r="E201" s="15" t="n">
        <f aca="false">IFERROR(VLOOKUP(B201,'Operators performance'!B:P,15,0),"")</f>
        <v>2</v>
      </c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customFormat="false" ht="15.75" hidden="false" customHeight="true" outlineLevel="0" collapsed="false">
      <c r="A202" s="18" t="s">
        <v>97</v>
      </c>
      <c r="B202" s="18" t="str">
        <f aca="false">TRIM(A202)</f>
        <v>پریسا تولائی</v>
      </c>
      <c r="C202" s="18" t="n">
        <v>275</v>
      </c>
      <c r="D202" s="18" t="n">
        <v>33</v>
      </c>
      <c r="E202" s="15" t="n">
        <f aca="false">IFERROR(VLOOKUP(B202,'Operators performance'!B:P,15,0),"")</f>
        <v>3.5</v>
      </c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customFormat="false" ht="15.75" hidden="false" customHeight="true" outlineLevel="0" collapsed="false">
      <c r="A203" s="18" t="s">
        <v>296</v>
      </c>
      <c r="B203" s="18" t="str">
        <f aca="false">TRIM(A203)</f>
        <v>شراره نجاتی</v>
      </c>
      <c r="C203" s="18" t="n">
        <v>161</v>
      </c>
      <c r="D203" s="18" t="n">
        <v>32</v>
      </c>
      <c r="E203" s="15" t="n">
        <f aca="false">IFERROR(VLOOKUP(B203,'Operators performance'!B:P,15,0),"")</f>
        <v>3.5</v>
      </c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customFormat="false" ht="15.75" hidden="false" customHeight="true" outlineLevel="0" collapsed="false">
      <c r="A204" s="18" t="s">
        <v>199</v>
      </c>
      <c r="B204" s="18" t="str">
        <f aca="false">TRIM(A204)</f>
        <v>فربد طاهر پور</v>
      </c>
      <c r="C204" s="18" t="n">
        <v>158</v>
      </c>
      <c r="D204" s="18" t="n">
        <v>32</v>
      </c>
      <c r="E204" s="15" t="n">
        <f aca="false">IFERROR(VLOOKUP(B204,'Operators performance'!B:P,15,0),"")</f>
        <v>3.5</v>
      </c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customFormat="false" ht="15.75" hidden="false" customHeight="true" outlineLevel="0" collapsed="false">
      <c r="A205" s="18" t="s">
        <v>90</v>
      </c>
      <c r="B205" s="18" t="str">
        <f aca="false">TRIM(A205)</f>
        <v>میکائیل بابکی</v>
      </c>
      <c r="C205" s="18" t="n">
        <v>265</v>
      </c>
      <c r="D205" s="18" t="n">
        <v>33</v>
      </c>
      <c r="E205" s="15" t="n">
        <f aca="false">IFERROR(VLOOKUP(B205,'Operators performance'!B:P,15,0),"")</f>
        <v>3.5</v>
      </c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customFormat="false" ht="15.75" hidden="false" customHeight="true" outlineLevel="0" collapsed="false">
      <c r="A206" s="18" t="s">
        <v>218</v>
      </c>
      <c r="B206" s="18" t="str">
        <f aca="false">TRIM(A206)</f>
        <v>امیر حسین سبزیانی داویجانی</v>
      </c>
      <c r="C206" s="18" t="n">
        <v>14</v>
      </c>
      <c r="D206" s="18" t="n">
        <v>33</v>
      </c>
      <c r="E206" s="15" t="n">
        <f aca="false">IFERROR(VLOOKUP(B206,'Operators performance'!B:P,15,0),"")</f>
        <v>1</v>
      </c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customFormat="false" ht="15.75" hidden="false" customHeight="true" outlineLevel="0" collapsed="false">
      <c r="A207" s="18" t="s">
        <v>314</v>
      </c>
      <c r="B207" s="18" t="str">
        <f aca="false">TRIM(A207)</f>
        <v>مرکز صدور یارعلی | متین کیومرثی</v>
      </c>
      <c r="C207" s="18" t="n">
        <v>101</v>
      </c>
      <c r="D207" s="18" t="n">
        <v>33</v>
      </c>
      <c r="E207" s="15" t="n">
        <f aca="false">IFERROR(VLOOKUP(B207,'Operators performance'!B:P,15,0),"")</f>
        <v>2</v>
      </c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customFormat="false" ht="15.75" hidden="false" customHeight="true" outlineLevel="0" collapsed="false">
      <c r="A208" s="65" t="s">
        <v>404</v>
      </c>
      <c r="B208" s="65" t="str">
        <f aca="false">TRIM(A208)</f>
        <v>صدور الحاقیه | حانیه قلی پور</v>
      </c>
      <c r="C208" s="65" t="n">
        <v>47</v>
      </c>
      <c r="D208" s="65" t="n">
        <v>33</v>
      </c>
      <c r="E208" s="66" t="str">
        <f aca="false">IFERROR(VLOOKUP(B208,'Operators performance'!B:P,15,0),"")</f>
        <v/>
      </c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</row>
    <row r="209" customFormat="false" ht="15.75" hidden="false" customHeight="true" outlineLevel="0" collapsed="false">
      <c r="A209" s="18" t="s">
        <v>121</v>
      </c>
      <c r="B209" s="18" t="str">
        <f aca="false">TRIM(A209)</f>
        <v>مهسا سحری</v>
      </c>
      <c r="C209" s="18" t="n">
        <v>149</v>
      </c>
      <c r="D209" s="18" t="n">
        <v>33</v>
      </c>
      <c r="E209" s="15" t="n">
        <f aca="false">IFERROR(VLOOKUP(B209,'Operators performance'!B:P,15,0),"")</f>
        <v>2.5</v>
      </c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customFormat="false" ht="15.75" hidden="false" customHeight="true" outlineLevel="0" collapsed="false">
      <c r="A210" s="18" t="s">
        <v>312</v>
      </c>
      <c r="B210" s="18" t="str">
        <f aca="false">TRIM(A210)</f>
        <v>مرکز صدور علی دادی | علی دانایی</v>
      </c>
      <c r="C210" s="18" t="n">
        <v>72</v>
      </c>
      <c r="D210" s="18" t="n">
        <v>34</v>
      </c>
      <c r="E210" s="15" t="n">
        <f aca="false">IFERROR(VLOOKUP(B210,'Operators performance'!B:P,15,0),"")</f>
        <v>1.5</v>
      </c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customFormat="false" ht="15.75" hidden="false" customHeight="true" outlineLevel="0" collapsed="false">
      <c r="A211" s="18" t="s">
        <v>309</v>
      </c>
      <c r="B211" s="18" t="str">
        <f aca="false">TRIM(A211)</f>
        <v>مرکز صدور پیرهادی | زهرا پیرهادی</v>
      </c>
      <c r="C211" s="18" t="n">
        <v>30</v>
      </c>
      <c r="D211" s="18" t="n">
        <v>34</v>
      </c>
      <c r="E211" s="15" t="n">
        <f aca="false">IFERROR(VLOOKUP(B211,'Operators performance'!B:P,15,0),"")</f>
        <v>1</v>
      </c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customFormat="false" ht="15.75" hidden="false" customHeight="true" outlineLevel="0" collapsed="false">
      <c r="A212" s="18" t="s">
        <v>198</v>
      </c>
      <c r="B212" s="18" t="str">
        <f aca="false">TRIM(A212)</f>
        <v>فاطمه خوشرودی</v>
      </c>
      <c r="C212" s="18" t="n">
        <v>169</v>
      </c>
      <c r="D212" s="18" t="n">
        <v>33</v>
      </c>
      <c r="E212" s="15" t="n">
        <f aca="false">IFERROR(VLOOKUP(B212,'Operators performance'!B:P,15,0),"")</f>
        <v>3</v>
      </c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customFormat="false" ht="15.75" hidden="false" customHeight="true" outlineLevel="0" collapsed="false">
      <c r="A213" s="18" t="s">
        <v>233</v>
      </c>
      <c r="B213" s="18" t="str">
        <f aca="false">TRIM(A213)</f>
        <v>کیان مهر شجاعی</v>
      </c>
      <c r="C213" s="18" t="n">
        <v>97</v>
      </c>
      <c r="D213" s="18" t="n">
        <v>34</v>
      </c>
      <c r="E213" s="15" t="n">
        <f aca="false">IFERROR(VLOOKUP(B213,'Operators performance'!B:P,15,0),"")</f>
        <v>2</v>
      </c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customFormat="false" ht="15.75" hidden="false" customHeight="true" outlineLevel="0" collapsed="false">
      <c r="A214" s="18" t="s">
        <v>303</v>
      </c>
      <c r="B214" s="18" t="str">
        <f aca="false">TRIM(A214)</f>
        <v>لیلا پاشایی</v>
      </c>
      <c r="C214" s="18" t="n">
        <v>74</v>
      </c>
      <c r="D214" s="18" t="n">
        <v>33</v>
      </c>
      <c r="E214" s="15" t="n">
        <f aca="false">IFERROR(VLOOKUP(B214,'Operators performance'!B:P,15,0),"")</f>
        <v>1.5</v>
      </c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customFormat="false" ht="15.75" hidden="false" customHeight="true" outlineLevel="0" collapsed="false">
      <c r="A215" s="18" t="s">
        <v>319</v>
      </c>
      <c r="B215" s="18" t="str">
        <f aca="false">TRIM(A215)</f>
        <v>نازنین خالقی</v>
      </c>
      <c r="C215" s="18" t="n">
        <v>24</v>
      </c>
      <c r="D215" s="18" t="n">
        <v>34</v>
      </c>
      <c r="E215" s="15" t="n">
        <f aca="false">IFERROR(VLOOKUP(B215,'Operators performance'!B:P,15,0),"")</f>
        <v>1</v>
      </c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customFormat="false" ht="15.75" hidden="false" customHeight="true" outlineLevel="0" collapsed="false">
      <c r="A216" s="18" t="s">
        <v>111</v>
      </c>
      <c r="B216" s="18" t="str">
        <f aca="false">TRIM(A216)</f>
        <v>محمد افتخاری</v>
      </c>
      <c r="C216" s="18" t="n">
        <v>190</v>
      </c>
      <c r="D216" s="18" t="n">
        <v>34</v>
      </c>
      <c r="E216" s="15" t="n">
        <f aca="false">IFERROR(VLOOKUP(B216,'Operators performance'!B:P,15,0),"")</f>
        <v>3.5</v>
      </c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customFormat="false" ht="15.75" hidden="false" customHeight="true" outlineLevel="0" collapsed="false">
      <c r="A217" s="18" t="s">
        <v>250</v>
      </c>
      <c r="B217" s="18" t="str">
        <f aca="false">TRIM(A217)</f>
        <v>ناهید عباس زاده</v>
      </c>
      <c r="C217" s="18" t="n">
        <v>76</v>
      </c>
      <c r="D217" s="18" t="n">
        <v>34</v>
      </c>
      <c r="E217" s="15" t="n">
        <f aca="false">IFERROR(VLOOKUP(B217,'Operators performance'!B:P,15,0),"")</f>
        <v>1.5</v>
      </c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customFormat="false" ht="15.75" hidden="false" customHeight="true" outlineLevel="0" collapsed="false">
      <c r="A218" s="18" t="s">
        <v>102</v>
      </c>
      <c r="B218" s="18" t="str">
        <f aca="false">TRIM(A218)</f>
        <v>زهرا طاهری</v>
      </c>
      <c r="C218" s="18" t="n">
        <v>306</v>
      </c>
      <c r="D218" s="18" t="n">
        <v>33</v>
      </c>
      <c r="E218" s="15" t="n">
        <f aca="false">IFERROR(VLOOKUP(B218,'Operators performance'!B:P,15,0),"")</f>
        <v>3.5</v>
      </c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customFormat="false" ht="15.75" hidden="false" customHeight="true" outlineLevel="0" collapsed="false">
      <c r="A219" s="18" t="s">
        <v>205</v>
      </c>
      <c r="B219" s="18" t="str">
        <f aca="false">TRIM(A219)</f>
        <v>مرکز صدور کاظمی | فائزه ابراهیمی</v>
      </c>
      <c r="C219" s="18" t="n">
        <v>105</v>
      </c>
      <c r="D219" s="18" t="n">
        <v>34</v>
      </c>
      <c r="E219" s="15" t="n">
        <f aca="false">IFERROR(VLOOKUP(B219,'Operators performance'!B:P,15,0),"")</f>
        <v>2</v>
      </c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customFormat="false" ht="15.75" hidden="false" customHeight="true" outlineLevel="0" collapsed="false">
      <c r="A220" s="18" t="s">
        <v>191</v>
      </c>
      <c r="B220" s="18" t="str">
        <f aca="false">TRIM(A220)</f>
        <v>سبا نصرالهی</v>
      </c>
      <c r="C220" s="18" t="n">
        <v>139</v>
      </c>
      <c r="D220" s="18" t="n">
        <v>34</v>
      </c>
      <c r="E220" s="15" t="n">
        <f aca="false">IFERROR(VLOOKUP(B220,'Operators performance'!B:P,15,0),"")</f>
        <v>2.5</v>
      </c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customFormat="false" ht="15.75" hidden="false" customHeight="true" outlineLevel="0" collapsed="false">
      <c r="A221" s="18" t="s">
        <v>271</v>
      </c>
      <c r="B221" s="18" t="str">
        <f aca="false">TRIM(A221)</f>
        <v>سید مهدی موسوی سوها</v>
      </c>
      <c r="C221" s="18" t="n">
        <v>45</v>
      </c>
      <c r="D221" s="18" t="n">
        <v>34</v>
      </c>
      <c r="E221" s="15" t="n">
        <f aca="false">IFERROR(VLOOKUP(B221,'Operators performance'!B:P,15,0),"")</f>
        <v>1</v>
      </c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customFormat="false" ht="15.75" hidden="false" customHeight="true" outlineLevel="0" collapsed="false">
      <c r="A222" s="18" t="s">
        <v>159</v>
      </c>
      <c r="B222" s="18" t="str">
        <f aca="false">TRIM(A222)</f>
        <v>سکینه کاروند</v>
      </c>
      <c r="C222" s="18" t="n">
        <v>193</v>
      </c>
      <c r="D222" s="18" t="n">
        <v>35</v>
      </c>
      <c r="E222" s="15" t="n">
        <f aca="false">IFERROR(VLOOKUP(B222,'Operators performance'!B:P,15,0),"")</f>
        <v>3.5</v>
      </c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customFormat="false" ht="15.75" hidden="false" customHeight="true" outlineLevel="0" collapsed="false">
      <c r="A223" s="18" t="s">
        <v>232</v>
      </c>
      <c r="B223" s="18" t="str">
        <f aca="false">TRIM(A223)</f>
        <v>فاطمه شصتی</v>
      </c>
      <c r="C223" s="18" t="n">
        <v>40</v>
      </c>
      <c r="D223" s="18" t="n">
        <v>35</v>
      </c>
      <c r="E223" s="15" t="n">
        <f aca="false">IFERROR(VLOOKUP(B223,'Operators performance'!B:P,15,0),"")</f>
        <v>1</v>
      </c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customFormat="false" ht="15.75" hidden="false" customHeight="true" outlineLevel="0" collapsed="false">
      <c r="A224" s="18" t="s">
        <v>101</v>
      </c>
      <c r="B224" s="18" t="str">
        <f aca="false">TRIM(A224)</f>
        <v>حمیدرضا احمدی</v>
      </c>
      <c r="C224" s="18" t="n">
        <v>198</v>
      </c>
      <c r="D224" s="18" t="n">
        <v>35</v>
      </c>
      <c r="E224" s="15" t="n">
        <f aca="false">IFERROR(VLOOKUP(B224,'Operators performance'!B:P,15,0),"")</f>
        <v>3.5</v>
      </c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customFormat="false" ht="15.75" hidden="false" customHeight="true" outlineLevel="0" collapsed="false">
      <c r="A225" s="18" t="s">
        <v>243</v>
      </c>
      <c r="B225" s="18" t="str">
        <f aca="false">TRIM(A225)</f>
        <v>مریم منیری</v>
      </c>
      <c r="C225" s="18" t="n">
        <v>55</v>
      </c>
      <c r="D225" s="18" t="n">
        <v>35</v>
      </c>
      <c r="E225" s="15" t="n">
        <f aca="false">IFERROR(VLOOKUP(B225,'Operators performance'!B:P,15,0),"")</f>
        <v>1</v>
      </c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customFormat="false" ht="15.75" hidden="false" customHeight="true" outlineLevel="0" collapsed="false">
      <c r="A226" s="18" t="s">
        <v>166</v>
      </c>
      <c r="B226" s="18" t="str">
        <f aca="false">TRIM(A226)</f>
        <v>کیمیا غلامی</v>
      </c>
      <c r="C226" s="18" t="n">
        <v>160</v>
      </c>
      <c r="D226" s="18" t="n">
        <v>35</v>
      </c>
      <c r="E226" s="15" t="n">
        <f aca="false">IFERROR(VLOOKUP(B226,'Operators performance'!B:P,15,0),"")</f>
        <v>3</v>
      </c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customFormat="false" ht="15.75" hidden="false" customHeight="true" outlineLevel="0" collapsed="false">
      <c r="A227" s="18" t="s">
        <v>292</v>
      </c>
      <c r="B227" s="18" t="str">
        <f aca="false">TRIM(A227)</f>
        <v>پروین شجاعی</v>
      </c>
      <c r="C227" s="18" t="n">
        <v>47</v>
      </c>
      <c r="D227" s="18" t="n">
        <v>35</v>
      </c>
      <c r="E227" s="15" t="n">
        <f aca="false">IFERROR(VLOOKUP(B227,'Operators performance'!B:P,15,0),"")</f>
        <v>1</v>
      </c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customFormat="false" ht="15.75" hidden="false" customHeight="true" outlineLevel="0" collapsed="false">
      <c r="A228" s="18" t="s">
        <v>325</v>
      </c>
      <c r="B228" s="18" t="str">
        <f aca="false">TRIM(A228)</f>
        <v>مرکز صدور خوش سیرت | مهتاب سهیل رجبی</v>
      </c>
      <c r="C228" s="18" t="n">
        <v>69</v>
      </c>
      <c r="D228" s="18" t="n">
        <v>35</v>
      </c>
      <c r="E228" s="15" t="n">
        <f aca="false">IFERROR(VLOOKUP(B228,'Operators performance'!B:P,15,0),"")</f>
        <v>1.5</v>
      </c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customFormat="false" ht="15.75" hidden="false" customHeight="true" outlineLevel="0" collapsed="false">
      <c r="A229" s="18" t="s">
        <v>176</v>
      </c>
      <c r="B229" s="18" t="str">
        <f aca="false">TRIM(A229)</f>
        <v>همایون فرحدل</v>
      </c>
      <c r="C229" s="18" t="n">
        <v>109</v>
      </c>
      <c r="D229" s="18" t="n">
        <v>36</v>
      </c>
      <c r="E229" s="15" t="n">
        <f aca="false">IFERROR(VLOOKUP(B229,'Operators performance'!B:P,15,0),"")</f>
        <v>2</v>
      </c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customFormat="false" ht="15.75" hidden="false" customHeight="true" outlineLevel="0" collapsed="false">
      <c r="A230" s="18" t="s">
        <v>305</v>
      </c>
      <c r="B230" s="18" t="str">
        <f aca="false">TRIM(A230)</f>
        <v>مجتبی بابالو</v>
      </c>
      <c r="C230" s="18" t="n">
        <v>31</v>
      </c>
      <c r="D230" s="18" t="n">
        <v>36</v>
      </c>
      <c r="E230" s="15" t="n">
        <f aca="false">IFERROR(VLOOKUP(B230,'Operators performance'!B:P,15,0),"")</f>
        <v>1</v>
      </c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customFormat="false" ht="15.75" hidden="false" customHeight="true" outlineLevel="0" collapsed="false">
      <c r="A231" s="18" t="s">
        <v>177</v>
      </c>
      <c r="B231" s="18" t="str">
        <f aca="false">TRIM(A231)</f>
        <v>یلدا نعمتی</v>
      </c>
      <c r="C231" s="18" t="n">
        <v>175</v>
      </c>
      <c r="D231" s="18" t="n">
        <v>36</v>
      </c>
      <c r="E231" s="15" t="n">
        <f aca="false">IFERROR(VLOOKUP(B231,'Operators performance'!B:P,15,0),"")</f>
        <v>3</v>
      </c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customFormat="false" ht="15.75" hidden="false" customHeight="true" outlineLevel="0" collapsed="false">
      <c r="A232" s="18" t="s">
        <v>353</v>
      </c>
      <c r="B232" s="18" t="str">
        <f aca="false">TRIM(A232)</f>
        <v>علی کریمی</v>
      </c>
      <c r="C232" s="18" t="n">
        <v>35</v>
      </c>
      <c r="D232" s="18" t="n">
        <v>36</v>
      </c>
      <c r="E232" s="15" t="str">
        <f aca="false">IFERROR(VLOOKUP(B232,'Operators performance'!B:P,15,0),"")</f>
        <v/>
      </c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customFormat="false" ht="15.75" hidden="false" customHeight="true" outlineLevel="0" collapsed="false">
      <c r="A233" s="18" t="s">
        <v>225</v>
      </c>
      <c r="B233" s="18" t="str">
        <f aca="false">TRIM(A233)</f>
        <v>زهرا صحرایی</v>
      </c>
      <c r="C233" s="18" t="n">
        <v>94</v>
      </c>
      <c r="D233" s="18" t="n">
        <v>37</v>
      </c>
      <c r="E233" s="15" t="n">
        <f aca="false">IFERROR(VLOOKUP(B233,'Operators performance'!B:P,15,0),"")</f>
        <v>2</v>
      </c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customFormat="false" ht="15.75" hidden="false" customHeight="true" outlineLevel="0" collapsed="false">
      <c r="A234" s="18" t="s">
        <v>148</v>
      </c>
      <c r="B234" s="18" t="str">
        <f aca="false">TRIM(A234)</f>
        <v>احسان بشیرزاده هنگامی</v>
      </c>
      <c r="C234" s="18" t="n">
        <v>51</v>
      </c>
      <c r="D234" s="18" t="n">
        <v>37</v>
      </c>
      <c r="E234" s="15" t="n">
        <f aca="false">IFERROR(VLOOKUP(B234,'Operators performance'!B:P,15,0),"")</f>
        <v>1</v>
      </c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customFormat="false" ht="15.75" hidden="false" customHeight="true" outlineLevel="0" collapsed="false">
      <c r="A235" s="18" t="s">
        <v>287</v>
      </c>
      <c r="B235" s="18" t="str">
        <f aca="false">TRIM(A235)</f>
        <v>میلاد زدوار</v>
      </c>
      <c r="C235" s="18" t="n">
        <v>75</v>
      </c>
      <c r="D235" s="18" t="n">
        <v>36</v>
      </c>
      <c r="E235" s="15" t="n">
        <f aca="false">IFERROR(VLOOKUP(B235,'Operators performance'!B:P,15,0),"")</f>
        <v>1.5</v>
      </c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customFormat="false" ht="15.75" hidden="false" customHeight="true" outlineLevel="0" collapsed="false">
      <c r="A236" s="18" t="s">
        <v>265</v>
      </c>
      <c r="B236" s="18" t="str">
        <f aca="false">TRIM(A236)</f>
        <v>زهره خانزادی</v>
      </c>
      <c r="C236" s="18" t="n">
        <v>35</v>
      </c>
      <c r="D236" s="18" t="n">
        <v>37</v>
      </c>
      <c r="E236" s="15" t="n">
        <f aca="false">IFERROR(VLOOKUP(B236,'Operators performance'!B:P,15,0),"")</f>
        <v>1</v>
      </c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customFormat="false" ht="15.75" hidden="false" customHeight="true" outlineLevel="0" collapsed="false">
      <c r="A237" s="18" t="s">
        <v>254</v>
      </c>
      <c r="B237" s="18" t="str">
        <f aca="false">TRIM(A237)</f>
        <v>نیلوفر لشنی</v>
      </c>
      <c r="C237" s="18" t="n">
        <v>73</v>
      </c>
      <c r="D237" s="18" t="n">
        <v>37</v>
      </c>
      <c r="E237" s="15" t="n">
        <f aca="false">IFERROR(VLOOKUP(B237,'Operators performance'!B:P,15,0),"")</f>
        <v>1.5</v>
      </c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customFormat="false" ht="15.75" hidden="false" customHeight="true" outlineLevel="0" collapsed="false">
      <c r="A238" s="18" t="s">
        <v>99</v>
      </c>
      <c r="B238" s="18" t="str">
        <f aca="false">TRIM(A238)</f>
        <v>حسین پیرمرادی</v>
      </c>
      <c r="C238" s="18" t="n">
        <v>196</v>
      </c>
      <c r="D238" s="18" t="n">
        <v>38</v>
      </c>
      <c r="E238" s="15" t="n">
        <f aca="false">IFERROR(VLOOKUP(B238,'Operators performance'!B:P,15,0),"")</f>
        <v>3.5</v>
      </c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customFormat="false" ht="15.75" hidden="false" customHeight="true" outlineLevel="0" collapsed="false">
      <c r="A239" s="18" t="s">
        <v>286</v>
      </c>
      <c r="B239" s="18" t="str">
        <f aca="false">TRIM(A239)</f>
        <v>مهیار مصطفی نژاد</v>
      </c>
      <c r="C239" s="18" t="n">
        <v>52</v>
      </c>
      <c r="D239" s="18" t="n">
        <v>38</v>
      </c>
      <c r="E239" s="15" t="n">
        <f aca="false">IFERROR(VLOOKUP(B239,'Operators performance'!B:P,15,0),"")</f>
        <v>1</v>
      </c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customFormat="false" ht="15.75" hidden="false" customHeight="true" outlineLevel="0" collapsed="false">
      <c r="A240" s="18" t="s">
        <v>235</v>
      </c>
      <c r="B240" s="18" t="str">
        <f aca="false">TRIM(A240)</f>
        <v>لیلا عظیمی</v>
      </c>
      <c r="C240" s="18" t="n">
        <v>187</v>
      </c>
      <c r="D240" s="18" t="n">
        <v>38</v>
      </c>
      <c r="E240" s="15" t="n">
        <f aca="false">IFERROR(VLOOKUP(B240,'Operators performance'!B:P,15,0),"")</f>
        <v>3.5</v>
      </c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customFormat="false" ht="15.75" hidden="false" customHeight="true" outlineLevel="0" collapsed="false">
      <c r="A241" s="18" t="s">
        <v>273</v>
      </c>
      <c r="B241" s="18" t="str">
        <f aca="false">TRIM(A241)</f>
        <v>شقایق طهماسبی</v>
      </c>
      <c r="C241" s="18" t="n">
        <v>46</v>
      </c>
      <c r="D241" s="18" t="n">
        <v>39</v>
      </c>
      <c r="E241" s="15" t="n">
        <f aca="false">IFERROR(VLOOKUP(B241,'Operators performance'!B:P,15,0),"")</f>
        <v>1</v>
      </c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customFormat="false" ht="15.75" hidden="false" customHeight="true" outlineLevel="0" collapsed="false">
      <c r="A242" s="18" t="s">
        <v>108</v>
      </c>
      <c r="B242" s="18" t="str">
        <f aca="false">TRIM(A242)</f>
        <v>کوثر بلالی</v>
      </c>
      <c r="C242" s="18" t="n">
        <v>195</v>
      </c>
      <c r="D242" s="18" t="n">
        <v>39</v>
      </c>
      <c r="E242" s="15" t="n">
        <f aca="false">IFERROR(VLOOKUP(B242,'Operators performance'!B:P,15,0),"")</f>
        <v>3.5</v>
      </c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customFormat="false" ht="15.75" hidden="false" customHeight="true" outlineLevel="0" collapsed="false">
      <c r="A243" s="18" t="s">
        <v>291</v>
      </c>
      <c r="B243" s="18" t="str">
        <f aca="false">TRIM(A243)</f>
        <v>بهار آرین فر</v>
      </c>
      <c r="C243" s="18" t="n">
        <v>57</v>
      </c>
      <c r="D243" s="18" t="n">
        <v>39</v>
      </c>
      <c r="E243" s="15" t="n">
        <f aca="false">IFERROR(VLOOKUP(B243,'Operators performance'!B:P,15,0),"")</f>
        <v>1</v>
      </c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customFormat="false" ht="15.75" hidden="false" customHeight="true" outlineLevel="0" collapsed="false">
      <c r="A244" s="18" t="s">
        <v>189</v>
      </c>
      <c r="B244" s="18" t="str">
        <f aca="false">TRIM(A244)</f>
        <v>زهره صفری</v>
      </c>
      <c r="C244" s="18" t="n">
        <v>153</v>
      </c>
      <c r="D244" s="18" t="n">
        <v>39</v>
      </c>
      <c r="E244" s="15" t="n">
        <f aca="false">IFERROR(VLOOKUP(B244,'Operators performance'!B:P,15,0),"")</f>
        <v>3</v>
      </c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customFormat="false" ht="15.75" hidden="false" customHeight="true" outlineLevel="0" collapsed="false">
      <c r="A245" s="18" t="s">
        <v>156</v>
      </c>
      <c r="B245" s="18" t="str">
        <f aca="false">TRIM(A245)</f>
        <v>زهرا عسگری</v>
      </c>
      <c r="C245" s="18" t="n">
        <v>139</v>
      </c>
      <c r="D245" s="18" t="n">
        <v>39</v>
      </c>
      <c r="E245" s="15" t="n">
        <f aca="false">IFERROR(VLOOKUP(B245,'Operators performance'!B:P,15,0),"")</f>
        <v>2.5</v>
      </c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customFormat="false" ht="15.75" hidden="false" customHeight="true" outlineLevel="0" collapsed="false">
      <c r="A246" s="18" t="s">
        <v>284</v>
      </c>
      <c r="B246" s="18" t="str">
        <f aca="false">TRIM(A246)</f>
        <v>معصومه مهری</v>
      </c>
      <c r="C246" s="18" t="n">
        <v>88</v>
      </c>
      <c r="D246" s="18" t="n">
        <v>39</v>
      </c>
      <c r="E246" s="15" t="n">
        <f aca="false">IFERROR(VLOOKUP(B246,'Operators performance'!B:P,15,0),"")</f>
        <v>1.5</v>
      </c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customFormat="false" ht="15.75" hidden="false" customHeight="true" outlineLevel="0" collapsed="false">
      <c r="A247" s="18" t="s">
        <v>230</v>
      </c>
      <c r="B247" s="18" t="str">
        <f aca="false">TRIM(A247)</f>
        <v>علی کمالی</v>
      </c>
      <c r="C247" s="18" t="n">
        <v>28</v>
      </c>
      <c r="D247" s="18" t="n">
        <v>39</v>
      </c>
      <c r="E247" s="15" t="n">
        <f aca="false">IFERROR(VLOOKUP(B247,'Operators performance'!B:P,15,0),"")</f>
        <v>1</v>
      </c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customFormat="false" ht="15.75" hidden="false" customHeight="true" outlineLevel="0" collapsed="false">
      <c r="A248" s="18" t="s">
        <v>137</v>
      </c>
      <c r="B248" s="18" t="str">
        <f aca="false">TRIM(A248)</f>
        <v>محسن عبدی</v>
      </c>
      <c r="C248" s="18" t="n">
        <v>144</v>
      </c>
      <c r="D248" s="18" t="n">
        <v>40</v>
      </c>
      <c r="E248" s="15" t="n">
        <f aca="false">IFERROR(VLOOKUP(B248,'Operators performance'!B:P,15,0),"")</f>
        <v>2</v>
      </c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customFormat="false" ht="15.75" hidden="false" customHeight="true" outlineLevel="0" collapsed="false">
      <c r="A249" s="18" t="s">
        <v>354</v>
      </c>
      <c r="B249" s="18" t="str">
        <f aca="false">TRIM(A249)</f>
        <v>مرکز صدور امیرموسوی| ستایش رهاوی</v>
      </c>
      <c r="C249" s="18" t="n">
        <v>34</v>
      </c>
      <c r="D249" s="18" t="n">
        <v>39</v>
      </c>
      <c r="E249" s="15" t="str">
        <f aca="false">IFERROR(VLOOKUP(B249,'Operators performance'!B:P,15,0),"")</f>
        <v/>
      </c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customFormat="false" ht="15.75" hidden="false" customHeight="true" outlineLevel="0" collapsed="false">
      <c r="A250" s="18" t="s">
        <v>147</v>
      </c>
      <c r="B250" s="18" t="str">
        <f aca="false">TRIM(A250)</f>
        <v>ابوالفضل بختیاری</v>
      </c>
      <c r="C250" s="18" t="n">
        <v>114</v>
      </c>
      <c r="D250" s="18" t="n">
        <v>39</v>
      </c>
      <c r="E250" s="15" t="n">
        <f aca="false">IFERROR(VLOOKUP(B250,'Operators performance'!B:P,15,0),"")</f>
        <v>2</v>
      </c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customFormat="false" ht="15.75" hidden="false" customHeight="true" outlineLevel="0" collapsed="false">
      <c r="A251" s="18" t="s">
        <v>252</v>
      </c>
      <c r="B251" s="18" t="str">
        <f aca="false">TRIM(A251)</f>
        <v>نیلوفر آقاموسی</v>
      </c>
      <c r="C251" s="18" t="n">
        <v>68</v>
      </c>
      <c r="D251" s="18" t="n">
        <v>39</v>
      </c>
      <c r="E251" s="15" t="n">
        <f aca="false">IFERROR(VLOOKUP(B251,'Operators performance'!B:P,15,0),"")</f>
        <v>1.5</v>
      </c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customFormat="false" ht="15.75" hidden="false" customHeight="true" outlineLevel="0" collapsed="false">
      <c r="A252" s="18" t="s">
        <v>313</v>
      </c>
      <c r="B252" s="18" t="str">
        <f aca="false">TRIM(A252)</f>
        <v>مرکز صدور کاظمی | اعظم قنبری</v>
      </c>
      <c r="C252" s="18" t="n">
        <v>38</v>
      </c>
      <c r="D252" s="18" t="n">
        <v>40</v>
      </c>
      <c r="E252" s="15" t="n">
        <f aca="false">IFERROR(VLOOKUP(B252,'Operators performance'!B:P,15,0),"")</f>
        <v>0.5</v>
      </c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customFormat="false" ht="15.75" hidden="false" customHeight="true" outlineLevel="0" collapsed="false">
      <c r="A253" s="18" t="s">
        <v>322</v>
      </c>
      <c r="B253" s="18" t="str">
        <f aca="false">TRIM(A253)</f>
        <v>نرمین سرمستی</v>
      </c>
      <c r="C253" s="18" t="n">
        <v>34</v>
      </c>
      <c r="D253" s="18" t="n">
        <v>40</v>
      </c>
      <c r="E253" s="15" t="n">
        <f aca="false">IFERROR(VLOOKUP(B253,'Operators performance'!B:P,15,0),"")</f>
        <v>0.5</v>
      </c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customFormat="false" ht="15.75" hidden="false" customHeight="true" outlineLevel="0" collapsed="false">
      <c r="A254" s="18" t="s">
        <v>248</v>
      </c>
      <c r="B254" s="18" t="str">
        <f aca="false">TRIM(A254)</f>
        <v>موژان رونقی</v>
      </c>
      <c r="C254" s="18" t="n">
        <v>109</v>
      </c>
      <c r="D254" s="18" t="n">
        <v>40</v>
      </c>
      <c r="E254" s="15" t="n">
        <f aca="false">IFERROR(VLOOKUP(B254,'Operators performance'!B:P,15,0),"")</f>
        <v>1.5</v>
      </c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customFormat="false" ht="15.75" hidden="false" customHeight="true" outlineLevel="0" collapsed="false">
      <c r="A255" s="18" t="s">
        <v>253</v>
      </c>
      <c r="B255" s="18" t="str">
        <f aca="false">TRIM(A255)</f>
        <v>نیلوفر عباس نژاد کنجین</v>
      </c>
      <c r="C255" s="18" t="n">
        <v>158</v>
      </c>
      <c r="D255" s="18" t="n">
        <v>40</v>
      </c>
      <c r="E255" s="15" t="n">
        <f aca="false">IFERROR(VLOOKUP(B255,'Operators performance'!B:P,15,0),"")</f>
        <v>2.5</v>
      </c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customFormat="false" ht="15.75" hidden="false" customHeight="true" outlineLevel="0" collapsed="false">
      <c r="A256" s="18" t="s">
        <v>246</v>
      </c>
      <c r="B256" s="18" t="str">
        <f aca="false">TRIM(A256)</f>
        <v>مهدیه حسینی</v>
      </c>
      <c r="C256" s="18" t="n">
        <v>74</v>
      </c>
      <c r="D256" s="18" t="n">
        <v>40</v>
      </c>
      <c r="E256" s="15" t="n">
        <f aca="false">IFERROR(VLOOKUP(B256,'Operators performance'!B:P,15,0),"")</f>
        <v>1</v>
      </c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customFormat="false" ht="15.75" hidden="false" customHeight="true" outlineLevel="0" collapsed="false">
      <c r="A257" s="18" t="s">
        <v>207</v>
      </c>
      <c r="B257" s="18" t="str">
        <f aca="false">TRIM(A257)</f>
        <v>مریم محمدی</v>
      </c>
      <c r="C257" s="18" t="n">
        <v>121</v>
      </c>
      <c r="D257" s="18" t="n">
        <v>41</v>
      </c>
      <c r="E257" s="15" t="n">
        <f aca="false">IFERROR(VLOOKUP(B257,'Operators performance'!B:P,15,0),"")</f>
        <v>2</v>
      </c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customFormat="false" ht="15.75" hidden="false" customHeight="true" outlineLevel="0" collapsed="false">
      <c r="A258" s="18" t="s">
        <v>275</v>
      </c>
      <c r="B258" s="18" t="str">
        <f aca="false">TRIM(A258)</f>
        <v>فاطمه امان آبادی</v>
      </c>
      <c r="C258" s="18" t="n">
        <v>91</v>
      </c>
      <c r="D258" s="18" t="n">
        <v>41</v>
      </c>
      <c r="E258" s="15" t="n">
        <f aca="false">IFERROR(VLOOKUP(B258,'Operators performance'!B:P,15,0),"")</f>
        <v>1.5</v>
      </c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customFormat="false" ht="15.75" hidden="false" customHeight="true" outlineLevel="0" collapsed="false">
      <c r="A259" s="18" t="s">
        <v>244</v>
      </c>
      <c r="B259" s="18" t="str">
        <f aca="false">TRIM(A259)</f>
        <v>مژگان فدایی منفرد</v>
      </c>
      <c r="C259" s="18" t="n">
        <v>98</v>
      </c>
      <c r="D259" s="18" t="n">
        <v>41</v>
      </c>
      <c r="E259" s="15" t="n">
        <f aca="false">IFERROR(VLOOKUP(B259,'Operators performance'!B:P,15,0),"")</f>
        <v>1.5</v>
      </c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customFormat="false" ht="15.75" hidden="false" customHeight="true" outlineLevel="0" collapsed="false">
      <c r="A260" s="18" t="s">
        <v>300</v>
      </c>
      <c r="B260" s="18" t="str">
        <f aca="false">TRIM(A260)</f>
        <v>فاطمه امیری</v>
      </c>
      <c r="C260" s="18" t="n">
        <v>2</v>
      </c>
      <c r="D260" s="18" t="n">
        <v>41</v>
      </c>
      <c r="E260" s="15" t="n">
        <f aca="false">IFERROR(VLOOKUP(B260,'Operators performance'!B:P,15,0),"")</f>
        <v>0.5</v>
      </c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customFormat="false" ht="15.75" hidden="false" customHeight="true" outlineLevel="0" collapsed="false">
      <c r="A261" s="18" t="s">
        <v>263</v>
      </c>
      <c r="B261" s="18" t="str">
        <f aca="false">TRIM(A261)</f>
        <v>دانیال سعادت منش</v>
      </c>
      <c r="C261" s="18" t="n">
        <v>113</v>
      </c>
      <c r="D261" s="18" t="n">
        <v>42</v>
      </c>
      <c r="E261" s="15" t="n">
        <f aca="false">IFERROR(VLOOKUP(B261,'Operators performance'!B:P,15,0),"")</f>
        <v>1.5</v>
      </c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customFormat="false" ht="15.75" hidden="false" customHeight="true" outlineLevel="0" collapsed="false">
      <c r="A262" s="18" t="s">
        <v>245</v>
      </c>
      <c r="B262" s="18" t="str">
        <f aca="false">TRIM(A262)</f>
        <v>ملیکا مقدم</v>
      </c>
      <c r="C262" s="18" t="n">
        <v>137</v>
      </c>
      <c r="D262" s="18" t="n">
        <v>43</v>
      </c>
      <c r="E262" s="15" t="n">
        <f aca="false">IFERROR(VLOOKUP(B262,'Operators performance'!B:P,15,0),"")</f>
        <v>2</v>
      </c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customFormat="false" ht="15.75" hidden="false" customHeight="true" outlineLevel="0" collapsed="false">
      <c r="A263" s="18" t="s">
        <v>281</v>
      </c>
      <c r="B263" s="18" t="str">
        <f aca="false">TRIM(A263)</f>
        <v>مرکز صدور شاه محمدی | مهدیس کامران</v>
      </c>
      <c r="C263" s="18" t="n">
        <v>51</v>
      </c>
      <c r="D263" s="18" t="n">
        <v>43</v>
      </c>
      <c r="E263" s="15" t="n">
        <f aca="false">IFERROR(VLOOKUP(B263,'Operators performance'!B:P,15,0),"")</f>
        <v>0.5</v>
      </c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customFormat="false" ht="15.75" hidden="false" customHeight="true" outlineLevel="0" collapsed="false">
      <c r="A264" s="18" t="s">
        <v>269</v>
      </c>
      <c r="B264" s="18" t="str">
        <f aca="false">TRIM(A264)</f>
        <v>سمانه بروغنی</v>
      </c>
      <c r="C264" s="18" t="n">
        <v>67</v>
      </c>
      <c r="D264" s="18" t="n">
        <v>42</v>
      </c>
      <c r="E264" s="15" t="n">
        <f aca="false">IFERROR(VLOOKUP(B264,'Operators performance'!B:P,15,0),"")</f>
        <v>1</v>
      </c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customFormat="false" ht="15.75" hidden="false" customHeight="true" outlineLevel="0" collapsed="false">
      <c r="A265" s="18" t="s">
        <v>152</v>
      </c>
      <c r="B265" s="18" t="str">
        <f aca="false">TRIM(A265)</f>
        <v>حامد رضایی</v>
      </c>
      <c r="C265" s="18" t="n">
        <v>137</v>
      </c>
      <c r="D265" s="18" t="n">
        <v>43</v>
      </c>
      <c r="E265" s="15" t="n">
        <f aca="false">IFERROR(VLOOKUP(B265,'Operators performance'!B:P,15,0),"")</f>
        <v>2</v>
      </c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customFormat="false" ht="15.75" hidden="false" customHeight="true" outlineLevel="0" collapsed="false">
      <c r="A266" s="18" t="s">
        <v>259</v>
      </c>
      <c r="B266" s="18" t="str">
        <f aca="false">TRIM(A266)</f>
        <v>پریسا تعبدی</v>
      </c>
      <c r="C266" s="18" t="n">
        <v>98</v>
      </c>
      <c r="D266" s="18" t="n">
        <v>43</v>
      </c>
      <c r="E266" s="15" t="n">
        <f aca="false">IFERROR(VLOOKUP(B266,'Operators performance'!B:P,15,0),"")</f>
        <v>1.5</v>
      </c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customFormat="false" ht="15.75" hidden="false" customHeight="true" outlineLevel="0" collapsed="false">
      <c r="A267" s="18" t="s">
        <v>320</v>
      </c>
      <c r="B267" s="18" t="str">
        <f aca="false">TRIM(A267)</f>
        <v>نازنین نیکوبین</v>
      </c>
      <c r="C267" s="18" t="n">
        <v>45</v>
      </c>
      <c r="D267" s="18" t="n">
        <v>43</v>
      </c>
      <c r="E267" s="15" t="n">
        <f aca="false">IFERROR(VLOOKUP(B267,'Operators performance'!B:P,15,0),"")</f>
        <v>0.5</v>
      </c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customFormat="false" ht="15.75" hidden="false" customHeight="true" outlineLevel="0" collapsed="false">
      <c r="A268" s="18" t="s">
        <v>217</v>
      </c>
      <c r="B268" s="18" t="str">
        <f aca="false">TRIM(A268)</f>
        <v>احسان محمدی</v>
      </c>
      <c r="C268" s="18" t="n">
        <v>65</v>
      </c>
      <c r="D268" s="18" t="n">
        <v>43</v>
      </c>
      <c r="E268" s="15" t="n">
        <f aca="false">IFERROR(VLOOKUP(B268,'Operators performance'!B:P,15,0),"")</f>
        <v>1</v>
      </c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customFormat="false" ht="15.75" hidden="false" customHeight="true" outlineLevel="0" collapsed="false">
      <c r="A269" s="18" t="s">
        <v>240</v>
      </c>
      <c r="B269" s="18" t="str">
        <f aca="false">TRIM(A269)</f>
        <v>مرکز صدور کاظمی | امیرحسین ارجمند</v>
      </c>
      <c r="C269" s="18" t="n">
        <v>38</v>
      </c>
      <c r="D269" s="18" t="n">
        <v>44</v>
      </c>
      <c r="E269" s="15" t="n">
        <f aca="false">IFERROR(VLOOKUP(B269,'Operators performance'!B:P,15,0),"")</f>
        <v>0.5</v>
      </c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customFormat="false" ht="15.75" hidden="false" customHeight="true" outlineLevel="0" collapsed="false">
      <c r="A270" s="18" t="s">
        <v>223</v>
      </c>
      <c r="B270" s="18" t="str">
        <f aca="false">TRIM(A270)</f>
        <v>حسین موذنی فرد</v>
      </c>
      <c r="C270" s="18" t="n">
        <v>143</v>
      </c>
      <c r="D270" s="18" t="n">
        <v>44</v>
      </c>
      <c r="E270" s="15" t="n">
        <f aca="false">IFERROR(VLOOKUP(B270,'Operators performance'!B:P,15,0),"")</f>
        <v>2</v>
      </c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customFormat="false" ht="15.75" hidden="false" customHeight="true" outlineLevel="0" collapsed="false">
      <c r="A271" s="18" t="s">
        <v>279</v>
      </c>
      <c r="B271" s="18" t="str">
        <f aca="false">TRIM(A271)</f>
        <v>مرکز صدور افسر | علی قاسمی</v>
      </c>
      <c r="C271" s="18" t="n">
        <v>26</v>
      </c>
      <c r="D271" s="18" t="n">
        <v>44</v>
      </c>
      <c r="E271" s="15" t="n">
        <f aca="false">IFERROR(VLOOKUP(B271,'Operators performance'!B:P,15,0),"")</f>
        <v>0.5</v>
      </c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customFormat="false" ht="15.75" hidden="false" customHeight="true" outlineLevel="0" collapsed="false">
      <c r="A272" s="18" t="s">
        <v>136</v>
      </c>
      <c r="B272" s="18" t="str">
        <f aca="false">TRIM(A272)</f>
        <v>محبوبه شیرزاد</v>
      </c>
      <c r="C272" s="18" t="n">
        <v>65</v>
      </c>
      <c r="D272" s="18" t="n">
        <v>44</v>
      </c>
      <c r="E272" s="15" t="n">
        <f aca="false">IFERROR(VLOOKUP(B272,'Operators performance'!B:P,15,0),"")</f>
        <v>1</v>
      </c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customFormat="false" ht="15.75" hidden="false" customHeight="true" outlineLevel="0" collapsed="false">
      <c r="A273" s="18" t="s">
        <v>256</v>
      </c>
      <c r="B273" s="18" t="str">
        <f aca="false">TRIM(A273)</f>
        <v>الهه ذبیحی</v>
      </c>
      <c r="C273" s="18" t="n">
        <v>64</v>
      </c>
      <c r="D273" s="18" t="n">
        <v>44</v>
      </c>
      <c r="E273" s="15" t="n">
        <f aca="false">IFERROR(VLOOKUP(B273,'Operators performance'!B:P,15,0),"")</f>
        <v>1</v>
      </c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customFormat="false" ht="15.75" hidden="false" customHeight="true" outlineLevel="0" collapsed="false">
      <c r="A274" s="18" t="s">
        <v>306</v>
      </c>
      <c r="B274" s="18" t="str">
        <f aca="false">TRIM(A274)</f>
        <v>محمد حسین زمانیان</v>
      </c>
      <c r="C274" s="18" t="n">
        <v>10</v>
      </c>
      <c r="D274" s="18" t="n">
        <v>45</v>
      </c>
      <c r="E274" s="15" t="n">
        <f aca="false">IFERROR(VLOOKUP(B274,'Operators performance'!B:P,15,0),"")</f>
        <v>0.5</v>
      </c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customFormat="false" ht="15.75" hidden="false" customHeight="true" outlineLevel="0" collapsed="false">
      <c r="A275" s="18" t="s">
        <v>262</v>
      </c>
      <c r="B275" s="18" t="str">
        <f aca="false">TRIM(A275)</f>
        <v>حمید نوری</v>
      </c>
      <c r="C275" s="18" t="n">
        <v>22</v>
      </c>
      <c r="D275" s="18" t="n">
        <v>46</v>
      </c>
      <c r="E275" s="15" t="n">
        <f aca="false">IFERROR(VLOOKUP(B275,'Operators performance'!B:P,15,0),"")</f>
        <v>0.5</v>
      </c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customFormat="false" ht="15.75" hidden="false" customHeight="true" outlineLevel="0" collapsed="false">
      <c r="A276" s="18" t="s">
        <v>324</v>
      </c>
      <c r="B276" s="18" t="str">
        <f aca="false">TRIM(A276)</f>
        <v>وحید شجاعی</v>
      </c>
      <c r="C276" s="18" t="n">
        <v>12</v>
      </c>
      <c r="D276" s="18" t="n">
        <v>46</v>
      </c>
      <c r="E276" s="15" t="n">
        <f aca="false">IFERROR(VLOOKUP(B276,'Operators performance'!B:P,15,0),"")</f>
        <v>0.5</v>
      </c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customFormat="false" ht="15.75" hidden="false" customHeight="true" outlineLevel="0" collapsed="false">
      <c r="A277" s="18" t="s">
        <v>277</v>
      </c>
      <c r="B277" s="18" t="str">
        <f aca="false">TRIM(A277)</f>
        <v>محمد علی عظیمی</v>
      </c>
      <c r="C277" s="18" t="n">
        <v>86</v>
      </c>
      <c r="D277" s="18" t="n">
        <v>46</v>
      </c>
      <c r="E277" s="15" t="n">
        <f aca="false">IFERROR(VLOOKUP(B277,'Operators performance'!B:P,15,0),"")</f>
        <v>1</v>
      </c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customFormat="false" ht="15.75" hidden="false" customHeight="true" outlineLevel="0" collapsed="false">
      <c r="A278" s="18" t="s">
        <v>164</v>
      </c>
      <c r="B278" s="18" t="str">
        <f aca="false">TRIM(A278)</f>
        <v>فاطمه کمالی</v>
      </c>
      <c r="C278" s="18" t="n">
        <v>93</v>
      </c>
      <c r="D278" s="18" t="n">
        <v>46</v>
      </c>
      <c r="E278" s="15" t="n">
        <f aca="false">IFERROR(VLOOKUP(B278,'Operators performance'!B:P,15,0),"")</f>
        <v>1.5</v>
      </c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customFormat="false" ht="15.75" hidden="false" customHeight="true" outlineLevel="0" collapsed="false">
      <c r="A279" s="18" t="s">
        <v>268</v>
      </c>
      <c r="B279" s="18" t="str">
        <f aca="false">TRIM(A279)</f>
        <v>سکینه کوپاهی</v>
      </c>
      <c r="C279" s="18" t="n">
        <v>62</v>
      </c>
      <c r="D279" s="18" t="n">
        <v>47</v>
      </c>
      <c r="E279" s="15" t="n">
        <f aca="false">IFERROR(VLOOKUP(B279,'Operators performance'!B:P,15,0),"")</f>
        <v>1</v>
      </c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customFormat="false" ht="15.75" hidden="false" customHeight="true" outlineLevel="0" collapsed="false">
      <c r="A280" s="18" t="s">
        <v>266</v>
      </c>
      <c r="B280" s="18" t="str">
        <f aca="false">TRIM(A280)</f>
        <v>سپیده ابراهیم پور مقدم</v>
      </c>
      <c r="C280" s="18" t="n">
        <v>31</v>
      </c>
      <c r="D280" s="18" t="n">
        <v>47</v>
      </c>
      <c r="E280" s="15" t="n">
        <f aca="false">IFERROR(VLOOKUP(B280,'Operators performance'!B:P,15,0),"")</f>
        <v>0.5</v>
      </c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customFormat="false" ht="15.75" hidden="false" customHeight="true" outlineLevel="0" collapsed="false">
      <c r="A281" s="18" t="s">
        <v>298</v>
      </c>
      <c r="B281" s="18" t="str">
        <f aca="false">TRIM(A281)</f>
        <v>غلامرضا رضایی گرجان</v>
      </c>
      <c r="C281" s="18" t="n">
        <v>58</v>
      </c>
      <c r="D281" s="18" t="n">
        <v>48</v>
      </c>
      <c r="E281" s="15" t="n">
        <f aca="false">IFERROR(VLOOKUP(B281,'Operators performance'!B:P,15,0),"")</f>
        <v>0.5</v>
      </c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customFormat="false" ht="15.75" hidden="false" customHeight="true" outlineLevel="0" collapsed="false">
      <c r="A282" s="18" t="s">
        <v>278</v>
      </c>
      <c r="B282" s="18" t="str">
        <f aca="false">TRIM(A282)</f>
        <v>محمد کاظمی</v>
      </c>
      <c r="C282" s="18" t="n">
        <v>134</v>
      </c>
      <c r="D282" s="18" t="n">
        <v>48</v>
      </c>
      <c r="E282" s="15" t="n">
        <f aca="false">IFERROR(VLOOKUP(B282,'Operators performance'!B:P,15,0),"")</f>
        <v>2</v>
      </c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customFormat="false" ht="15.75" hidden="false" customHeight="true" outlineLevel="0" collapsed="false">
      <c r="A283" s="18" t="s">
        <v>355</v>
      </c>
      <c r="B283" s="18" t="str">
        <f aca="false">TRIM(A283)</f>
        <v>فهیمه آتش دهقان</v>
      </c>
      <c r="C283" s="18" t="n">
        <v>3</v>
      </c>
      <c r="D283" s="18" t="n">
        <v>49</v>
      </c>
      <c r="E283" s="15" t="str">
        <f aca="false">IFERROR(VLOOKUP(B283,'Operators performance'!B:P,15,0),"")</f>
        <v/>
      </c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customFormat="false" ht="15.75" hidden="false" customHeight="true" outlineLevel="0" collapsed="false">
      <c r="A284" s="18" t="s">
        <v>190</v>
      </c>
      <c r="B284" s="18" t="str">
        <f aca="false">TRIM(A284)</f>
        <v>سارا غفاری</v>
      </c>
      <c r="C284" s="18" t="n">
        <v>163</v>
      </c>
      <c r="D284" s="18" t="n">
        <v>49</v>
      </c>
      <c r="E284" s="15" t="n">
        <f aca="false">IFERROR(VLOOKUP(B284,'Operators performance'!B:P,15,0),"")</f>
        <v>2.5</v>
      </c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customFormat="false" ht="15.75" hidden="false" customHeight="true" outlineLevel="0" collapsed="false">
      <c r="A285" s="18" t="s">
        <v>274</v>
      </c>
      <c r="B285" s="18" t="str">
        <f aca="false">TRIM(A285)</f>
        <v>شیما ساعدی</v>
      </c>
      <c r="C285" s="18" t="n">
        <v>35</v>
      </c>
      <c r="D285" s="18" t="n">
        <v>48</v>
      </c>
      <c r="E285" s="15" t="n">
        <f aca="false">IFERROR(VLOOKUP(B285,'Operators performance'!B:P,15,0),"")</f>
        <v>0.5</v>
      </c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customFormat="false" ht="15.75" hidden="false" customHeight="true" outlineLevel="0" collapsed="false">
      <c r="A286" s="65" t="s">
        <v>405</v>
      </c>
      <c r="B286" s="65" t="str">
        <f aca="false">TRIM(A286)</f>
        <v>یگانه اسم خانی (صدور حضوری)</v>
      </c>
      <c r="C286" s="65" t="n">
        <v>94</v>
      </c>
      <c r="D286" s="65" t="n">
        <v>50</v>
      </c>
      <c r="E286" s="66" t="str">
        <f aca="false">IFERROR(VLOOKUP(B286,'Operators performance'!B:P,15,0),"")</f>
        <v/>
      </c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</row>
    <row r="287" customFormat="false" ht="15.75" hidden="false" customHeight="true" outlineLevel="0" collapsed="false">
      <c r="A287" s="18" t="s">
        <v>299</v>
      </c>
      <c r="B287" s="18" t="str">
        <f aca="false">TRIM(A287)</f>
        <v>فائزه سبزیانی داویجانی</v>
      </c>
      <c r="C287" s="18" t="n">
        <v>26</v>
      </c>
      <c r="D287" s="18" t="n">
        <v>50</v>
      </c>
      <c r="E287" s="15" t="n">
        <f aca="false">IFERROR(VLOOKUP(B287,'Operators performance'!B:P,15,0),"")</f>
        <v>0.5</v>
      </c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customFormat="false" ht="15.75" hidden="false" customHeight="true" outlineLevel="0" collapsed="false">
      <c r="A288" s="18" t="s">
        <v>236</v>
      </c>
      <c r="B288" s="18" t="str">
        <f aca="false">TRIM(A288)</f>
        <v>محدثه کهن</v>
      </c>
      <c r="C288" s="18" t="n">
        <v>122</v>
      </c>
      <c r="D288" s="18" t="n">
        <v>51</v>
      </c>
      <c r="E288" s="15" t="n">
        <f aca="false">IFERROR(VLOOKUP(B288,'Operators performance'!B:P,15,0),"")</f>
        <v>2</v>
      </c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customFormat="false" ht="15.75" hidden="false" customHeight="true" outlineLevel="0" collapsed="false">
      <c r="A289" s="18" t="s">
        <v>356</v>
      </c>
      <c r="B289" s="18" t="str">
        <f aca="false">TRIM(A289)</f>
        <v>مرکز صدور امیرموسوی| ملیکا رهاوی</v>
      </c>
      <c r="C289" s="18" t="n">
        <v>22</v>
      </c>
      <c r="D289" s="18" t="n">
        <v>53</v>
      </c>
      <c r="E289" s="15" t="str">
        <f aca="false">IFERROR(VLOOKUP(B289,'Operators performance'!B:P,15,0),"")</f>
        <v/>
      </c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customFormat="false" ht="15.75" hidden="false" customHeight="true" outlineLevel="0" collapsed="false">
      <c r="A290" s="18" t="s">
        <v>288</v>
      </c>
      <c r="B290" s="18" t="str">
        <f aca="false">TRIM(A290)</f>
        <v>هیوا شیری</v>
      </c>
      <c r="C290" s="18" t="n">
        <v>66</v>
      </c>
      <c r="D290" s="18" t="n">
        <v>53</v>
      </c>
      <c r="E290" s="15" t="n">
        <f aca="false">IFERROR(VLOOKUP(B290,'Operators performance'!B:P,15,0),"")</f>
        <v>1</v>
      </c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customFormat="false" ht="15.75" hidden="false" customHeight="true" outlineLevel="0" collapsed="false">
      <c r="A291" s="18" t="s">
        <v>358</v>
      </c>
      <c r="B291" s="18" t="str">
        <f aca="false">TRIM(A291)</f>
        <v>مرکز صدور کیانی| ثریا کیانی بیگدلی</v>
      </c>
      <c r="C291" s="18" t="n">
        <v>1</v>
      </c>
      <c r="D291" s="18" t="n">
        <v>53</v>
      </c>
      <c r="E291" s="15" t="str">
        <f aca="false">IFERROR(VLOOKUP(B291,'Operators performance'!B:P,15,0),"")</f>
        <v/>
      </c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customFormat="false" ht="15.75" hidden="false" customHeight="true" outlineLevel="0" collapsed="false">
      <c r="A292" s="18" t="s">
        <v>267</v>
      </c>
      <c r="B292" s="18" t="str">
        <f aca="false">TRIM(A292)</f>
        <v>سعید اسلاملوئیان</v>
      </c>
      <c r="C292" s="18" t="n">
        <v>22</v>
      </c>
      <c r="D292" s="18" t="n">
        <v>53</v>
      </c>
      <c r="E292" s="15" t="n">
        <f aca="false">IFERROR(VLOOKUP(B292,'Operators performance'!B:P,15,0),"")</f>
        <v>0.5</v>
      </c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customFormat="false" ht="15.75" hidden="false" customHeight="true" outlineLevel="0" collapsed="false">
      <c r="A293" s="18" t="s">
        <v>359</v>
      </c>
      <c r="B293" s="18" t="str">
        <f aca="false">TRIM(A293)</f>
        <v>مژگان اسدپور</v>
      </c>
      <c r="C293" s="18" t="n">
        <v>3</v>
      </c>
      <c r="D293" s="18" t="n">
        <v>55</v>
      </c>
      <c r="E293" s="15" t="str">
        <f aca="false">IFERROR(VLOOKUP(B293,'Operators performance'!B:P,15,0),"")</f>
        <v/>
      </c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customFormat="false" ht="15.75" hidden="false" customHeight="true" outlineLevel="0" collapsed="false">
      <c r="A294" s="18" t="s">
        <v>302</v>
      </c>
      <c r="B294" s="18" t="str">
        <f aca="false">TRIM(A294)</f>
        <v>فاطمه منیری</v>
      </c>
      <c r="C294" s="18" t="n">
        <v>61</v>
      </c>
      <c r="D294" s="18" t="n">
        <v>58</v>
      </c>
      <c r="E294" s="15" t="n">
        <f aca="false">IFERROR(VLOOKUP(B294,'Operators performance'!B:P,15,0),"")</f>
        <v>1</v>
      </c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customFormat="false" ht="15.75" hidden="false" customHeight="true" outlineLevel="0" collapsed="false">
      <c r="A295" s="18" t="s">
        <v>226</v>
      </c>
      <c r="B295" s="18" t="str">
        <f aca="false">TRIM(A295)</f>
        <v>سپیده گودرزی</v>
      </c>
      <c r="C295" s="18" t="n">
        <v>85</v>
      </c>
      <c r="D295" s="18" t="n">
        <v>57</v>
      </c>
      <c r="E295" s="15" t="n">
        <f aca="false">IFERROR(VLOOKUP(B295,'Operators performance'!B:P,15,0),"")</f>
        <v>1</v>
      </c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customFormat="false" ht="15.75" hidden="false" customHeight="true" outlineLevel="0" collapsed="false">
      <c r="A296" s="18" t="s">
        <v>360</v>
      </c>
      <c r="B296" s="18" t="str">
        <f aca="false">TRIM(A296)</f>
        <v>سارا قیطاسی</v>
      </c>
      <c r="C296" s="18" t="n">
        <v>3</v>
      </c>
      <c r="D296" s="18" t="n">
        <v>58</v>
      </c>
      <c r="E296" s="15" t="str">
        <f aca="false">IFERROR(VLOOKUP(B296,'Operators performance'!B:P,15,0),"")</f>
        <v/>
      </c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customFormat="false" ht="15.75" hidden="false" customHeight="true" outlineLevel="0" collapsed="false">
      <c r="A297" s="18" t="s">
        <v>361</v>
      </c>
      <c r="B297" s="18" t="str">
        <f aca="false">TRIM(A297)</f>
        <v>سینا غضنفری</v>
      </c>
      <c r="C297" s="18" t="n">
        <v>9</v>
      </c>
      <c r="D297" s="18" t="n">
        <v>59</v>
      </c>
      <c r="E297" s="15" t="str">
        <f aca="false">IFERROR(VLOOKUP(B297,'Operators performance'!B:P,15,0),"")</f>
        <v/>
      </c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customFormat="false" ht="15.75" hidden="false" customHeight="true" outlineLevel="0" collapsed="false">
      <c r="A298" s="18" t="s">
        <v>362</v>
      </c>
      <c r="B298" s="18" t="str">
        <f aca="false">TRIM(A298)</f>
        <v>آروین صالحی</v>
      </c>
      <c r="C298" s="18" t="n">
        <v>16</v>
      </c>
      <c r="D298" s="18" t="n">
        <v>60</v>
      </c>
      <c r="E298" s="15" t="str">
        <f aca="false">IFERROR(VLOOKUP(B298,'Operators performance'!B:P,15,0),"")</f>
        <v/>
      </c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customFormat="false" ht="15.75" hidden="false" customHeight="true" outlineLevel="0" collapsed="false">
      <c r="A299" s="18" t="s">
        <v>261</v>
      </c>
      <c r="B299" s="18" t="str">
        <f aca="false">TRIM(A299)</f>
        <v>حسین دین محمدی</v>
      </c>
      <c r="C299" s="18" t="n">
        <v>70</v>
      </c>
      <c r="D299" s="18" t="n">
        <v>61</v>
      </c>
      <c r="E299" s="15" t="n">
        <f aca="false">IFERROR(VLOOKUP(B299,'Operators performance'!B:P,15,0),"")</f>
        <v>1</v>
      </c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customFormat="false" ht="15.75" hidden="false" customHeight="true" outlineLevel="0" collapsed="false">
      <c r="A300" s="65" t="s">
        <v>406</v>
      </c>
      <c r="B300" s="65" t="str">
        <f aca="false">TRIM(A300)</f>
        <v>شهرزاد مختاری</v>
      </c>
      <c r="C300" s="65" t="n">
        <v>7</v>
      </c>
      <c r="D300" s="65" t="n">
        <v>67</v>
      </c>
      <c r="E300" s="66" t="str">
        <f aca="false">IFERROR(VLOOKUP(B300,'Operators performance'!B:P,15,0),"")</f>
        <v/>
      </c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</row>
    <row r="301" customFormat="false" ht="15.75" hidden="false" customHeight="true" outlineLevel="0" collapsed="false">
      <c r="A301" s="18" t="s">
        <v>131</v>
      </c>
      <c r="B301" s="18" t="str">
        <f aca="false">TRIM(A301)</f>
        <v>زهرا سبزیانی داویجانی</v>
      </c>
      <c r="C301" s="18" t="n">
        <v>203</v>
      </c>
      <c r="D301" s="18" t="n">
        <v>68</v>
      </c>
      <c r="E301" s="15" t="n">
        <f aca="false">IFERROR(VLOOKUP(B301,'Operators performance'!B:P,15,0),"")</f>
        <v>3</v>
      </c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customFormat="false" ht="15.75" hidden="false" customHeight="true" outlineLevel="0" collapsed="false">
      <c r="A302" s="18" t="s">
        <v>367</v>
      </c>
      <c r="B302" s="18" t="str">
        <f aca="false">TRIM(A302)</f>
        <v>مبینا اعتمادی پویا</v>
      </c>
      <c r="C302" s="18" t="n">
        <v>23</v>
      </c>
      <c r="D302" s="18" t="n">
        <v>70</v>
      </c>
      <c r="E302" s="15" t="str">
        <f aca="false">IFERROR(VLOOKUP(B302,'Operators performance'!B:P,15,0),"")</f>
        <v/>
      </c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customFormat="false" ht="15.75" hidden="false" customHeight="true" outlineLevel="0" collapsed="false">
      <c r="A303" s="18" t="s">
        <v>272</v>
      </c>
      <c r="B303" s="18" t="str">
        <f aca="false">TRIM(A303)</f>
        <v>سینا گودرزی</v>
      </c>
      <c r="C303" s="18" t="n">
        <v>104</v>
      </c>
      <c r="D303" s="18" t="n">
        <v>71</v>
      </c>
      <c r="E303" s="15" t="n">
        <f aca="false">IFERROR(VLOOKUP(B303,'Operators performance'!B:P,15,0),"")</f>
        <v>1.5</v>
      </c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customFormat="false" ht="15.75" hidden="false" customHeight="true" outlineLevel="0" collapsed="false">
      <c r="A304" s="18" t="s">
        <v>363</v>
      </c>
      <c r="B304" s="18" t="str">
        <f aca="false">TRIM(A304)</f>
        <v>رقیه تمدن</v>
      </c>
      <c r="C304" s="18" t="n">
        <v>10</v>
      </c>
      <c r="D304" s="18" t="n">
        <v>73</v>
      </c>
      <c r="E304" s="15" t="str">
        <f aca="false">IFERROR(VLOOKUP(B304,'Operators performance'!B:P,15,0),"")</f>
        <v/>
      </c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customFormat="false" ht="15.75" hidden="false" customHeight="true" outlineLevel="0" collapsed="false">
      <c r="A305" s="65" t="s">
        <v>407</v>
      </c>
      <c r="B305" s="65" t="str">
        <f aca="false">TRIM(A305)</f>
        <v>صدور الحاقیه | فاطمه گودرزی</v>
      </c>
      <c r="C305" s="65" t="n">
        <v>58</v>
      </c>
      <c r="D305" s="65" t="n">
        <v>76</v>
      </c>
      <c r="E305" s="66" t="str">
        <f aca="false">IFERROR(VLOOKUP(B305,'Operators performance'!B:P,15,0),"")</f>
        <v/>
      </c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</row>
    <row r="306" customFormat="false" ht="15.75" hidden="false" customHeight="true" outlineLevel="0" collapsed="false">
      <c r="A306" s="18" t="s">
        <v>365</v>
      </c>
      <c r="B306" s="18" t="str">
        <f aca="false">TRIM(A306)</f>
        <v>مریم خوشبازان</v>
      </c>
      <c r="C306" s="18" t="n">
        <v>3</v>
      </c>
      <c r="D306" s="18" t="n">
        <v>77</v>
      </c>
      <c r="E306" s="15" t="str">
        <f aca="false">IFERROR(VLOOKUP(B306,'Operators performance'!B:P,15,0),"")</f>
        <v/>
      </c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customFormat="false" ht="15.75" hidden="false" customHeight="true" outlineLevel="0" collapsed="false">
      <c r="A307" s="65" t="s">
        <v>408</v>
      </c>
      <c r="B307" s="65" t="str">
        <f aca="false">TRIM(A307)</f>
        <v>صدور الحاقیه | زهرا سلطانی</v>
      </c>
      <c r="C307" s="65" t="n">
        <v>71</v>
      </c>
      <c r="D307" s="65" t="n">
        <v>80</v>
      </c>
      <c r="E307" s="66" t="str">
        <f aca="false">IFERROR(VLOOKUP(B307,'Operators performance'!B:P,15,0),"")</f>
        <v/>
      </c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</row>
    <row r="308" customFormat="false" ht="15.75" hidden="false" customHeight="true" outlineLevel="0" collapsed="false">
      <c r="A308" s="18" t="s">
        <v>364</v>
      </c>
      <c r="B308" s="18" t="str">
        <f aca="false">TRIM(A308)</f>
        <v>سپهر سیف الهی</v>
      </c>
      <c r="C308" s="18" t="n">
        <v>52</v>
      </c>
      <c r="D308" s="18" t="n">
        <v>91</v>
      </c>
      <c r="E308" s="15" t="str">
        <f aca="false">IFERROR(VLOOKUP(B308,'Operators performance'!B:P,15,0),"")</f>
        <v/>
      </c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customFormat="false" ht="15.75" hidden="false" customHeight="true" outlineLevel="0" collapsed="false">
      <c r="A309" s="65" t="s">
        <v>409</v>
      </c>
      <c r="B309" s="65" t="str">
        <f aca="false">TRIM(A309)</f>
        <v>صدور الحاقیه | نرگس باستانی</v>
      </c>
      <c r="C309" s="65" t="n">
        <v>15</v>
      </c>
      <c r="D309" s="65" t="n">
        <v>94</v>
      </c>
      <c r="E309" s="66" t="str">
        <f aca="false">IFERROR(VLOOKUP(B309,'Operators performance'!B:P,15,0),"")</f>
        <v/>
      </c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</row>
    <row r="310" customFormat="false" ht="15.75" hidden="false" customHeight="true" outlineLevel="0" collapsed="false">
      <c r="A310" s="18" t="s">
        <v>366</v>
      </c>
      <c r="B310" s="18" t="str">
        <f aca="false">TRIM(A310)</f>
        <v>شایان لعلی بشارک</v>
      </c>
      <c r="C310" s="18" t="n">
        <v>1</v>
      </c>
      <c r="D310" s="18" t="n">
        <v>104</v>
      </c>
      <c r="E310" s="15" t="str">
        <f aca="false">IFERROR(VLOOKUP(B310,'Operators performance'!B:P,15,0),"")</f>
        <v/>
      </c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customFormat="false" ht="15.75" hidden="false" customHeight="true" outlineLevel="0" collapsed="false">
      <c r="A311" s="18" t="s">
        <v>410</v>
      </c>
      <c r="B311" s="18" t="str">
        <f aca="false">TRIM(A311)</f>
        <v>فاطمه صادقی</v>
      </c>
      <c r="C311" s="18" t="n">
        <v>38</v>
      </c>
      <c r="D311" s="18" t="n">
        <v>158</v>
      </c>
      <c r="E311" s="15" t="str">
        <f aca="false">IFERROR(VLOOKUP(B311,'Operators performance'!B:P,15,0),"")</f>
        <v/>
      </c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customFormat="false" ht="15.75" hidden="false" customHeight="true" outlineLevel="0" collapsed="false">
      <c r="A312" s="65" t="s">
        <v>411</v>
      </c>
      <c r="B312" s="65" t="str">
        <f aca="false">TRIM(A312)</f>
        <v>صدور الحاقیه | کیمیا امیری</v>
      </c>
      <c r="C312" s="65" t="n">
        <v>39</v>
      </c>
      <c r="D312" s="65" t="n">
        <v>228</v>
      </c>
      <c r="E312" s="66" t="str">
        <f aca="false">IFERROR(VLOOKUP(B312,'Operators performance'!B:P,15,0),"")</f>
        <v/>
      </c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</row>
    <row r="313" customFormat="false" ht="15.75" hidden="false" customHeight="true" outlineLevel="0" collapsed="false">
      <c r="A313" s="65" t="s">
        <v>412</v>
      </c>
      <c r="B313" s="65" t="str">
        <f aca="false">TRIM(A313)</f>
        <v>صدور الحاقیه | آرزو عباس پور</v>
      </c>
      <c r="C313" s="65" t="n">
        <v>4</v>
      </c>
      <c r="D313" s="65" t="n">
        <v>242</v>
      </c>
      <c r="E313" s="66" t="str">
        <f aca="false">IFERROR(VLOOKUP(B313,'Operators performance'!B:P,15,0),"")</f>
        <v/>
      </c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</row>
    <row r="314" customFormat="false" ht="15.75" hidden="false" customHeight="true" outlineLevel="0" collapsed="false">
      <c r="A314" s="18" t="s">
        <v>413</v>
      </c>
      <c r="B314" s="18" t="str">
        <f aca="false">TRIM(A314)</f>
        <v>سینا صفر</v>
      </c>
      <c r="C314" s="18" t="n">
        <v>1</v>
      </c>
      <c r="D314" s="18" t="n">
        <v>2547</v>
      </c>
      <c r="E314" s="15" t="str">
        <f aca="false">IFERROR(VLOOKUP(B314,'Operators performance'!B:P,15,0),"")</f>
        <v/>
      </c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customFormat="false" ht="15.75" hidden="false" customHeight="true" outlineLevel="0" collapsed="false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customFormat="false" ht="15.75" hidden="false" customHeight="true" outlineLevel="0" collapsed="false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customFormat="false" ht="15.75" hidden="false" customHeight="true" outlineLevel="0" collapsed="false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customFormat="false" ht="15.75" hidden="false" customHeight="true" outlineLevel="0" collapsed="false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customFormat="false" ht="15.75" hidden="false" customHeight="true" outlineLevel="0" collapsed="false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customFormat="false" ht="15.75" hidden="false" customHeight="true" outlineLevel="0" collapsed="false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customFormat="false" ht="15.75" hidden="false" customHeight="true" outlineLevel="0" collapsed="false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customFormat="false" ht="15.75" hidden="false" customHeight="true" outlineLevel="0" collapsed="false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customFormat="false" ht="15.75" hidden="false" customHeight="true" outlineLevel="0" collapsed="false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customFormat="false" ht="15.75" hidden="false" customHeight="true" outlineLevel="0" collapsed="false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customFormat="false" ht="15.75" hidden="false" customHeight="true" outlineLevel="0" collapsed="false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customFormat="false" ht="15.75" hidden="false" customHeight="true" outlineLevel="0" collapsed="false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customFormat="false" ht="15.75" hidden="false" customHeight="true" outlineLevel="0" collapsed="false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customFormat="false" ht="15.75" hidden="false" customHeight="true" outlineLevel="0" collapsed="false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customFormat="false" ht="15.75" hidden="false" customHeight="true" outlineLevel="0" collapsed="false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customFormat="false" ht="15.75" hidden="false" customHeight="true" outlineLevel="0" collapsed="false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customFormat="false" ht="15.75" hidden="false" customHeight="true" outlineLevel="0" collapsed="false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customFormat="false" ht="15.75" hidden="false" customHeight="true" outlineLevel="0" collapsed="false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customFormat="false" ht="15.75" hidden="false" customHeight="true" outlineLevel="0" collapsed="false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customFormat="false" ht="15.75" hidden="false" customHeight="true" outlineLevel="0" collapsed="false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customFormat="false" ht="15.75" hidden="false" customHeight="true" outlineLevel="0" collapsed="false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customFormat="false" ht="15.75" hidden="false" customHeight="true" outlineLevel="0" collapsed="false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customFormat="false" ht="15.75" hidden="false" customHeight="true" outlineLevel="0" collapsed="false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customFormat="false" ht="15.75" hidden="false" customHeight="true" outlineLevel="0" collapsed="false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customFormat="false" ht="15.75" hidden="false" customHeight="true" outlineLevel="0" collapsed="false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customFormat="false" ht="15.75" hidden="false" customHeight="true" outlineLevel="0" collapsed="false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customFormat="false" ht="15.75" hidden="false" customHeight="true" outlineLevel="0" collapsed="false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customFormat="false" ht="15.75" hidden="false" customHeight="true" outlineLevel="0" collapsed="false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customFormat="false" ht="15.75" hidden="false" customHeight="true" outlineLevel="0" collapsed="false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customFormat="false" ht="15.75" hidden="false" customHeight="true" outlineLevel="0" collapsed="false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customFormat="false" ht="15.75" hidden="false" customHeight="true" outlineLevel="0" collapsed="false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customFormat="false" ht="15.75" hidden="false" customHeight="true" outlineLevel="0" collapsed="false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customFormat="false" ht="15.75" hidden="false" customHeight="true" outlineLevel="0" collapsed="false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customFormat="false" ht="15.75" hidden="false" customHeight="true" outlineLevel="0" collapsed="false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customFormat="false" ht="15.75" hidden="false" customHeight="true" outlineLevel="0" collapsed="false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customFormat="false" ht="15.75" hidden="false" customHeight="true" outlineLevel="0" collapsed="false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customFormat="false" ht="15.75" hidden="false" customHeight="true" outlineLevel="0" collapsed="false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customFormat="false" ht="15.75" hidden="false" customHeight="true" outlineLevel="0" collapsed="false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customFormat="false" ht="15.75" hidden="false" customHeight="true" outlineLevel="0" collapsed="false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customFormat="false" ht="15.75" hidden="false" customHeight="true" outlineLevel="0" collapsed="false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customFormat="false" ht="15.75" hidden="false" customHeight="true" outlineLevel="0" collapsed="false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customFormat="false" ht="15.75" hidden="false" customHeight="true" outlineLevel="0" collapsed="false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customFormat="false" ht="15.75" hidden="false" customHeight="true" outlineLevel="0" collapsed="false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customFormat="false" ht="15.75" hidden="false" customHeight="true" outlineLevel="0" collapsed="false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customFormat="false" ht="15.75" hidden="false" customHeight="true" outlineLevel="0" collapsed="false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customFormat="false" ht="15.75" hidden="false" customHeight="true" outlineLevel="0" collapsed="false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customFormat="false" ht="15.75" hidden="false" customHeight="true" outlineLevel="0" collapsed="false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customFormat="false" ht="15.75" hidden="false" customHeight="true" outlineLevel="0" collapsed="false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customFormat="false" ht="15.75" hidden="false" customHeight="true" outlineLevel="0" collapsed="false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customFormat="false" ht="15.75" hidden="false" customHeight="true" outlineLevel="0" collapsed="false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customFormat="false" ht="15.75" hidden="false" customHeight="true" outlineLevel="0" collapsed="false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customFormat="false" ht="15.75" hidden="false" customHeight="true" outlineLevel="0" collapsed="false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customFormat="false" ht="15.75" hidden="false" customHeight="true" outlineLevel="0" collapsed="false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customFormat="false" ht="15.75" hidden="false" customHeight="true" outlineLevel="0" collapsed="false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customFormat="false" ht="15.75" hidden="false" customHeight="true" outlineLevel="0" collapsed="false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customFormat="false" ht="15.75" hidden="false" customHeight="true" outlineLevel="0" collapsed="false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customFormat="false" ht="15.75" hidden="false" customHeight="true" outlineLevel="0" collapsed="false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customFormat="false" ht="15.75" hidden="false" customHeight="true" outlineLevel="0" collapsed="false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customFormat="false" ht="15.75" hidden="false" customHeight="true" outlineLevel="0" collapsed="false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customFormat="false" ht="15.75" hidden="false" customHeight="true" outlineLevel="0" collapsed="false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customFormat="false" ht="15.75" hidden="false" customHeight="true" outlineLevel="0" collapsed="false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customFormat="false" ht="15.75" hidden="false" customHeight="true" outlineLevel="0" collapsed="false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customFormat="false" ht="15.75" hidden="false" customHeight="true" outlineLevel="0" collapsed="false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customFormat="false" ht="15.75" hidden="false" customHeight="true" outlineLevel="0" collapsed="false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customFormat="false" ht="15.75" hidden="false" customHeight="true" outlineLevel="0" collapsed="false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customFormat="false" ht="15.75" hidden="false" customHeight="true" outlineLevel="0" collapsed="false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customFormat="false" ht="15.75" hidden="false" customHeight="true" outlineLevel="0" collapsed="false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customFormat="false" ht="15.75" hidden="false" customHeight="true" outlineLevel="0" collapsed="false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customFormat="false" ht="15.75" hidden="false" customHeight="true" outlineLevel="0" collapsed="false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customFormat="false" ht="15.75" hidden="false" customHeight="true" outlineLevel="0" collapsed="false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customFormat="false" ht="15.75" hidden="false" customHeight="true" outlineLevel="0" collapsed="false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customFormat="false" ht="15.75" hidden="false" customHeight="true" outlineLevel="0" collapsed="false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customFormat="false" ht="15.75" hidden="false" customHeight="true" outlineLevel="0" collapsed="false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customFormat="false" ht="15.75" hidden="false" customHeight="true" outlineLevel="0" collapsed="false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customFormat="false" ht="15.75" hidden="false" customHeight="true" outlineLevel="0" collapsed="false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customFormat="false" ht="15.75" hidden="false" customHeight="true" outlineLevel="0" collapsed="false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customFormat="false" ht="15.75" hidden="false" customHeight="true" outlineLevel="0" collapsed="false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customFormat="false" ht="15.75" hidden="false" customHeight="true" outlineLevel="0" collapsed="false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customFormat="false" ht="15.75" hidden="false" customHeight="true" outlineLevel="0" collapsed="false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customFormat="false" ht="15.75" hidden="false" customHeight="true" outlineLevel="0" collapsed="false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customFormat="false" ht="15.75" hidden="false" customHeight="true" outlineLevel="0" collapsed="false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customFormat="false" ht="15.75" hidden="false" customHeight="true" outlineLevel="0" collapsed="false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customFormat="false" ht="15.75" hidden="false" customHeight="true" outlineLevel="0" collapsed="false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customFormat="false" ht="15.75" hidden="false" customHeight="true" outlineLevel="0" collapsed="false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customFormat="false" ht="15.75" hidden="false" customHeight="true" outlineLevel="0" collapsed="false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customFormat="false" ht="15.75" hidden="false" customHeight="true" outlineLevel="0" collapsed="false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customFormat="false" ht="15.75" hidden="false" customHeight="true" outlineLevel="0" collapsed="false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customFormat="false" ht="15.75" hidden="false" customHeight="true" outlineLevel="0" collapsed="false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customFormat="false" ht="15.75" hidden="false" customHeight="true" outlineLevel="0" collapsed="false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customFormat="false" ht="15.75" hidden="false" customHeight="true" outlineLevel="0" collapsed="false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customFormat="false" ht="15.75" hidden="false" customHeight="true" outlineLevel="0" collapsed="false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customFormat="false" ht="15.75" hidden="false" customHeight="true" outlineLevel="0" collapsed="false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customFormat="false" ht="15.75" hidden="false" customHeight="true" outlineLevel="0" collapsed="false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customFormat="false" ht="15.75" hidden="false" customHeight="true" outlineLevel="0" collapsed="false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customFormat="false" ht="15.75" hidden="false" customHeight="true" outlineLevel="0" collapsed="false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customFormat="false" ht="15.75" hidden="false" customHeight="true" outlineLevel="0" collapsed="false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customFormat="false" ht="15.75" hidden="false" customHeight="true" outlineLevel="0" collapsed="false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customFormat="false" ht="15.75" hidden="false" customHeight="true" outlineLevel="0" collapsed="false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customFormat="false" ht="15.75" hidden="false" customHeight="true" outlineLevel="0" collapsed="false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customFormat="false" ht="15.75" hidden="false" customHeight="true" outlineLevel="0" collapsed="false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customFormat="false" ht="15.75" hidden="false" customHeight="true" outlineLevel="0" collapsed="false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 customFormat="false" ht="15.75" hidden="false" customHeight="true" outlineLevel="0" collapsed="false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 customFormat="false" ht="15.75" hidden="false" customHeight="true" outlineLevel="0" collapsed="false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 customFormat="false" ht="15.75" hidden="false" customHeight="true" outlineLevel="0" collapsed="false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 customFormat="false" ht="15.75" hidden="false" customHeight="true" outlineLevel="0" collapsed="false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 customFormat="false" ht="15.75" hidden="false" customHeight="true" outlineLevel="0" collapsed="false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 customFormat="false" ht="15.75" hidden="false" customHeight="true" outlineLevel="0" collapsed="false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 customFormat="false" ht="15.75" hidden="false" customHeight="true" outlineLevel="0" collapsed="false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 customFormat="false" ht="15.75" hidden="false" customHeight="true" outlineLevel="0" collapsed="false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 customFormat="false" ht="15.75" hidden="false" customHeight="true" outlineLevel="0" collapsed="false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 customFormat="false" ht="15.75" hidden="false" customHeight="true" outlineLevel="0" collapsed="false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 customFormat="false" ht="15.75" hidden="false" customHeight="true" outlineLevel="0" collapsed="false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 customFormat="false" ht="15.75" hidden="false" customHeight="true" outlineLevel="0" collapsed="false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 customFormat="false" ht="15.75" hidden="false" customHeight="true" outlineLevel="0" collapsed="false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 customFormat="false" ht="15.75" hidden="false" customHeight="true" outlineLevel="0" collapsed="false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 customFormat="false" ht="15.75" hidden="false" customHeight="true" outlineLevel="0" collapsed="false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 customFormat="false" ht="15.75" hidden="false" customHeight="true" outlineLevel="0" collapsed="false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 customFormat="false" ht="15.75" hidden="false" customHeight="true" outlineLevel="0" collapsed="false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 customFormat="false" ht="15.75" hidden="false" customHeight="true" outlineLevel="0" collapsed="false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 customFormat="false" ht="15.75" hidden="false" customHeight="true" outlineLevel="0" collapsed="false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 customFormat="false" ht="15.75" hidden="false" customHeight="true" outlineLevel="0" collapsed="false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 customFormat="false" ht="15.75" hidden="false" customHeight="true" outlineLevel="0" collapsed="false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 customFormat="false" ht="15.75" hidden="false" customHeight="true" outlineLevel="0" collapsed="false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 customFormat="false" ht="15.75" hidden="false" customHeight="true" outlineLevel="0" collapsed="false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 customFormat="false" ht="15.75" hidden="false" customHeight="true" outlineLevel="0" collapsed="false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 customFormat="false" ht="15.75" hidden="false" customHeight="true" outlineLevel="0" collapsed="false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 customFormat="false" ht="15.75" hidden="false" customHeight="true" outlineLevel="0" collapsed="false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 customFormat="false" ht="15.75" hidden="false" customHeight="true" outlineLevel="0" collapsed="false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 customFormat="false" ht="15.75" hidden="false" customHeight="true" outlineLevel="0" collapsed="false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 customFormat="false" ht="15.75" hidden="false" customHeight="true" outlineLevel="0" collapsed="false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 customFormat="false" ht="15.75" hidden="false" customHeight="true" outlineLevel="0" collapsed="false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customFormat="false" ht="15.75" hidden="false" customHeight="true" outlineLevel="0" collapsed="false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 customFormat="false" ht="15.75" hidden="false" customHeight="true" outlineLevel="0" collapsed="false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 customFormat="false" ht="15.75" hidden="false" customHeight="true" outlineLevel="0" collapsed="false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 customFormat="false" ht="15.75" hidden="false" customHeight="true" outlineLevel="0" collapsed="false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 customFormat="false" ht="15.75" hidden="false" customHeight="true" outlineLevel="0" collapsed="false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 customFormat="false" ht="15.75" hidden="false" customHeight="true" outlineLevel="0" collapsed="false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 customFormat="false" ht="15.75" hidden="false" customHeight="true" outlineLevel="0" collapsed="false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 customFormat="false" ht="15.75" hidden="false" customHeight="true" outlineLevel="0" collapsed="false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 customFormat="false" ht="15.75" hidden="false" customHeight="true" outlineLevel="0" collapsed="false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 customFormat="false" ht="15.75" hidden="false" customHeight="true" outlineLevel="0" collapsed="false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 customFormat="false" ht="15.75" hidden="false" customHeight="true" outlineLevel="0" collapsed="false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 customFormat="false" ht="15.75" hidden="false" customHeight="true" outlineLevel="0" collapsed="false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 customFormat="false" ht="15.75" hidden="false" customHeight="true" outlineLevel="0" collapsed="false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 customFormat="false" ht="15.75" hidden="false" customHeight="true" outlineLevel="0" collapsed="false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 customFormat="false" ht="15.75" hidden="false" customHeight="true" outlineLevel="0" collapsed="false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 customFormat="false" ht="15.75" hidden="false" customHeight="true" outlineLevel="0" collapsed="false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customFormat="false" ht="15.75" hidden="false" customHeight="true" outlineLevel="0" collapsed="false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 customFormat="false" ht="15.75" hidden="false" customHeight="true" outlineLevel="0" collapsed="false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 customFormat="false" ht="15.75" hidden="false" customHeight="true" outlineLevel="0" collapsed="false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 customFormat="false" ht="15.75" hidden="false" customHeight="true" outlineLevel="0" collapsed="false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 customFormat="false" ht="15.75" hidden="false" customHeight="true" outlineLevel="0" collapsed="false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 customFormat="false" ht="15.75" hidden="false" customHeight="true" outlineLevel="0" collapsed="false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 customFormat="false" ht="15.75" hidden="false" customHeight="true" outlineLevel="0" collapsed="false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 customFormat="false" ht="15.75" hidden="false" customHeight="true" outlineLevel="0" collapsed="false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 customFormat="false" ht="15.75" hidden="false" customHeight="true" outlineLevel="0" collapsed="false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 customFormat="false" ht="15.75" hidden="false" customHeight="true" outlineLevel="0" collapsed="false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 customFormat="false" ht="15.75" hidden="false" customHeight="true" outlineLevel="0" collapsed="false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 customFormat="false" ht="15.75" hidden="false" customHeight="true" outlineLevel="0" collapsed="false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 customFormat="false" ht="15.75" hidden="false" customHeight="true" outlineLevel="0" collapsed="false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 customFormat="false" ht="15.75" hidden="false" customHeight="true" outlineLevel="0" collapsed="false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 customFormat="false" ht="15.75" hidden="false" customHeight="true" outlineLevel="0" collapsed="false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 customFormat="false" ht="15.75" hidden="false" customHeight="true" outlineLevel="0" collapsed="false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 customFormat="false" ht="15.75" hidden="false" customHeight="true" outlineLevel="0" collapsed="false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 customFormat="false" ht="15.75" hidden="false" customHeight="true" outlineLevel="0" collapsed="false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 customFormat="false" ht="15.75" hidden="false" customHeight="true" outlineLevel="0" collapsed="false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 customFormat="false" ht="15.75" hidden="false" customHeight="true" outlineLevel="0" collapsed="false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 customFormat="false" ht="15.75" hidden="false" customHeight="true" outlineLevel="0" collapsed="false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 customFormat="false" ht="15.75" hidden="false" customHeight="true" outlineLevel="0" collapsed="false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 customFormat="false" ht="15.75" hidden="false" customHeight="true" outlineLevel="0" collapsed="false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 customFormat="false" ht="15.75" hidden="false" customHeight="true" outlineLevel="0" collapsed="false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 customFormat="false" ht="15.75" hidden="false" customHeight="true" outlineLevel="0" collapsed="false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 customFormat="false" ht="15.75" hidden="false" customHeight="true" outlineLevel="0" collapsed="false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 customFormat="false" ht="15.75" hidden="false" customHeight="true" outlineLevel="0" collapsed="false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 customFormat="false" ht="15.75" hidden="false" customHeight="true" outlineLevel="0" collapsed="false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 customFormat="false" ht="15.75" hidden="false" customHeight="true" outlineLevel="0" collapsed="false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 customFormat="false" ht="15.75" hidden="false" customHeight="true" outlineLevel="0" collapsed="false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 customFormat="false" ht="15.75" hidden="false" customHeight="true" outlineLevel="0" collapsed="false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 customFormat="false" ht="15.75" hidden="false" customHeight="true" outlineLevel="0" collapsed="false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 customFormat="false" ht="15.75" hidden="false" customHeight="true" outlineLevel="0" collapsed="false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 customFormat="false" ht="15.75" hidden="false" customHeight="true" outlineLevel="0" collapsed="false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 customFormat="false" ht="15.75" hidden="false" customHeight="true" outlineLevel="0" collapsed="false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 customFormat="false" ht="15.75" hidden="false" customHeight="true" outlineLevel="0" collapsed="false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 customFormat="false" ht="15.75" hidden="false" customHeight="true" outlineLevel="0" collapsed="false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 customFormat="false" ht="15.75" hidden="false" customHeight="true" outlineLevel="0" collapsed="false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 customFormat="false" ht="15.75" hidden="false" customHeight="true" outlineLevel="0" collapsed="false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 customFormat="false" ht="15.75" hidden="false" customHeight="true" outlineLevel="0" collapsed="false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 customFormat="false" ht="15.75" hidden="false" customHeight="true" outlineLevel="0" collapsed="false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 customFormat="false" ht="15.75" hidden="false" customHeight="true" outlineLevel="0" collapsed="false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 customFormat="false" ht="15.75" hidden="false" customHeight="true" outlineLevel="0" collapsed="false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 customFormat="false" ht="15.75" hidden="false" customHeight="true" outlineLevel="0" collapsed="false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 customFormat="false" ht="15.75" hidden="false" customHeight="true" outlineLevel="0" collapsed="false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 customFormat="false" ht="15.75" hidden="false" customHeight="true" outlineLevel="0" collapsed="false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 customFormat="false" ht="15.75" hidden="false" customHeight="true" outlineLevel="0" collapsed="false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 customFormat="false" ht="15.75" hidden="false" customHeight="true" outlineLevel="0" collapsed="false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 customFormat="false" ht="15.75" hidden="false" customHeight="true" outlineLevel="0" collapsed="false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 customFormat="false" ht="15.75" hidden="false" customHeight="true" outlineLevel="0" collapsed="false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 customFormat="false" ht="15.75" hidden="false" customHeight="true" outlineLevel="0" collapsed="false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 customFormat="false" ht="15.75" hidden="false" customHeight="true" outlineLevel="0" collapsed="false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 customFormat="false" ht="15.75" hidden="false" customHeight="true" outlineLevel="0" collapsed="false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 customFormat="false" ht="15.75" hidden="false" customHeight="true" outlineLevel="0" collapsed="false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 customFormat="false" ht="15.75" hidden="false" customHeight="true" outlineLevel="0" collapsed="false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 customFormat="false" ht="15.75" hidden="false" customHeight="true" outlineLevel="0" collapsed="false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 customFormat="false" ht="15.75" hidden="false" customHeight="true" outlineLevel="0" collapsed="false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 customFormat="false" ht="15.75" hidden="false" customHeight="true" outlineLevel="0" collapsed="false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 customFormat="false" ht="15.75" hidden="false" customHeight="true" outlineLevel="0" collapsed="false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 customFormat="false" ht="15.75" hidden="false" customHeight="true" outlineLevel="0" collapsed="false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 customFormat="false" ht="15.75" hidden="false" customHeight="true" outlineLevel="0" collapsed="false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 customFormat="false" ht="15.75" hidden="false" customHeight="true" outlineLevel="0" collapsed="false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 customFormat="false" ht="15.75" hidden="false" customHeight="true" outlineLevel="0" collapsed="false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 customFormat="false" ht="15.75" hidden="false" customHeight="true" outlineLevel="0" collapsed="false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 customFormat="false" ht="15.75" hidden="false" customHeight="true" outlineLevel="0" collapsed="false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 customFormat="false" ht="15.75" hidden="false" customHeight="true" outlineLevel="0" collapsed="false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 customFormat="false" ht="15.75" hidden="false" customHeight="true" outlineLevel="0" collapsed="false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 customFormat="false" ht="15.75" hidden="false" customHeight="true" outlineLevel="0" collapsed="false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 customFormat="false" ht="15.75" hidden="false" customHeight="true" outlineLevel="0" collapsed="false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 customFormat="false" ht="15.75" hidden="false" customHeight="true" outlineLevel="0" collapsed="false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 customFormat="false" ht="15.75" hidden="false" customHeight="true" outlineLevel="0" collapsed="false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 customFormat="false" ht="15.75" hidden="false" customHeight="true" outlineLevel="0" collapsed="false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 customFormat="false" ht="15.75" hidden="false" customHeight="true" outlineLevel="0" collapsed="false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 customFormat="false" ht="15.75" hidden="false" customHeight="true" outlineLevel="0" collapsed="false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 customFormat="false" ht="15.75" hidden="false" customHeight="true" outlineLevel="0" collapsed="false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 customFormat="false" ht="15.75" hidden="false" customHeight="true" outlineLevel="0" collapsed="false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 customFormat="false" ht="15.75" hidden="false" customHeight="true" outlineLevel="0" collapsed="false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 customFormat="false" ht="15.75" hidden="false" customHeight="true" outlineLevel="0" collapsed="false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 customFormat="false" ht="15.75" hidden="false" customHeight="true" outlineLevel="0" collapsed="false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 customFormat="false" ht="15.75" hidden="false" customHeight="true" outlineLevel="0" collapsed="false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 customFormat="false" ht="15.75" hidden="false" customHeight="true" outlineLevel="0" collapsed="false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 customFormat="false" ht="15.75" hidden="false" customHeight="true" outlineLevel="0" collapsed="false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 customFormat="false" ht="15.75" hidden="false" customHeight="true" outlineLevel="0" collapsed="false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 customFormat="false" ht="15.75" hidden="false" customHeight="true" outlineLevel="0" collapsed="false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 customFormat="false" ht="15.75" hidden="false" customHeight="true" outlineLevel="0" collapsed="false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 customFormat="false" ht="15.75" hidden="false" customHeight="true" outlineLevel="0" collapsed="false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 customFormat="false" ht="15.75" hidden="false" customHeight="true" outlineLevel="0" collapsed="false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 customFormat="false" ht="15.75" hidden="false" customHeight="true" outlineLevel="0" collapsed="false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 customFormat="false" ht="15.75" hidden="false" customHeight="true" outlineLevel="0" collapsed="false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 customFormat="false" ht="15.75" hidden="false" customHeight="true" outlineLevel="0" collapsed="false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 customFormat="false" ht="15.75" hidden="false" customHeight="true" outlineLevel="0" collapsed="false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 customFormat="false" ht="15.75" hidden="false" customHeight="true" outlineLevel="0" collapsed="false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 customFormat="false" ht="15.75" hidden="false" customHeight="true" outlineLevel="0" collapsed="false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 customFormat="false" ht="15.75" hidden="false" customHeight="true" outlineLevel="0" collapsed="false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 customFormat="false" ht="15.75" hidden="false" customHeight="true" outlineLevel="0" collapsed="false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 customFormat="false" ht="15.75" hidden="false" customHeight="true" outlineLevel="0" collapsed="false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 customFormat="false" ht="15.75" hidden="false" customHeight="true" outlineLevel="0" collapsed="false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 customFormat="false" ht="15.75" hidden="false" customHeight="true" outlineLevel="0" collapsed="false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 customFormat="false" ht="15.75" hidden="false" customHeight="true" outlineLevel="0" collapsed="false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 customFormat="false" ht="15.75" hidden="false" customHeight="true" outlineLevel="0" collapsed="false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 customFormat="false" ht="15.75" hidden="false" customHeight="true" outlineLevel="0" collapsed="false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 customFormat="false" ht="15.75" hidden="false" customHeight="true" outlineLevel="0" collapsed="false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 customFormat="false" ht="15.75" hidden="false" customHeight="true" outlineLevel="0" collapsed="false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 customFormat="false" ht="15.75" hidden="false" customHeight="true" outlineLevel="0" collapsed="false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 customFormat="false" ht="15.75" hidden="false" customHeight="true" outlineLevel="0" collapsed="false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 customFormat="false" ht="15.75" hidden="false" customHeight="true" outlineLevel="0" collapsed="false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 customFormat="false" ht="15.75" hidden="false" customHeight="true" outlineLevel="0" collapsed="false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 customFormat="false" ht="15.75" hidden="false" customHeight="true" outlineLevel="0" collapsed="false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 customFormat="false" ht="15.75" hidden="false" customHeight="true" outlineLevel="0" collapsed="false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 customFormat="false" ht="15.75" hidden="false" customHeight="true" outlineLevel="0" collapsed="false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 customFormat="false" ht="15.75" hidden="false" customHeight="true" outlineLevel="0" collapsed="false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 customFormat="false" ht="15.75" hidden="false" customHeight="true" outlineLevel="0" collapsed="false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 customFormat="false" ht="15.75" hidden="false" customHeight="true" outlineLevel="0" collapsed="false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 customFormat="false" ht="15.75" hidden="false" customHeight="true" outlineLevel="0" collapsed="false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 customFormat="false" ht="15.75" hidden="false" customHeight="true" outlineLevel="0" collapsed="false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 customFormat="false" ht="15.75" hidden="false" customHeight="true" outlineLevel="0" collapsed="false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 customFormat="false" ht="15.75" hidden="false" customHeight="true" outlineLevel="0" collapsed="false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 customFormat="false" ht="15.75" hidden="false" customHeight="true" outlineLevel="0" collapsed="false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 customFormat="false" ht="15.75" hidden="false" customHeight="true" outlineLevel="0" collapsed="false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 customFormat="false" ht="15.75" hidden="false" customHeight="true" outlineLevel="0" collapsed="false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 customFormat="false" ht="15.75" hidden="false" customHeight="true" outlineLevel="0" collapsed="false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 customFormat="false" ht="15.75" hidden="false" customHeight="true" outlineLevel="0" collapsed="false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 customFormat="false" ht="15.75" hidden="false" customHeight="true" outlineLevel="0" collapsed="false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 customFormat="false" ht="15.75" hidden="false" customHeight="true" outlineLevel="0" collapsed="false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 customFormat="false" ht="15.75" hidden="false" customHeight="true" outlineLevel="0" collapsed="false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 customFormat="false" ht="15.75" hidden="false" customHeight="true" outlineLevel="0" collapsed="false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 customFormat="false" ht="15.75" hidden="false" customHeight="true" outlineLevel="0" collapsed="false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 customFormat="false" ht="15.75" hidden="false" customHeight="true" outlineLevel="0" collapsed="false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 customFormat="false" ht="15.75" hidden="false" customHeight="true" outlineLevel="0" collapsed="false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 customFormat="false" ht="15.75" hidden="false" customHeight="true" outlineLevel="0" collapsed="false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 customFormat="false" ht="15.75" hidden="false" customHeight="true" outlineLevel="0" collapsed="false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 customFormat="false" ht="15.75" hidden="false" customHeight="true" outlineLevel="0" collapsed="false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 customFormat="false" ht="15.75" hidden="false" customHeight="true" outlineLevel="0" collapsed="false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 customFormat="false" ht="15.75" hidden="false" customHeight="true" outlineLevel="0" collapsed="false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 customFormat="false" ht="15.75" hidden="false" customHeight="true" outlineLevel="0" collapsed="false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 customFormat="false" ht="15.75" hidden="false" customHeight="true" outlineLevel="0" collapsed="false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 customFormat="false" ht="15.75" hidden="false" customHeight="true" outlineLevel="0" collapsed="false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 customFormat="false" ht="15.75" hidden="false" customHeight="true" outlineLevel="0" collapsed="false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 customFormat="false" ht="15.75" hidden="false" customHeight="true" outlineLevel="0" collapsed="false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 customFormat="false" ht="15.75" hidden="false" customHeight="true" outlineLevel="0" collapsed="false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 customFormat="false" ht="15.75" hidden="false" customHeight="true" outlineLevel="0" collapsed="false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 customFormat="false" ht="15.75" hidden="false" customHeight="true" outlineLevel="0" collapsed="false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 customFormat="false" ht="15.75" hidden="false" customHeight="true" outlineLevel="0" collapsed="false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 customFormat="false" ht="15.75" hidden="false" customHeight="true" outlineLevel="0" collapsed="false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 customFormat="false" ht="15.75" hidden="false" customHeight="true" outlineLevel="0" collapsed="false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 customFormat="false" ht="15.75" hidden="false" customHeight="true" outlineLevel="0" collapsed="false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 customFormat="false" ht="15.75" hidden="false" customHeight="true" outlineLevel="0" collapsed="false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 customFormat="false" ht="15.75" hidden="false" customHeight="true" outlineLevel="0" collapsed="false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 customFormat="false" ht="15.75" hidden="false" customHeight="true" outlineLevel="0" collapsed="false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 customFormat="false" ht="15.75" hidden="false" customHeight="true" outlineLevel="0" collapsed="false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 customFormat="false" ht="15.75" hidden="false" customHeight="true" outlineLevel="0" collapsed="false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 customFormat="false" ht="15.75" hidden="false" customHeight="true" outlineLevel="0" collapsed="false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 customFormat="false" ht="15.75" hidden="false" customHeight="true" outlineLevel="0" collapsed="false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 customFormat="false" ht="15.75" hidden="false" customHeight="true" outlineLevel="0" collapsed="false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 customFormat="false" ht="15.75" hidden="false" customHeight="true" outlineLevel="0" collapsed="false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 customFormat="false" ht="15.75" hidden="false" customHeight="true" outlineLevel="0" collapsed="false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 customFormat="false" ht="15.75" hidden="false" customHeight="true" outlineLevel="0" collapsed="false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 customFormat="false" ht="15.75" hidden="false" customHeight="true" outlineLevel="0" collapsed="false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 customFormat="false" ht="15.75" hidden="false" customHeight="true" outlineLevel="0" collapsed="false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 customFormat="false" ht="15.75" hidden="false" customHeight="true" outlineLevel="0" collapsed="false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 customFormat="false" ht="15.75" hidden="false" customHeight="true" outlineLevel="0" collapsed="false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 customFormat="false" ht="15.75" hidden="false" customHeight="true" outlineLevel="0" collapsed="false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 customFormat="false" ht="15.75" hidden="false" customHeight="true" outlineLevel="0" collapsed="false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 customFormat="false" ht="15.75" hidden="false" customHeight="true" outlineLevel="0" collapsed="false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 customFormat="false" ht="15.75" hidden="false" customHeight="true" outlineLevel="0" collapsed="false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 customFormat="false" ht="15.75" hidden="false" customHeight="true" outlineLevel="0" collapsed="false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 customFormat="false" ht="15.75" hidden="false" customHeight="true" outlineLevel="0" collapsed="false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 customFormat="false" ht="15.75" hidden="false" customHeight="true" outlineLevel="0" collapsed="false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 customFormat="false" ht="15.75" hidden="false" customHeight="true" outlineLevel="0" collapsed="false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 customFormat="false" ht="15.75" hidden="false" customHeight="true" outlineLevel="0" collapsed="false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 customFormat="false" ht="15.75" hidden="false" customHeight="true" outlineLevel="0" collapsed="false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 customFormat="false" ht="15.75" hidden="false" customHeight="true" outlineLevel="0" collapsed="false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 customFormat="false" ht="15.75" hidden="false" customHeight="true" outlineLevel="0" collapsed="false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 customFormat="false" ht="15.75" hidden="false" customHeight="true" outlineLevel="0" collapsed="false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 customFormat="false" ht="15.75" hidden="false" customHeight="true" outlineLevel="0" collapsed="false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 customFormat="false" ht="15.75" hidden="false" customHeight="true" outlineLevel="0" collapsed="false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 customFormat="false" ht="15.75" hidden="false" customHeight="true" outlineLevel="0" collapsed="false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 customFormat="false" ht="15.75" hidden="false" customHeight="true" outlineLevel="0" collapsed="false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 customFormat="false" ht="15.75" hidden="false" customHeight="true" outlineLevel="0" collapsed="false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 customFormat="false" ht="15.75" hidden="false" customHeight="true" outlineLevel="0" collapsed="false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 customFormat="false" ht="15.75" hidden="false" customHeight="true" outlineLevel="0" collapsed="false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 customFormat="false" ht="15.75" hidden="false" customHeight="true" outlineLevel="0" collapsed="false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 customFormat="false" ht="15.75" hidden="false" customHeight="true" outlineLevel="0" collapsed="false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 customFormat="false" ht="15.75" hidden="false" customHeight="true" outlineLevel="0" collapsed="false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 customFormat="false" ht="15.75" hidden="false" customHeight="true" outlineLevel="0" collapsed="false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 customFormat="false" ht="15.75" hidden="false" customHeight="true" outlineLevel="0" collapsed="false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 customFormat="false" ht="15.75" hidden="false" customHeight="true" outlineLevel="0" collapsed="false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 customFormat="false" ht="15.75" hidden="false" customHeight="true" outlineLevel="0" collapsed="false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 customFormat="false" ht="15.75" hidden="false" customHeight="true" outlineLevel="0" collapsed="false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 customFormat="false" ht="15.75" hidden="false" customHeight="true" outlineLevel="0" collapsed="false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 customFormat="false" ht="15.75" hidden="false" customHeight="true" outlineLevel="0" collapsed="false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 customFormat="false" ht="15.75" hidden="false" customHeight="true" outlineLevel="0" collapsed="false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 customFormat="false" ht="15.75" hidden="false" customHeight="true" outlineLevel="0" collapsed="false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 customFormat="false" ht="15.75" hidden="false" customHeight="true" outlineLevel="0" collapsed="false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 customFormat="false" ht="15.75" hidden="false" customHeight="true" outlineLevel="0" collapsed="false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 customFormat="false" ht="15.75" hidden="false" customHeight="true" outlineLevel="0" collapsed="false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 customFormat="false" ht="15.75" hidden="false" customHeight="true" outlineLevel="0" collapsed="false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 customFormat="false" ht="15.75" hidden="false" customHeight="true" outlineLevel="0" collapsed="false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 customFormat="false" ht="15.75" hidden="false" customHeight="true" outlineLevel="0" collapsed="false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 customFormat="false" ht="15.75" hidden="false" customHeight="true" outlineLevel="0" collapsed="false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 customFormat="false" ht="15.75" hidden="false" customHeight="true" outlineLevel="0" collapsed="false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 customFormat="false" ht="15.75" hidden="false" customHeight="true" outlineLevel="0" collapsed="false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 customFormat="false" ht="15.75" hidden="false" customHeight="true" outlineLevel="0" collapsed="false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 customFormat="false" ht="15.75" hidden="false" customHeight="true" outlineLevel="0" collapsed="false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 customFormat="false" ht="15.75" hidden="false" customHeight="true" outlineLevel="0" collapsed="false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 customFormat="false" ht="15.75" hidden="false" customHeight="true" outlineLevel="0" collapsed="false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 customFormat="false" ht="15.75" hidden="false" customHeight="true" outlineLevel="0" collapsed="false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 customFormat="false" ht="15.75" hidden="false" customHeight="true" outlineLevel="0" collapsed="false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 customFormat="false" ht="15.75" hidden="false" customHeight="true" outlineLevel="0" collapsed="false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 customFormat="false" ht="15.75" hidden="false" customHeight="true" outlineLevel="0" collapsed="false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 customFormat="false" ht="15.75" hidden="false" customHeight="true" outlineLevel="0" collapsed="false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 customFormat="false" ht="15.75" hidden="false" customHeight="true" outlineLevel="0" collapsed="false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 customFormat="false" ht="15.75" hidden="false" customHeight="true" outlineLevel="0" collapsed="false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 customFormat="false" ht="15.75" hidden="false" customHeight="true" outlineLevel="0" collapsed="false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 customFormat="false" ht="15.75" hidden="false" customHeight="true" outlineLevel="0" collapsed="false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 customFormat="false" ht="15.75" hidden="false" customHeight="true" outlineLevel="0" collapsed="false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 customFormat="false" ht="15.75" hidden="false" customHeight="true" outlineLevel="0" collapsed="false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 customFormat="false" ht="15.75" hidden="false" customHeight="true" outlineLevel="0" collapsed="false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 customFormat="false" ht="15.75" hidden="false" customHeight="true" outlineLevel="0" collapsed="false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 customFormat="false" ht="15.75" hidden="false" customHeight="true" outlineLevel="0" collapsed="false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 customFormat="false" ht="15.75" hidden="false" customHeight="true" outlineLevel="0" collapsed="false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 customFormat="false" ht="15.75" hidden="false" customHeight="true" outlineLevel="0" collapsed="false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 customFormat="false" ht="15.75" hidden="false" customHeight="true" outlineLevel="0" collapsed="false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 customFormat="false" ht="15.75" hidden="false" customHeight="true" outlineLevel="0" collapsed="false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 customFormat="false" ht="15.75" hidden="false" customHeight="true" outlineLevel="0" collapsed="false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 customFormat="false" ht="15.75" hidden="false" customHeight="true" outlineLevel="0" collapsed="false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 customFormat="false" ht="15.75" hidden="false" customHeight="true" outlineLevel="0" collapsed="false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 customFormat="false" ht="15.75" hidden="false" customHeight="true" outlineLevel="0" collapsed="false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 customFormat="false" ht="15.75" hidden="false" customHeight="true" outlineLevel="0" collapsed="false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 customFormat="false" ht="15.75" hidden="false" customHeight="true" outlineLevel="0" collapsed="false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 customFormat="false" ht="15.75" hidden="false" customHeight="true" outlineLevel="0" collapsed="false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 customFormat="false" ht="15.75" hidden="false" customHeight="true" outlineLevel="0" collapsed="false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 customFormat="false" ht="15.75" hidden="false" customHeight="true" outlineLevel="0" collapsed="false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 customFormat="false" ht="15.75" hidden="false" customHeight="true" outlineLevel="0" collapsed="false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 customFormat="false" ht="15.75" hidden="false" customHeight="true" outlineLevel="0" collapsed="false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 customFormat="false" ht="15.75" hidden="false" customHeight="true" outlineLevel="0" collapsed="false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 customFormat="false" ht="15.75" hidden="false" customHeight="true" outlineLevel="0" collapsed="false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 customFormat="false" ht="15.75" hidden="false" customHeight="true" outlineLevel="0" collapsed="false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 customFormat="false" ht="15.75" hidden="false" customHeight="true" outlineLevel="0" collapsed="false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 customFormat="false" ht="15.75" hidden="false" customHeight="true" outlineLevel="0" collapsed="false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 customFormat="false" ht="15.75" hidden="false" customHeight="true" outlineLevel="0" collapsed="false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 customFormat="false" ht="15.75" hidden="false" customHeight="true" outlineLevel="0" collapsed="false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 customFormat="false" ht="15.75" hidden="false" customHeight="true" outlineLevel="0" collapsed="false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 customFormat="false" ht="15.75" hidden="false" customHeight="true" outlineLevel="0" collapsed="false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 customFormat="false" ht="15.75" hidden="false" customHeight="true" outlineLevel="0" collapsed="false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 customFormat="false" ht="15.75" hidden="false" customHeight="true" outlineLevel="0" collapsed="false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 customFormat="false" ht="15.75" hidden="false" customHeight="true" outlineLevel="0" collapsed="false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 customFormat="false" ht="15.75" hidden="false" customHeight="true" outlineLevel="0" collapsed="false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 customFormat="false" ht="15.75" hidden="false" customHeight="true" outlineLevel="0" collapsed="false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 customFormat="false" ht="15.75" hidden="false" customHeight="true" outlineLevel="0" collapsed="false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 customFormat="false" ht="15.75" hidden="false" customHeight="true" outlineLevel="0" collapsed="false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 customFormat="false" ht="15.75" hidden="false" customHeight="true" outlineLevel="0" collapsed="false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 customFormat="false" ht="15.75" hidden="false" customHeight="true" outlineLevel="0" collapsed="false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 customFormat="false" ht="15.75" hidden="false" customHeight="true" outlineLevel="0" collapsed="false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 customFormat="false" ht="15.75" hidden="false" customHeight="true" outlineLevel="0" collapsed="false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 customFormat="false" ht="15.75" hidden="false" customHeight="true" outlineLevel="0" collapsed="false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 customFormat="false" ht="15.75" hidden="false" customHeight="true" outlineLevel="0" collapsed="false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 customFormat="false" ht="15.75" hidden="false" customHeight="true" outlineLevel="0" collapsed="false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 customFormat="false" ht="15.75" hidden="false" customHeight="true" outlineLevel="0" collapsed="false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 customFormat="false" ht="15.75" hidden="false" customHeight="true" outlineLevel="0" collapsed="false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 customFormat="false" ht="15.75" hidden="false" customHeight="true" outlineLevel="0" collapsed="false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 customFormat="false" ht="15.75" hidden="false" customHeight="true" outlineLevel="0" collapsed="false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 customFormat="false" ht="15.75" hidden="false" customHeight="true" outlineLevel="0" collapsed="false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 customFormat="false" ht="15.75" hidden="false" customHeight="true" outlineLevel="0" collapsed="false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 customFormat="false" ht="15.75" hidden="false" customHeight="true" outlineLevel="0" collapsed="false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 customFormat="false" ht="15.75" hidden="false" customHeight="true" outlineLevel="0" collapsed="false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 customFormat="false" ht="15.75" hidden="false" customHeight="true" outlineLevel="0" collapsed="false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 customFormat="false" ht="15.75" hidden="false" customHeight="true" outlineLevel="0" collapsed="false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 customFormat="false" ht="15.75" hidden="false" customHeight="true" outlineLevel="0" collapsed="false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 customFormat="false" ht="15.75" hidden="false" customHeight="true" outlineLevel="0" collapsed="false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 customFormat="false" ht="15.75" hidden="false" customHeight="true" outlineLevel="0" collapsed="false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 customFormat="false" ht="15.75" hidden="false" customHeight="true" outlineLevel="0" collapsed="false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 customFormat="false" ht="15.75" hidden="false" customHeight="true" outlineLevel="0" collapsed="false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 customFormat="false" ht="15.75" hidden="false" customHeight="true" outlineLevel="0" collapsed="false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 customFormat="false" ht="15.75" hidden="false" customHeight="true" outlineLevel="0" collapsed="false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 customFormat="false" ht="15.75" hidden="false" customHeight="true" outlineLevel="0" collapsed="false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 customFormat="false" ht="15.75" hidden="false" customHeight="true" outlineLevel="0" collapsed="false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 customFormat="false" ht="15.75" hidden="false" customHeight="true" outlineLevel="0" collapsed="false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 customFormat="false" ht="15.75" hidden="false" customHeight="true" outlineLevel="0" collapsed="false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 customFormat="false" ht="15.75" hidden="false" customHeight="true" outlineLevel="0" collapsed="false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 customFormat="false" ht="15.75" hidden="false" customHeight="true" outlineLevel="0" collapsed="false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 customFormat="false" ht="15.75" hidden="false" customHeight="true" outlineLevel="0" collapsed="false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 customFormat="false" ht="15.75" hidden="false" customHeight="true" outlineLevel="0" collapsed="false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 customFormat="false" ht="15.75" hidden="false" customHeight="true" outlineLevel="0" collapsed="false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 customFormat="false" ht="15.75" hidden="false" customHeight="true" outlineLevel="0" collapsed="false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 customFormat="false" ht="15.75" hidden="false" customHeight="true" outlineLevel="0" collapsed="false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 customFormat="false" ht="15.75" hidden="false" customHeight="true" outlineLevel="0" collapsed="false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 customFormat="false" ht="15.75" hidden="false" customHeight="true" outlineLevel="0" collapsed="false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 customFormat="false" ht="15.75" hidden="false" customHeight="true" outlineLevel="0" collapsed="false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 customFormat="false" ht="15.75" hidden="false" customHeight="true" outlineLevel="0" collapsed="false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 customFormat="false" ht="15.75" hidden="false" customHeight="true" outlineLevel="0" collapsed="false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 customFormat="false" ht="15.75" hidden="false" customHeight="true" outlineLevel="0" collapsed="false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 customFormat="false" ht="15.75" hidden="false" customHeight="true" outlineLevel="0" collapsed="false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 customFormat="false" ht="15.75" hidden="false" customHeight="true" outlineLevel="0" collapsed="false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 customFormat="false" ht="15.75" hidden="false" customHeight="true" outlineLevel="0" collapsed="false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 customFormat="false" ht="15.75" hidden="false" customHeight="true" outlineLevel="0" collapsed="false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 customFormat="false" ht="15.75" hidden="false" customHeight="true" outlineLevel="0" collapsed="false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 customFormat="false" ht="15.75" hidden="false" customHeight="true" outlineLevel="0" collapsed="false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 customFormat="false" ht="15.75" hidden="false" customHeight="true" outlineLevel="0" collapsed="false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 customFormat="false" ht="15.75" hidden="false" customHeight="true" outlineLevel="0" collapsed="false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 customFormat="false" ht="15.75" hidden="false" customHeight="true" outlineLevel="0" collapsed="false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 customFormat="false" ht="15.75" hidden="false" customHeight="true" outlineLevel="0" collapsed="false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 customFormat="false" ht="15.75" hidden="false" customHeight="true" outlineLevel="0" collapsed="false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 customFormat="false" ht="15.75" hidden="false" customHeight="true" outlineLevel="0" collapsed="false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 customFormat="false" ht="15.75" hidden="false" customHeight="true" outlineLevel="0" collapsed="false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 customFormat="false" ht="15.75" hidden="false" customHeight="true" outlineLevel="0" collapsed="false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 customFormat="false" ht="15.75" hidden="false" customHeight="true" outlineLevel="0" collapsed="false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 customFormat="false" ht="15.75" hidden="false" customHeight="true" outlineLevel="0" collapsed="false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 customFormat="false" ht="15.75" hidden="false" customHeight="true" outlineLevel="0" collapsed="false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 customFormat="false" ht="15.75" hidden="false" customHeight="true" outlineLevel="0" collapsed="false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 customFormat="false" ht="15.75" hidden="false" customHeight="true" outlineLevel="0" collapsed="false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 customFormat="false" ht="15.75" hidden="false" customHeight="true" outlineLevel="0" collapsed="false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 customFormat="false" ht="15.75" hidden="false" customHeight="true" outlineLevel="0" collapsed="false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 customFormat="false" ht="15.75" hidden="false" customHeight="true" outlineLevel="0" collapsed="false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 customFormat="false" ht="15.75" hidden="false" customHeight="true" outlineLevel="0" collapsed="false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 customFormat="false" ht="15.75" hidden="false" customHeight="true" outlineLevel="0" collapsed="false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 customFormat="false" ht="15.75" hidden="false" customHeight="true" outlineLevel="0" collapsed="false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 customFormat="false" ht="15.75" hidden="false" customHeight="true" outlineLevel="0" collapsed="false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 customFormat="false" ht="15.75" hidden="false" customHeight="true" outlineLevel="0" collapsed="false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 customFormat="false" ht="15.75" hidden="false" customHeight="true" outlineLevel="0" collapsed="false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 customFormat="false" ht="15.75" hidden="false" customHeight="true" outlineLevel="0" collapsed="false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 customFormat="false" ht="15.75" hidden="false" customHeight="true" outlineLevel="0" collapsed="false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 customFormat="false" ht="15.75" hidden="false" customHeight="true" outlineLevel="0" collapsed="false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 customFormat="false" ht="15.75" hidden="false" customHeight="true" outlineLevel="0" collapsed="false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 customFormat="false" ht="15.75" hidden="false" customHeight="true" outlineLevel="0" collapsed="false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 customFormat="false" ht="15.75" hidden="false" customHeight="true" outlineLevel="0" collapsed="false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 customFormat="false" ht="15.75" hidden="false" customHeight="true" outlineLevel="0" collapsed="false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 customFormat="false" ht="15.75" hidden="false" customHeight="true" outlineLevel="0" collapsed="false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 customFormat="false" ht="15.75" hidden="false" customHeight="true" outlineLevel="0" collapsed="false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 customFormat="false" ht="15.75" hidden="false" customHeight="true" outlineLevel="0" collapsed="false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 customFormat="false" ht="15.75" hidden="false" customHeight="true" outlineLevel="0" collapsed="false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 customFormat="false" ht="15.75" hidden="false" customHeight="true" outlineLevel="0" collapsed="false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 customFormat="false" ht="15.75" hidden="false" customHeight="true" outlineLevel="0" collapsed="false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 customFormat="false" ht="15.75" hidden="false" customHeight="true" outlineLevel="0" collapsed="false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 customFormat="false" ht="15.75" hidden="false" customHeight="true" outlineLevel="0" collapsed="false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 customFormat="false" ht="15.75" hidden="false" customHeight="true" outlineLevel="0" collapsed="false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 customFormat="false" ht="15.75" hidden="false" customHeight="true" outlineLevel="0" collapsed="false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 customFormat="false" ht="15.75" hidden="false" customHeight="true" outlineLevel="0" collapsed="false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 customFormat="false" ht="15.75" hidden="false" customHeight="true" outlineLevel="0" collapsed="false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 customFormat="false" ht="15.75" hidden="false" customHeight="true" outlineLevel="0" collapsed="false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 customFormat="false" ht="15.75" hidden="false" customHeight="true" outlineLevel="0" collapsed="false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 customFormat="false" ht="15.75" hidden="false" customHeight="true" outlineLevel="0" collapsed="false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 customFormat="false" ht="15.75" hidden="false" customHeight="true" outlineLevel="0" collapsed="false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 customFormat="false" ht="15.75" hidden="false" customHeight="true" outlineLevel="0" collapsed="false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 customFormat="false" ht="15.75" hidden="false" customHeight="true" outlineLevel="0" collapsed="false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 customFormat="false" ht="15.75" hidden="false" customHeight="true" outlineLevel="0" collapsed="false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 customFormat="false" ht="15.75" hidden="false" customHeight="true" outlineLevel="0" collapsed="false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 customFormat="false" ht="15.75" hidden="false" customHeight="true" outlineLevel="0" collapsed="false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 customFormat="false" ht="15.75" hidden="false" customHeight="true" outlineLevel="0" collapsed="false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 customFormat="false" ht="15.75" hidden="false" customHeight="true" outlineLevel="0" collapsed="false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 customFormat="false" ht="15.75" hidden="false" customHeight="true" outlineLevel="0" collapsed="false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 customFormat="false" ht="15.75" hidden="false" customHeight="true" outlineLevel="0" collapsed="false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 customFormat="false" ht="15.75" hidden="false" customHeight="true" outlineLevel="0" collapsed="false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 customFormat="false" ht="15.75" hidden="false" customHeight="true" outlineLevel="0" collapsed="false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 customFormat="false" ht="15.75" hidden="false" customHeight="true" outlineLevel="0" collapsed="false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 customFormat="false" ht="15.75" hidden="false" customHeight="true" outlineLevel="0" collapsed="false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 customFormat="false" ht="15.75" hidden="false" customHeight="true" outlineLevel="0" collapsed="false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 customFormat="false" ht="15.75" hidden="false" customHeight="true" outlineLevel="0" collapsed="false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 customFormat="false" ht="15.75" hidden="false" customHeight="true" outlineLevel="0" collapsed="false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 customFormat="false" ht="15.75" hidden="false" customHeight="true" outlineLevel="0" collapsed="false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 customFormat="false" ht="15.75" hidden="false" customHeight="true" outlineLevel="0" collapsed="false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 customFormat="false" ht="15.75" hidden="false" customHeight="true" outlineLevel="0" collapsed="false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 customFormat="false" ht="15.75" hidden="false" customHeight="true" outlineLevel="0" collapsed="false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 customFormat="false" ht="15.75" hidden="false" customHeight="true" outlineLevel="0" collapsed="false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 customFormat="false" ht="15.75" hidden="false" customHeight="true" outlineLevel="0" collapsed="false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 customFormat="false" ht="15.75" hidden="false" customHeight="true" outlineLevel="0" collapsed="false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 customFormat="false" ht="15.75" hidden="false" customHeight="true" outlineLevel="0" collapsed="false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 customFormat="false" ht="15.75" hidden="false" customHeight="true" outlineLevel="0" collapsed="false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 customFormat="false" ht="15.75" hidden="false" customHeight="true" outlineLevel="0" collapsed="false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 customFormat="false" ht="15.75" hidden="false" customHeight="true" outlineLevel="0" collapsed="false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 customFormat="false" ht="15.75" hidden="false" customHeight="true" outlineLevel="0" collapsed="false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 customFormat="false" ht="15.75" hidden="false" customHeight="true" outlineLevel="0" collapsed="false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 customFormat="false" ht="15.75" hidden="false" customHeight="true" outlineLevel="0" collapsed="false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 customFormat="false" ht="15.75" hidden="false" customHeight="true" outlineLevel="0" collapsed="false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 customFormat="false" ht="15.75" hidden="false" customHeight="true" outlineLevel="0" collapsed="false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 customFormat="false" ht="15.75" hidden="false" customHeight="true" outlineLevel="0" collapsed="false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 customFormat="false" ht="15.75" hidden="false" customHeight="true" outlineLevel="0" collapsed="false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 customFormat="false" ht="15.75" hidden="false" customHeight="true" outlineLevel="0" collapsed="false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 customFormat="false" ht="15.75" hidden="false" customHeight="true" outlineLevel="0" collapsed="false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 customFormat="false" ht="15.75" hidden="false" customHeight="true" outlineLevel="0" collapsed="false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 customFormat="false" ht="15.75" hidden="false" customHeight="true" outlineLevel="0" collapsed="false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 customFormat="false" ht="15.75" hidden="false" customHeight="true" outlineLevel="0" collapsed="false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 customFormat="false" ht="15.75" hidden="false" customHeight="true" outlineLevel="0" collapsed="false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 customFormat="false" ht="15.75" hidden="false" customHeight="true" outlineLevel="0" collapsed="false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 customFormat="false" ht="15.75" hidden="false" customHeight="true" outlineLevel="0" collapsed="false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 customFormat="false" ht="15.75" hidden="false" customHeight="true" outlineLevel="0" collapsed="false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 customFormat="false" ht="15.75" hidden="false" customHeight="true" outlineLevel="0" collapsed="false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 customFormat="false" ht="15.75" hidden="false" customHeight="true" outlineLevel="0" collapsed="false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 customFormat="false" ht="15.75" hidden="false" customHeight="true" outlineLevel="0" collapsed="false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 customFormat="false" ht="15.75" hidden="false" customHeight="true" outlineLevel="0" collapsed="false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 customFormat="false" ht="15.75" hidden="false" customHeight="true" outlineLevel="0" collapsed="false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 customFormat="false" ht="15.75" hidden="false" customHeight="true" outlineLevel="0" collapsed="false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 customFormat="false" ht="15.75" hidden="false" customHeight="true" outlineLevel="0" collapsed="false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 customFormat="false" ht="15.75" hidden="false" customHeight="true" outlineLevel="0" collapsed="false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 customFormat="false" ht="15.75" hidden="false" customHeight="true" outlineLevel="0" collapsed="false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 customFormat="false" ht="15.75" hidden="false" customHeight="true" outlineLevel="0" collapsed="false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 customFormat="false" ht="15.75" hidden="false" customHeight="true" outlineLevel="0" collapsed="false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 customFormat="false" ht="15.75" hidden="false" customHeight="true" outlineLevel="0" collapsed="false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 customFormat="false" ht="15.75" hidden="false" customHeight="true" outlineLevel="0" collapsed="false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 customFormat="false" ht="15.75" hidden="false" customHeight="true" outlineLevel="0" collapsed="false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 customFormat="false" ht="15.75" hidden="false" customHeight="true" outlineLevel="0" collapsed="false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 customFormat="false" ht="15.75" hidden="false" customHeight="true" outlineLevel="0" collapsed="false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 customFormat="false" ht="15.75" hidden="false" customHeight="true" outlineLevel="0" collapsed="false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 customFormat="false" ht="15.75" hidden="false" customHeight="true" outlineLevel="0" collapsed="false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 customFormat="false" ht="15.75" hidden="false" customHeight="true" outlineLevel="0" collapsed="false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 customFormat="false" ht="15.75" hidden="false" customHeight="true" outlineLevel="0" collapsed="false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 customFormat="false" ht="15.75" hidden="false" customHeight="true" outlineLevel="0" collapsed="false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 customFormat="false" ht="15.75" hidden="false" customHeight="true" outlineLevel="0" collapsed="false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 customFormat="false" ht="15.75" hidden="false" customHeight="true" outlineLevel="0" collapsed="false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 customFormat="false" ht="15.75" hidden="false" customHeight="true" outlineLevel="0" collapsed="false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 customFormat="false" ht="15.75" hidden="false" customHeight="true" outlineLevel="0" collapsed="false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 customFormat="false" ht="15.75" hidden="false" customHeight="true" outlineLevel="0" collapsed="false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 customFormat="false" ht="15.75" hidden="false" customHeight="true" outlineLevel="0" collapsed="false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 customFormat="false" ht="15.75" hidden="false" customHeight="true" outlineLevel="0" collapsed="false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 customFormat="false" ht="15.75" hidden="false" customHeight="true" outlineLevel="0" collapsed="false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 customFormat="false" ht="15.75" hidden="false" customHeight="true" outlineLevel="0" collapsed="false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 customFormat="false" ht="15.75" hidden="false" customHeight="true" outlineLevel="0" collapsed="false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 customFormat="false" ht="15.75" hidden="false" customHeight="true" outlineLevel="0" collapsed="false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 customFormat="false" ht="15.75" hidden="false" customHeight="true" outlineLevel="0" collapsed="false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 customFormat="false" ht="15.75" hidden="false" customHeight="true" outlineLevel="0" collapsed="false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 customFormat="false" ht="15.75" hidden="false" customHeight="true" outlineLevel="0" collapsed="false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 customFormat="false" ht="15.75" hidden="false" customHeight="true" outlineLevel="0" collapsed="false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 customFormat="false" ht="15.75" hidden="false" customHeight="true" outlineLevel="0" collapsed="false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 customFormat="false" ht="15.75" hidden="false" customHeight="true" outlineLevel="0" collapsed="false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 customFormat="false" ht="15.75" hidden="false" customHeight="true" outlineLevel="0" collapsed="false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 customFormat="false" ht="15.75" hidden="false" customHeight="true" outlineLevel="0" collapsed="false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 customFormat="false" ht="15.75" hidden="false" customHeight="true" outlineLevel="0" collapsed="false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 customFormat="false" ht="15.75" hidden="false" customHeight="true" outlineLevel="0" collapsed="false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 customFormat="false" ht="15.75" hidden="false" customHeight="true" outlineLevel="0" collapsed="false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 customFormat="false" ht="15.75" hidden="false" customHeight="true" outlineLevel="0" collapsed="false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 customFormat="false" ht="15.75" hidden="false" customHeight="true" outlineLevel="0" collapsed="false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 customFormat="false" ht="15.75" hidden="false" customHeight="true" outlineLevel="0" collapsed="false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 customFormat="false" ht="15.75" hidden="false" customHeight="true" outlineLevel="0" collapsed="false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 customFormat="false" ht="15.75" hidden="false" customHeight="true" outlineLevel="0" collapsed="false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 customFormat="false" ht="15.75" hidden="false" customHeight="true" outlineLevel="0" collapsed="false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 customFormat="false" ht="15.75" hidden="false" customHeight="true" outlineLevel="0" collapsed="false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 customFormat="false" ht="15.75" hidden="false" customHeight="true" outlineLevel="0" collapsed="false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 customFormat="false" ht="15.75" hidden="false" customHeight="true" outlineLevel="0" collapsed="false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 customFormat="false" ht="15.75" hidden="false" customHeight="true" outlineLevel="0" collapsed="false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 customFormat="false" ht="15.75" hidden="false" customHeight="true" outlineLevel="0" collapsed="false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 customFormat="false" ht="15.75" hidden="false" customHeight="true" outlineLevel="0" collapsed="false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 customFormat="false" ht="15.75" hidden="false" customHeight="true" outlineLevel="0" collapsed="false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 customFormat="false" ht="15.75" hidden="false" customHeight="true" outlineLevel="0" collapsed="false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 customFormat="false" ht="15.75" hidden="false" customHeight="true" outlineLevel="0" collapsed="false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 customFormat="false" ht="15.75" hidden="false" customHeight="true" outlineLevel="0" collapsed="false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 customFormat="false" ht="15.75" hidden="false" customHeight="true" outlineLevel="0" collapsed="false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 customFormat="false" ht="15.75" hidden="false" customHeight="true" outlineLevel="0" collapsed="false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 customFormat="false" ht="15.75" hidden="false" customHeight="true" outlineLevel="0" collapsed="false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 customFormat="false" ht="15.75" hidden="false" customHeight="true" outlineLevel="0" collapsed="false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 customFormat="false" ht="15.75" hidden="false" customHeight="true" outlineLevel="0" collapsed="false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 customFormat="false" ht="15.75" hidden="false" customHeight="true" outlineLevel="0" collapsed="false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 customFormat="false" ht="15.75" hidden="false" customHeight="true" outlineLevel="0" collapsed="false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 customFormat="false" ht="15.75" hidden="false" customHeight="true" outlineLevel="0" collapsed="false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 customFormat="false" ht="15.75" hidden="false" customHeight="true" outlineLevel="0" collapsed="false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 customFormat="false" ht="15.75" hidden="false" customHeight="true" outlineLevel="0" collapsed="false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 customFormat="false" ht="15.75" hidden="false" customHeight="true" outlineLevel="0" collapsed="false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 customFormat="false" ht="15.75" hidden="false" customHeight="true" outlineLevel="0" collapsed="false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 customFormat="false" ht="15.75" hidden="false" customHeight="true" outlineLevel="0" collapsed="false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 customFormat="false" ht="15.75" hidden="false" customHeight="true" outlineLevel="0" collapsed="false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 customFormat="false" ht="15.75" hidden="false" customHeight="true" outlineLevel="0" collapsed="false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 customFormat="false" ht="15.75" hidden="false" customHeight="true" outlineLevel="0" collapsed="false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 customFormat="false" ht="15.75" hidden="false" customHeight="true" outlineLevel="0" collapsed="false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 customFormat="false" ht="15.75" hidden="false" customHeight="true" outlineLevel="0" collapsed="false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 customFormat="false" ht="15.75" hidden="false" customHeight="true" outlineLevel="0" collapsed="false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 customFormat="false" ht="15.75" hidden="false" customHeight="true" outlineLevel="0" collapsed="false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 customFormat="false" ht="15.75" hidden="false" customHeight="true" outlineLevel="0" collapsed="false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 customFormat="false" ht="15.75" hidden="false" customHeight="true" outlineLevel="0" collapsed="false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 customFormat="false" ht="15.75" hidden="false" customHeight="true" outlineLevel="0" collapsed="false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 customFormat="false" ht="15.75" hidden="false" customHeight="true" outlineLevel="0" collapsed="false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 customFormat="false" ht="15.75" hidden="false" customHeight="true" outlineLevel="0" collapsed="false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 customFormat="false" ht="15.75" hidden="false" customHeight="true" outlineLevel="0" collapsed="false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 customFormat="false" ht="15.75" hidden="false" customHeight="true" outlineLevel="0" collapsed="false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 customFormat="false" ht="15.75" hidden="false" customHeight="true" outlineLevel="0" collapsed="false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 customFormat="false" ht="15.75" hidden="false" customHeight="true" outlineLevel="0" collapsed="false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 customFormat="false" ht="15.75" hidden="false" customHeight="true" outlineLevel="0" collapsed="false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 customFormat="false" ht="15.75" hidden="false" customHeight="true" outlineLevel="0" collapsed="false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 customFormat="false" ht="15.75" hidden="false" customHeight="true" outlineLevel="0" collapsed="false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 customFormat="false" ht="15.75" hidden="false" customHeight="true" outlineLevel="0" collapsed="false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 customFormat="false" ht="15.75" hidden="false" customHeight="true" outlineLevel="0" collapsed="false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 customFormat="false" ht="15.75" hidden="false" customHeight="true" outlineLevel="0" collapsed="false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 customFormat="false" ht="15.75" hidden="false" customHeight="true" outlineLevel="0" collapsed="false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 customFormat="false" ht="15.75" hidden="false" customHeight="true" outlineLevel="0" collapsed="false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 customFormat="false" ht="15.75" hidden="false" customHeight="true" outlineLevel="0" collapsed="false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 customFormat="false" ht="15.75" hidden="false" customHeight="true" outlineLevel="0" collapsed="false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 customFormat="false" ht="15.75" hidden="false" customHeight="true" outlineLevel="0" collapsed="false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 customFormat="false" ht="15.75" hidden="false" customHeight="true" outlineLevel="0" collapsed="false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 customFormat="false" ht="15.75" hidden="false" customHeight="true" outlineLevel="0" collapsed="false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 customFormat="false" ht="15.75" hidden="false" customHeight="true" outlineLevel="0" collapsed="false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 customFormat="false" ht="15.75" hidden="false" customHeight="true" outlineLevel="0" collapsed="false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 customFormat="false" ht="15.75" hidden="false" customHeight="true" outlineLevel="0" collapsed="false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 customFormat="false" ht="15.75" hidden="false" customHeight="true" outlineLevel="0" collapsed="false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 customFormat="false" ht="15.75" hidden="false" customHeight="true" outlineLevel="0" collapsed="false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 customFormat="false" ht="15.75" hidden="false" customHeight="true" outlineLevel="0" collapsed="false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 customFormat="false" ht="15.75" hidden="false" customHeight="true" outlineLevel="0" collapsed="false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 customFormat="false" ht="15.75" hidden="false" customHeight="true" outlineLevel="0" collapsed="false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 customFormat="false" ht="15.75" hidden="false" customHeight="true" outlineLevel="0" collapsed="false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 customFormat="false" ht="15.75" hidden="false" customHeight="true" outlineLevel="0" collapsed="false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 customFormat="false" ht="15.75" hidden="false" customHeight="true" outlineLevel="0" collapsed="false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 customFormat="false" ht="15.75" hidden="false" customHeight="true" outlineLevel="0" collapsed="false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 customFormat="false" ht="15.75" hidden="false" customHeight="true" outlineLevel="0" collapsed="false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 customFormat="false" ht="15.75" hidden="false" customHeight="true" outlineLevel="0" collapsed="false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 customFormat="false" ht="15.75" hidden="false" customHeight="true" outlineLevel="0" collapsed="false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 customFormat="false" ht="15.75" hidden="false" customHeight="true" outlineLevel="0" collapsed="false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 customFormat="false" ht="15.75" hidden="false" customHeight="true" outlineLevel="0" collapsed="false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 customFormat="false" ht="15.75" hidden="false" customHeight="true" outlineLevel="0" collapsed="false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 customFormat="false" ht="15.75" hidden="false" customHeight="true" outlineLevel="0" collapsed="false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 customFormat="false" ht="15.75" hidden="false" customHeight="true" outlineLevel="0" collapsed="false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 customFormat="false" ht="15.75" hidden="false" customHeight="true" outlineLevel="0" collapsed="false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 customFormat="false" ht="15.75" hidden="false" customHeight="true" outlineLevel="0" collapsed="false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 customFormat="false" ht="15.75" hidden="false" customHeight="true" outlineLevel="0" collapsed="false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 customFormat="false" ht="15.75" hidden="false" customHeight="true" outlineLevel="0" collapsed="false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 customFormat="false" ht="15.75" hidden="false" customHeight="true" outlineLevel="0" collapsed="false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 customFormat="false" ht="15.75" hidden="false" customHeight="true" outlineLevel="0" collapsed="false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 customFormat="false" ht="15.75" hidden="false" customHeight="true" outlineLevel="0" collapsed="false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 customFormat="false" ht="15.75" hidden="false" customHeight="true" outlineLevel="0" collapsed="false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 customFormat="false" ht="15.75" hidden="false" customHeight="true" outlineLevel="0" collapsed="false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 customFormat="false" ht="15.75" hidden="false" customHeight="true" outlineLevel="0" collapsed="false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 customFormat="false" ht="15.75" hidden="false" customHeight="true" outlineLevel="0" collapsed="false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 customFormat="false" ht="15.75" hidden="false" customHeight="true" outlineLevel="0" collapsed="false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 customFormat="false" ht="15.75" hidden="false" customHeight="true" outlineLevel="0" collapsed="false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 customFormat="false" ht="15.75" hidden="false" customHeight="true" outlineLevel="0" collapsed="false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 customFormat="false" ht="15.75" hidden="false" customHeight="true" outlineLevel="0" collapsed="false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 customFormat="false" ht="15.75" hidden="false" customHeight="true" outlineLevel="0" collapsed="false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 customFormat="false" ht="15.75" hidden="false" customHeight="true" outlineLevel="0" collapsed="false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 customFormat="false" ht="15.75" hidden="false" customHeight="true" outlineLevel="0" collapsed="false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 customFormat="false" ht="15.75" hidden="false" customHeight="true" outlineLevel="0" collapsed="false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 customFormat="false" ht="15.75" hidden="false" customHeight="true" outlineLevel="0" collapsed="false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 customFormat="false" ht="15.75" hidden="false" customHeight="true" outlineLevel="0" collapsed="false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 customFormat="false" ht="15.75" hidden="false" customHeight="true" outlineLevel="0" collapsed="false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 customFormat="false" ht="15.75" hidden="false" customHeight="true" outlineLevel="0" collapsed="false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 customFormat="false" ht="15.75" hidden="false" customHeight="true" outlineLevel="0" collapsed="false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 customFormat="false" ht="15.75" hidden="false" customHeight="true" outlineLevel="0" collapsed="false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 customFormat="false" ht="15.75" hidden="false" customHeight="true" outlineLevel="0" collapsed="false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 customFormat="false" ht="15.75" hidden="false" customHeight="true" outlineLevel="0" collapsed="false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 customFormat="false" ht="15.75" hidden="false" customHeight="true" outlineLevel="0" collapsed="false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 customFormat="false" ht="15.75" hidden="false" customHeight="true" outlineLevel="0" collapsed="false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 customFormat="false" ht="15.75" hidden="false" customHeight="true" outlineLevel="0" collapsed="false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 customFormat="false" ht="15.75" hidden="false" customHeight="true" outlineLevel="0" collapsed="false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  <row r="1000" customFormat="false" ht="15.75" hidden="false" customHeight="true" outlineLevel="0" collapsed="false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1" style="8" width="11.12"/>
    <col collapsed="false" customWidth="true" hidden="false" outlineLevel="0" max="3" min="3" style="8" width="5.52"/>
    <col collapsed="false" customWidth="true" hidden="false" outlineLevel="0" max="5" min="4" style="8" width="11.12"/>
    <col collapsed="false" customWidth="true" hidden="false" outlineLevel="0" max="6" min="6" style="8" width="16.75"/>
    <col collapsed="false" customWidth="true" hidden="false" outlineLevel="0" max="27" min="7" style="8" width="11.12"/>
  </cols>
  <sheetData>
    <row r="1" customFormat="false" ht="30" hidden="false" customHeight="true" outlineLevel="0" collapsed="false">
      <c r="A1" s="67" t="s">
        <v>414</v>
      </c>
      <c r="B1" s="67"/>
      <c r="C1" s="9"/>
      <c r="D1" s="68" t="s">
        <v>415</v>
      </c>
      <c r="E1" s="68"/>
      <c r="F1" s="32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customFormat="false" ht="30" hidden="false" customHeight="true" outlineLevel="0" collapsed="false">
      <c r="A2" s="67" t="s">
        <v>416</v>
      </c>
      <c r="B2" s="67" t="n">
        <v>5</v>
      </c>
      <c r="C2" s="9"/>
      <c r="D2" s="68" t="s">
        <v>417</v>
      </c>
      <c r="E2" s="68" t="n">
        <v>5</v>
      </c>
      <c r="F2" s="68" t="s">
        <v>418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customFormat="false" ht="30" hidden="false" customHeight="true" outlineLevel="0" collapsed="false">
      <c r="A3" s="67" t="s">
        <v>419</v>
      </c>
      <c r="B3" s="67" t="n">
        <v>4</v>
      </c>
      <c r="C3" s="9"/>
      <c r="D3" s="68" t="s">
        <v>420</v>
      </c>
      <c r="E3" s="68" t="n">
        <v>4</v>
      </c>
      <c r="F3" s="68" t="s">
        <v>421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customFormat="false" ht="30" hidden="false" customHeight="true" outlineLevel="0" collapsed="false">
      <c r="A4" s="67" t="s">
        <v>422</v>
      </c>
      <c r="B4" s="67" t="n">
        <v>3</v>
      </c>
      <c r="C4" s="9"/>
      <c r="D4" s="68" t="s">
        <v>423</v>
      </c>
      <c r="E4" s="68" t="n">
        <v>3</v>
      </c>
      <c r="F4" s="68" t="s">
        <v>424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customFormat="false" ht="30" hidden="false" customHeight="true" outlineLevel="0" collapsed="false">
      <c r="A5" s="67" t="s">
        <v>425</v>
      </c>
      <c r="B5" s="67" t="n">
        <v>2</v>
      </c>
      <c r="C5" s="9"/>
      <c r="D5" s="68" t="s">
        <v>426</v>
      </c>
      <c r="E5" s="68" t="n">
        <v>2</v>
      </c>
      <c r="F5" s="68" t="s">
        <v>427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customFormat="false" ht="30" hidden="false" customHeight="true" outlineLevel="0" collapsed="false">
      <c r="A6" s="67" t="s">
        <v>428</v>
      </c>
      <c r="B6" s="67" t="n">
        <v>1</v>
      </c>
      <c r="C6" s="9"/>
      <c r="D6" s="68" t="s">
        <v>429</v>
      </c>
      <c r="E6" s="68" t="n">
        <v>1</v>
      </c>
      <c r="F6" s="68" t="s">
        <v>430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customFormat="false" ht="30" hidden="false" customHeight="true" outlineLevel="0" collapsed="false">
      <c r="A7" s="9"/>
      <c r="B7" s="9"/>
      <c r="C7" s="9"/>
      <c r="D7" s="68" t="s">
        <v>431</v>
      </c>
      <c r="E7" s="68" t="n">
        <v>0</v>
      </c>
      <c r="F7" s="68" t="s">
        <v>432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customFormat="false" ht="30" hidden="false" customHeight="tru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customFormat="false" ht="30" hidden="false" customHeight="tru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customFormat="false" ht="30" hidden="false" customHeight="tru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customFormat="false" ht="30" hidden="false" customHeight="tru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customFormat="false" ht="30" hidden="false" customHeight="tru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customFormat="false" ht="30" hidden="false" customHeight="tru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customFormat="false" ht="30" hidden="false" customHeight="tru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customFormat="false" ht="30" hidden="false" customHeight="tru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customFormat="false" ht="30" hidden="false" customHeight="tru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customFormat="false" ht="30" hidden="false" customHeight="tru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customFormat="false" ht="30" hidden="false" customHeight="tru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customFormat="false" ht="30" hidden="false" customHeight="tru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customFormat="false" ht="30" hidden="false" customHeight="tru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customFormat="false" ht="30" hidden="false" customHeight="tru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customFormat="false" ht="30" hidden="false" customHeight="tru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customFormat="false" ht="30" hidden="false" customHeight="tru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customFormat="false" ht="30" hidden="false" customHeight="tru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customFormat="false" ht="30" hidden="false" customHeight="tru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customFormat="false" ht="30" hidden="false" customHeight="tru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customFormat="false" ht="30" hidden="false" customHeight="tru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customFormat="false" ht="30" hidden="false" customHeight="tru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customFormat="false" ht="30" hidden="false" customHeight="tru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customFormat="false" ht="30" hidden="false" customHeight="tru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customFormat="false" ht="30" hidden="false" customHeight="tru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customFormat="false" ht="30" hidden="false" customHeight="tru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customFormat="false" ht="30" hidden="false" customHeight="tru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customFormat="false" ht="30" hidden="false" customHeight="tru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customFormat="false" ht="30" hidden="false" customHeight="tru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customFormat="false" ht="30" hidden="false" customHeight="tru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customFormat="false" ht="30" hidden="false" customHeight="tru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customFormat="false" ht="30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customFormat="false" ht="30" hidden="false" customHeight="tru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customFormat="false" ht="30" hidden="false" customHeight="tru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customFormat="false" ht="30" hidden="false" customHeight="true" outlineLevel="0" collapsed="false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customFormat="false" ht="30" hidden="false" customHeight="true" outlineLevel="0" collapsed="false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customFormat="false" ht="30" hidden="false" customHeight="true" outlineLevel="0" collapsed="false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customFormat="false" ht="30" hidden="false" customHeight="true" outlineLevel="0" collapsed="false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customFormat="false" ht="30" hidden="false" customHeight="true" outlineLevel="0" collapsed="false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customFormat="false" ht="30" hidden="false" customHeight="true" outlineLevel="0" collapsed="false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customFormat="false" ht="30" hidden="false" customHeight="true" outlineLevel="0" collapsed="false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customFormat="false" ht="30" hidden="false" customHeight="true" outlineLevel="0" collapsed="false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customFormat="false" ht="30" hidden="false" customHeight="true" outlineLevel="0" collapsed="false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customFormat="false" ht="30" hidden="false" customHeight="true" outlineLevel="0" collapsed="false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customFormat="false" ht="30" hidden="false" customHeight="true" outlineLevel="0" collapsed="false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customFormat="false" ht="30" hidden="false" customHeight="true" outlineLevel="0" collapsed="false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customFormat="false" ht="30" hidden="false" customHeight="true" outlineLevel="0" collapsed="false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customFormat="false" ht="30" hidden="false" customHeight="true" outlineLevel="0" collapsed="false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customFormat="false" ht="30" hidden="false" customHeight="true" outlineLevel="0" collapsed="false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customFormat="false" ht="30" hidden="false" customHeight="true" outlineLevel="0" collapsed="false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customFormat="false" ht="30" hidden="false" customHeight="true" outlineLevel="0" collapsed="false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customFormat="false" ht="30" hidden="false" customHeight="true" outlineLevel="0" collapsed="false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customFormat="false" ht="30" hidden="false" customHeight="true" outlineLevel="0" collapsed="false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customFormat="false" ht="30" hidden="false" customHeight="true" outlineLevel="0" collapsed="false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customFormat="false" ht="30" hidden="false" customHeight="true" outlineLevel="0" collapsed="false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customFormat="false" ht="30" hidden="false" customHeight="true" outlineLevel="0" collapsed="false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customFormat="false" ht="30" hidden="false" customHeight="true" outlineLevel="0" collapsed="false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customFormat="false" ht="30" hidden="false" customHeight="true" outlineLevel="0" collapsed="false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customFormat="false" ht="30" hidden="false" customHeight="true" outlineLevel="0" collapsed="false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customFormat="false" ht="30" hidden="false" customHeight="true" outlineLevel="0" collapsed="false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customFormat="false" ht="30" hidden="false" customHeight="true" outlineLevel="0" collapsed="false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customFormat="false" ht="30" hidden="false" customHeight="true" outlineLevel="0" collapsed="false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customFormat="false" ht="30" hidden="false" customHeight="true" outlineLevel="0" collapsed="false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customFormat="false" ht="30" hidden="false" customHeight="true" outlineLevel="0" collapsed="false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customFormat="false" ht="30" hidden="false" customHeight="true" outlineLevel="0" collapsed="false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customFormat="false" ht="30" hidden="false" customHeight="true" outlineLevel="0" collapsed="false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customFormat="false" ht="30" hidden="false" customHeight="true" outlineLevel="0" collapsed="false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customFormat="false" ht="30" hidden="false" customHeight="true" outlineLevel="0" collapsed="false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customFormat="false" ht="30" hidden="false" customHeight="true" outlineLevel="0" collapsed="false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customFormat="false" ht="30" hidden="false" customHeight="true" outlineLevel="0" collapsed="false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customFormat="false" ht="30" hidden="false" customHeight="true" outlineLevel="0" collapsed="false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customFormat="false" ht="30" hidden="false" customHeight="true" outlineLevel="0" collapsed="false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customFormat="false" ht="30" hidden="false" customHeight="true" outlineLevel="0" collapsed="false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customFormat="false" ht="30" hidden="false" customHeight="true" outlineLevel="0" collapsed="false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customFormat="false" ht="30" hidden="false" customHeight="true" outlineLevel="0" collapsed="false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customFormat="false" ht="30" hidden="false" customHeight="true" outlineLevel="0" collapsed="false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customFormat="false" ht="30" hidden="false" customHeight="true" outlineLevel="0" collapsed="false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customFormat="false" ht="30" hidden="false" customHeight="true" outlineLevel="0" collapsed="false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customFormat="false" ht="30" hidden="false" customHeight="true" outlineLevel="0" collapsed="false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customFormat="false" ht="30" hidden="false" customHeight="true" outlineLevel="0" collapsed="false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customFormat="false" ht="30" hidden="false" customHeight="true" outlineLevel="0" collapsed="false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customFormat="false" ht="30" hidden="false" customHeight="true" outlineLevel="0" collapsed="false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customFormat="false" ht="30" hidden="false" customHeight="true" outlineLevel="0" collapsed="false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customFormat="false" ht="30" hidden="false" customHeight="true" outlineLevel="0" collapsed="false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customFormat="false" ht="30" hidden="false" customHeight="true" outlineLevel="0" collapsed="false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customFormat="false" ht="30" hidden="false" customHeight="true" outlineLevel="0" collapsed="false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customFormat="false" ht="30" hidden="false" customHeight="true" outlineLevel="0" collapsed="false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customFormat="false" ht="30" hidden="false" customHeight="true" outlineLevel="0" collapsed="false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customFormat="false" ht="30" hidden="false" customHeight="true" outlineLevel="0" collapsed="false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customFormat="false" ht="30" hidden="false" customHeight="true" outlineLevel="0" collapsed="false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customFormat="false" ht="30" hidden="false" customHeight="true" outlineLevel="0" collapsed="false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customFormat="false" ht="30" hidden="false" customHeight="true" outlineLevel="0" collapsed="false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customFormat="false" ht="30" hidden="false" customHeight="true" outlineLevel="0" collapsed="false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customFormat="false" ht="30" hidden="false" customHeight="true" outlineLevel="0" collapsed="false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customFormat="false" ht="30" hidden="false" customHeight="true" outlineLevel="0" collapsed="false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customFormat="false" ht="30" hidden="false" customHeight="true" outlineLevel="0" collapsed="false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customFormat="false" ht="30" hidden="false" customHeight="true" outlineLevel="0" collapsed="false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customFormat="false" ht="30" hidden="false" customHeight="true" outlineLevel="0" collapsed="false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customFormat="false" ht="30" hidden="false" customHeight="true" outlineLevel="0" collapsed="false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customFormat="false" ht="30" hidden="false" customHeight="true" outlineLevel="0" collapsed="false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customFormat="false" ht="30" hidden="false" customHeight="true" outlineLevel="0" collapsed="false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customFormat="false" ht="30" hidden="false" customHeight="true" outlineLevel="0" collapsed="false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customFormat="false" ht="30" hidden="false" customHeight="true" outlineLevel="0" collapsed="false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customFormat="false" ht="30" hidden="false" customHeight="true" outlineLevel="0" collapsed="false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customFormat="false" ht="30" hidden="false" customHeight="true" outlineLevel="0" collapsed="false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customFormat="false" ht="30" hidden="false" customHeight="true" outlineLevel="0" collapsed="false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customFormat="false" ht="30" hidden="false" customHeight="true" outlineLevel="0" collapsed="false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customFormat="false" ht="30" hidden="false" customHeight="true" outlineLevel="0" collapsed="false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customFormat="false" ht="30" hidden="false" customHeight="true" outlineLevel="0" collapsed="false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customFormat="false" ht="30" hidden="false" customHeight="true" outlineLevel="0" collapsed="false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customFormat="false" ht="30" hidden="false" customHeight="true" outlineLevel="0" collapsed="false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customFormat="false" ht="30" hidden="false" customHeight="true" outlineLevel="0" collapsed="false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customFormat="false" ht="30" hidden="false" customHeight="true" outlineLevel="0" collapsed="false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customFormat="false" ht="30" hidden="false" customHeight="true" outlineLevel="0" collapsed="false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customFormat="false" ht="30" hidden="false" customHeight="true" outlineLevel="0" collapsed="false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customFormat="false" ht="30" hidden="false" customHeight="true" outlineLevel="0" collapsed="false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customFormat="false" ht="30" hidden="false" customHeight="true" outlineLevel="0" collapsed="false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customFormat="false" ht="30" hidden="false" customHeight="true" outlineLevel="0" collapsed="false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customFormat="false" ht="30" hidden="false" customHeight="true" outlineLevel="0" collapsed="false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customFormat="false" ht="30" hidden="false" customHeight="true" outlineLevel="0" collapsed="false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customFormat="false" ht="30" hidden="false" customHeight="true" outlineLevel="0" collapsed="false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customFormat="false" ht="30" hidden="false" customHeight="true" outlineLevel="0" collapsed="false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customFormat="false" ht="30" hidden="false" customHeight="true" outlineLevel="0" collapsed="false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customFormat="false" ht="30" hidden="false" customHeight="true" outlineLevel="0" collapsed="false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customFormat="false" ht="30" hidden="false" customHeight="true" outlineLevel="0" collapsed="false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customFormat="false" ht="30" hidden="false" customHeight="true" outlineLevel="0" collapsed="false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customFormat="false" ht="30" hidden="false" customHeight="true" outlineLevel="0" collapsed="false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customFormat="false" ht="30" hidden="false" customHeight="true" outlineLevel="0" collapsed="false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customFormat="false" ht="30" hidden="false" customHeight="true" outlineLevel="0" collapsed="false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customFormat="false" ht="30" hidden="false" customHeight="true" outlineLevel="0" collapsed="false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customFormat="false" ht="30" hidden="false" customHeight="true" outlineLevel="0" collapsed="false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customFormat="false" ht="30" hidden="false" customHeight="true" outlineLevel="0" collapsed="false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customFormat="false" ht="30" hidden="false" customHeight="true" outlineLevel="0" collapsed="false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customFormat="false" ht="30" hidden="false" customHeight="true" outlineLevel="0" collapsed="false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customFormat="false" ht="30" hidden="false" customHeight="true" outlineLevel="0" collapsed="false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customFormat="false" ht="30" hidden="false" customHeight="true" outlineLevel="0" collapsed="false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customFormat="false" ht="30" hidden="false" customHeight="true" outlineLevel="0" collapsed="false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customFormat="false" ht="30" hidden="false" customHeight="true" outlineLevel="0" collapsed="false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customFormat="false" ht="30" hidden="false" customHeight="true" outlineLevel="0" collapsed="false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customFormat="false" ht="30" hidden="false" customHeight="true" outlineLevel="0" collapsed="false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customFormat="false" ht="30" hidden="false" customHeight="true" outlineLevel="0" collapsed="false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customFormat="false" ht="30" hidden="false" customHeight="true" outlineLevel="0" collapsed="false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customFormat="false" ht="30" hidden="false" customHeight="true" outlineLevel="0" collapsed="false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customFormat="false" ht="30" hidden="false" customHeight="true" outlineLevel="0" collapsed="false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customFormat="false" ht="30" hidden="false" customHeight="true" outlineLevel="0" collapsed="false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customFormat="false" ht="30" hidden="false" customHeight="true" outlineLevel="0" collapsed="false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customFormat="false" ht="30" hidden="false" customHeight="true" outlineLevel="0" collapsed="false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customFormat="false" ht="30" hidden="false" customHeight="true" outlineLevel="0" collapsed="false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customFormat="false" ht="30" hidden="false" customHeight="true" outlineLevel="0" collapsed="false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customFormat="false" ht="30" hidden="false" customHeight="true" outlineLevel="0" collapsed="false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customFormat="false" ht="30" hidden="false" customHeight="true" outlineLevel="0" collapsed="false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customFormat="false" ht="30" hidden="false" customHeight="true" outlineLevel="0" collapsed="false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customFormat="false" ht="30" hidden="false" customHeight="true" outlineLevel="0" collapsed="false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customFormat="false" ht="30" hidden="false" customHeight="true" outlineLevel="0" collapsed="false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customFormat="false" ht="30" hidden="false" customHeight="true" outlineLevel="0" collapsed="false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customFormat="false" ht="30" hidden="false" customHeight="true" outlineLevel="0" collapsed="false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customFormat="false" ht="30" hidden="false" customHeight="true" outlineLevel="0" collapsed="false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customFormat="false" ht="30" hidden="false" customHeight="true" outlineLevel="0" collapsed="false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customFormat="false" ht="30" hidden="false" customHeight="true" outlineLevel="0" collapsed="false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customFormat="false" ht="30" hidden="false" customHeight="true" outlineLevel="0" collapsed="false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customFormat="false" ht="30" hidden="false" customHeight="true" outlineLevel="0" collapsed="false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customFormat="false" ht="30" hidden="false" customHeight="true" outlineLevel="0" collapsed="false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customFormat="false" ht="30" hidden="false" customHeight="true" outlineLevel="0" collapsed="false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customFormat="false" ht="30" hidden="false" customHeight="true" outlineLevel="0" collapsed="false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customFormat="false" ht="30" hidden="false" customHeight="true" outlineLevel="0" collapsed="false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customFormat="false" ht="30" hidden="false" customHeight="true" outlineLevel="0" collapsed="false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customFormat="false" ht="30" hidden="false" customHeight="true" outlineLevel="0" collapsed="false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customFormat="false" ht="30" hidden="false" customHeight="true" outlineLevel="0" collapsed="false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customFormat="false" ht="30" hidden="false" customHeight="true" outlineLevel="0" collapsed="false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customFormat="false" ht="30" hidden="false" customHeight="true" outlineLevel="0" collapsed="false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customFormat="false" ht="30" hidden="false" customHeight="true" outlineLevel="0" collapsed="false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customFormat="false" ht="30" hidden="false" customHeight="true" outlineLevel="0" collapsed="false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customFormat="false" ht="30" hidden="false" customHeight="true" outlineLevel="0" collapsed="false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customFormat="false" ht="30" hidden="false" customHeight="true" outlineLevel="0" collapsed="false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customFormat="false" ht="30" hidden="false" customHeight="true" outlineLevel="0" collapsed="false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customFormat="false" ht="30" hidden="false" customHeight="true" outlineLevel="0" collapsed="false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customFormat="false" ht="30" hidden="false" customHeight="true" outlineLevel="0" collapsed="false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customFormat="false" ht="30" hidden="false" customHeight="true" outlineLevel="0" collapsed="false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customFormat="false" ht="30" hidden="false" customHeight="true" outlineLevel="0" collapsed="false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customFormat="false" ht="30" hidden="false" customHeight="true" outlineLevel="0" collapsed="false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customFormat="false" ht="30" hidden="false" customHeight="true" outlineLevel="0" collapsed="false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customFormat="false" ht="30" hidden="false" customHeight="true" outlineLevel="0" collapsed="false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customFormat="false" ht="30" hidden="false" customHeight="true" outlineLevel="0" collapsed="false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customFormat="false" ht="30" hidden="false" customHeight="true" outlineLevel="0" collapsed="false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customFormat="false" ht="30" hidden="false" customHeight="true" outlineLevel="0" collapsed="false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customFormat="false" ht="30" hidden="false" customHeight="true" outlineLevel="0" collapsed="false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customFormat="false" ht="30" hidden="false" customHeight="true" outlineLevel="0" collapsed="false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customFormat="false" ht="30" hidden="false" customHeight="true" outlineLevel="0" collapsed="false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customFormat="false" ht="30" hidden="false" customHeight="true" outlineLevel="0" collapsed="false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customFormat="false" ht="30" hidden="false" customHeight="true" outlineLevel="0" collapsed="false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customFormat="false" ht="30" hidden="false" customHeight="true" outlineLevel="0" collapsed="false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customFormat="false" ht="30" hidden="false" customHeight="true" outlineLevel="0" collapsed="false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customFormat="false" ht="30" hidden="false" customHeight="true" outlineLevel="0" collapsed="false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customFormat="false" ht="30" hidden="false" customHeight="true" outlineLevel="0" collapsed="false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customFormat="false" ht="30" hidden="false" customHeight="true" outlineLevel="0" collapsed="false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customFormat="false" ht="30" hidden="false" customHeight="true" outlineLevel="0" collapsed="false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customFormat="false" ht="30" hidden="false" customHeight="true" outlineLevel="0" collapsed="false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customFormat="false" ht="30" hidden="false" customHeight="true" outlineLevel="0" collapsed="false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customFormat="false" ht="30" hidden="false" customHeight="true" outlineLevel="0" collapsed="false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customFormat="false" ht="30" hidden="false" customHeight="true" outlineLevel="0" collapsed="false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customFormat="false" ht="30" hidden="false" customHeight="true" outlineLevel="0" collapsed="false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customFormat="false" ht="30" hidden="false" customHeight="true" outlineLevel="0" collapsed="false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customFormat="false" ht="30" hidden="false" customHeight="true" outlineLevel="0" collapsed="false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customFormat="false" ht="30" hidden="false" customHeight="true" outlineLevel="0" collapsed="false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customFormat="false" ht="30" hidden="false" customHeight="true" outlineLevel="0" collapsed="false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customFormat="false" ht="30" hidden="false" customHeight="true" outlineLevel="0" collapsed="false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customFormat="false" ht="30" hidden="false" customHeight="true" outlineLevel="0" collapsed="false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customFormat="false" ht="30" hidden="false" customHeight="true" outlineLevel="0" collapsed="false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customFormat="false" ht="30" hidden="false" customHeight="true" outlineLevel="0" collapsed="false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customFormat="false" ht="30" hidden="false" customHeight="true" outlineLevel="0" collapsed="false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customFormat="false" ht="30" hidden="false" customHeight="true" outlineLevel="0" collapsed="false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customFormat="false" ht="30" hidden="false" customHeight="true" outlineLevel="0" collapsed="false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customFormat="false" ht="30" hidden="false" customHeight="true" outlineLevel="0" collapsed="false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customFormat="false" ht="30" hidden="false" customHeight="true" outlineLevel="0" collapsed="false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customFormat="false" ht="30" hidden="false" customHeight="true" outlineLevel="0" collapsed="false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customFormat="false" ht="30" hidden="false" customHeight="true" outlineLevel="0" collapsed="false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customFormat="false" ht="30" hidden="false" customHeight="true" outlineLevel="0" collapsed="false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customFormat="false" ht="30" hidden="false" customHeight="true" outlineLevel="0" collapsed="false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customFormat="false" ht="30" hidden="false" customHeight="true" outlineLevel="0" collapsed="false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customFormat="false" ht="30" hidden="false" customHeight="true" outlineLevel="0" collapsed="false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customFormat="false" ht="30" hidden="false" customHeight="true" outlineLevel="0" collapsed="false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customFormat="false" ht="30" hidden="false" customHeight="true" outlineLevel="0" collapsed="false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customFormat="false" ht="30" hidden="false" customHeight="true" outlineLevel="0" collapsed="false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customFormat="false" ht="30" hidden="false" customHeight="true" outlineLevel="0" collapsed="false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customFormat="false" ht="30" hidden="false" customHeight="true" outlineLevel="0" collapsed="false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customFormat="false" ht="30" hidden="false" customHeight="true" outlineLevel="0" collapsed="false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customFormat="false" ht="30" hidden="false" customHeight="true" outlineLevel="0" collapsed="false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customFormat="false" ht="30" hidden="false" customHeight="true" outlineLevel="0" collapsed="false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customFormat="false" ht="30" hidden="false" customHeight="true" outlineLevel="0" collapsed="false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customFormat="false" ht="30" hidden="false" customHeight="true" outlineLevel="0" collapsed="false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customFormat="false" ht="30" hidden="false" customHeight="true" outlineLevel="0" collapsed="false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customFormat="false" ht="30" hidden="false" customHeight="true" outlineLevel="0" collapsed="false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customFormat="false" ht="30" hidden="false" customHeight="true" outlineLevel="0" collapsed="false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customFormat="false" ht="30" hidden="false" customHeight="true" outlineLevel="0" collapsed="false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customFormat="false" ht="30" hidden="false" customHeight="true" outlineLevel="0" collapsed="false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customFormat="false" ht="30" hidden="false" customHeight="true" outlineLevel="0" collapsed="false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customFormat="false" ht="30" hidden="false" customHeight="true" outlineLevel="0" collapsed="false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customFormat="false" ht="30" hidden="false" customHeight="true" outlineLevel="0" collapsed="false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customFormat="false" ht="30" hidden="false" customHeight="true" outlineLevel="0" collapsed="false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customFormat="false" ht="30" hidden="false" customHeight="true" outlineLevel="0" collapsed="false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customFormat="false" ht="30" hidden="false" customHeight="true" outlineLevel="0" collapsed="false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customFormat="false" ht="30" hidden="false" customHeight="true" outlineLevel="0" collapsed="false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customFormat="false" ht="30" hidden="false" customHeight="true" outlineLevel="0" collapsed="false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customFormat="false" ht="30" hidden="false" customHeight="true" outlineLevel="0" collapsed="false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customFormat="false" ht="30" hidden="false" customHeight="true" outlineLevel="0" collapsed="false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customFormat="false" ht="30" hidden="false" customHeight="true" outlineLevel="0" collapsed="false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customFormat="false" ht="30" hidden="false" customHeight="true" outlineLevel="0" collapsed="false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customFormat="false" ht="30" hidden="false" customHeight="true" outlineLevel="0" collapsed="false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customFormat="false" ht="30" hidden="false" customHeight="true" outlineLevel="0" collapsed="false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customFormat="false" ht="30" hidden="false" customHeight="true" outlineLevel="0" collapsed="false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customFormat="false" ht="30" hidden="false" customHeight="true" outlineLevel="0" collapsed="false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customFormat="false" ht="30" hidden="false" customHeight="true" outlineLevel="0" collapsed="false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customFormat="false" ht="30" hidden="false" customHeight="true" outlineLevel="0" collapsed="false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customFormat="false" ht="30" hidden="false" customHeight="true" outlineLevel="0" collapsed="false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customFormat="false" ht="30" hidden="false" customHeight="true" outlineLevel="0" collapsed="false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customFormat="false" ht="30" hidden="false" customHeight="true" outlineLevel="0" collapsed="false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customFormat="false" ht="30" hidden="false" customHeight="true" outlineLevel="0" collapsed="false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customFormat="false" ht="30" hidden="false" customHeight="true" outlineLevel="0" collapsed="false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customFormat="false" ht="30" hidden="false" customHeight="true" outlineLevel="0" collapsed="false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customFormat="false" ht="30" hidden="false" customHeight="true" outlineLevel="0" collapsed="false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customFormat="false" ht="30" hidden="false" customHeight="true" outlineLevel="0" collapsed="false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customFormat="false" ht="30" hidden="false" customHeight="true" outlineLevel="0" collapsed="false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customFormat="false" ht="30" hidden="false" customHeight="true" outlineLevel="0" collapsed="false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customFormat="false" ht="30" hidden="false" customHeight="true" outlineLevel="0" collapsed="false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customFormat="false" ht="30" hidden="false" customHeight="true" outlineLevel="0" collapsed="false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customFormat="false" ht="30" hidden="false" customHeight="true" outlineLevel="0" collapsed="false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customFormat="false" ht="30" hidden="false" customHeight="true" outlineLevel="0" collapsed="false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customFormat="false" ht="30" hidden="false" customHeight="true" outlineLevel="0" collapsed="false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customFormat="false" ht="30" hidden="false" customHeight="true" outlineLevel="0" collapsed="false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customFormat="false" ht="30" hidden="false" customHeight="true" outlineLevel="0" collapsed="false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customFormat="false" ht="30" hidden="false" customHeight="true" outlineLevel="0" collapsed="false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customFormat="false" ht="30" hidden="false" customHeight="true" outlineLevel="0" collapsed="false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customFormat="false" ht="30" hidden="false" customHeight="true" outlineLevel="0" collapsed="false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customFormat="false" ht="30" hidden="false" customHeight="true" outlineLevel="0" collapsed="false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customFormat="false" ht="30" hidden="false" customHeight="true" outlineLevel="0" collapsed="false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customFormat="false" ht="30" hidden="false" customHeight="true" outlineLevel="0" collapsed="false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customFormat="false" ht="30" hidden="false" customHeight="true" outlineLevel="0" collapsed="false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customFormat="false" ht="30" hidden="false" customHeight="true" outlineLevel="0" collapsed="false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customFormat="false" ht="30" hidden="false" customHeight="true" outlineLevel="0" collapsed="false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customFormat="false" ht="30" hidden="false" customHeight="true" outlineLevel="0" collapsed="false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customFormat="false" ht="30" hidden="false" customHeight="true" outlineLevel="0" collapsed="false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customFormat="false" ht="30" hidden="false" customHeight="true" outlineLevel="0" collapsed="false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customFormat="false" ht="30" hidden="false" customHeight="true" outlineLevel="0" collapsed="false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customFormat="false" ht="30" hidden="false" customHeight="true" outlineLevel="0" collapsed="false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customFormat="false" ht="30" hidden="false" customHeight="true" outlineLevel="0" collapsed="false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customFormat="false" ht="30" hidden="false" customHeight="true" outlineLevel="0" collapsed="false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customFormat="false" ht="30" hidden="false" customHeight="true" outlineLevel="0" collapsed="false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customFormat="false" ht="30" hidden="false" customHeight="true" outlineLevel="0" collapsed="false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customFormat="false" ht="30" hidden="false" customHeight="true" outlineLevel="0" collapsed="false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customFormat="false" ht="30" hidden="false" customHeight="true" outlineLevel="0" collapsed="false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customFormat="false" ht="30" hidden="false" customHeight="true" outlineLevel="0" collapsed="false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customFormat="false" ht="30" hidden="false" customHeight="true" outlineLevel="0" collapsed="false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customFormat="false" ht="30" hidden="false" customHeight="true" outlineLevel="0" collapsed="false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customFormat="false" ht="30" hidden="false" customHeight="true" outlineLevel="0" collapsed="false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customFormat="false" ht="30" hidden="false" customHeight="true" outlineLevel="0" collapsed="false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customFormat="false" ht="30" hidden="false" customHeight="true" outlineLevel="0" collapsed="false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customFormat="false" ht="30" hidden="false" customHeight="true" outlineLevel="0" collapsed="false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customFormat="false" ht="30" hidden="false" customHeight="true" outlineLevel="0" collapsed="false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customFormat="false" ht="30" hidden="false" customHeight="true" outlineLevel="0" collapsed="false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customFormat="false" ht="30" hidden="false" customHeight="true" outlineLevel="0" collapsed="false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customFormat="false" ht="30" hidden="false" customHeight="true" outlineLevel="0" collapsed="false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customFormat="false" ht="30" hidden="false" customHeight="true" outlineLevel="0" collapsed="false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customFormat="false" ht="30" hidden="false" customHeight="true" outlineLevel="0" collapsed="false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customFormat="false" ht="30" hidden="false" customHeight="true" outlineLevel="0" collapsed="false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customFormat="false" ht="30" hidden="false" customHeight="true" outlineLevel="0" collapsed="false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customFormat="false" ht="30" hidden="false" customHeight="true" outlineLevel="0" collapsed="false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customFormat="false" ht="30" hidden="false" customHeight="true" outlineLevel="0" collapsed="false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customFormat="false" ht="30" hidden="false" customHeight="true" outlineLevel="0" collapsed="false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customFormat="false" ht="30" hidden="false" customHeight="true" outlineLevel="0" collapsed="false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customFormat="false" ht="30" hidden="false" customHeight="true" outlineLevel="0" collapsed="false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customFormat="false" ht="30" hidden="false" customHeight="true" outlineLevel="0" collapsed="false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customFormat="false" ht="30" hidden="false" customHeight="true" outlineLevel="0" collapsed="false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customFormat="false" ht="30" hidden="false" customHeight="true" outlineLevel="0" collapsed="false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customFormat="false" ht="30" hidden="false" customHeight="true" outlineLevel="0" collapsed="false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customFormat="false" ht="30" hidden="false" customHeight="true" outlineLevel="0" collapsed="false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customFormat="false" ht="30" hidden="false" customHeight="true" outlineLevel="0" collapsed="false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customFormat="false" ht="30" hidden="false" customHeight="true" outlineLevel="0" collapsed="false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customFormat="false" ht="30" hidden="false" customHeight="true" outlineLevel="0" collapsed="false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customFormat="false" ht="30" hidden="false" customHeight="true" outlineLevel="0" collapsed="false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customFormat="false" ht="30" hidden="false" customHeight="true" outlineLevel="0" collapsed="false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customFormat="false" ht="30" hidden="false" customHeight="true" outlineLevel="0" collapsed="false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customFormat="false" ht="30" hidden="false" customHeight="true" outlineLevel="0" collapsed="false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customFormat="false" ht="30" hidden="false" customHeight="true" outlineLevel="0" collapsed="false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customFormat="false" ht="30" hidden="false" customHeight="true" outlineLevel="0" collapsed="false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customFormat="false" ht="30" hidden="false" customHeight="true" outlineLevel="0" collapsed="false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customFormat="false" ht="30" hidden="false" customHeight="true" outlineLevel="0" collapsed="false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customFormat="false" ht="30" hidden="false" customHeight="true" outlineLevel="0" collapsed="false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customFormat="false" ht="30" hidden="false" customHeight="true" outlineLevel="0" collapsed="false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customFormat="false" ht="30" hidden="false" customHeight="true" outlineLevel="0" collapsed="false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customFormat="false" ht="30" hidden="false" customHeight="true" outlineLevel="0" collapsed="false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customFormat="false" ht="30" hidden="false" customHeight="true" outlineLevel="0" collapsed="false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customFormat="false" ht="30" hidden="false" customHeight="true" outlineLevel="0" collapsed="false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customFormat="false" ht="30" hidden="false" customHeight="true" outlineLevel="0" collapsed="false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customFormat="false" ht="30" hidden="false" customHeight="true" outlineLevel="0" collapsed="false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customFormat="false" ht="30" hidden="false" customHeight="true" outlineLevel="0" collapsed="false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customFormat="false" ht="30" hidden="false" customHeight="true" outlineLevel="0" collapsed="false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customFormat="false" ht="30" hidden="false" customHeight="true" outlineLevel="0" collapsed="false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customFormat="false" ht="30" hidden="false" customHeight="true" outlineLevel="0" collapsed="false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customFormat="false" ht="30" hidden="false" customHeight="true" outlineLevel="0" collapsed="false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customFormat="false" ht="30" hidden="false" customHeight="true" outlineLevel="0" collapsed="false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customFormat="false" ht="30" hidden="false" customHeight="true" outlineLevel="0" collapsed="false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customFormat="false" ht="30" hidden="false" customHeight="true" outlineLevel="0" collapsed="false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customFormat="false" ht="30" hidden="false" customHeight="true" outlineLevel="0" collapsed="false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customFormat="false" ht="30" hidden="false" customHeight="true" outlineLevel="0" collapsed="false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customFormat="false" ht="30" hidden="false" customHeight="true" outlineLevel="0" collapsed="false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customFormat="false" ht="30" hidden="false" customHeight="true" outlineLevel="0" collapsed="false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customFormat="false" ht="30" hidden="false" customHeight="true" outlineLevel="0" collapsed="false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customFormat="false" ht="30" hidden="false" customHeight="true" outlineLevel="0" collapsed="false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customFormat="false" ht="30" hidden="false" customHeight="true" outlineLevel="0" collapsed="false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customFormat="false" ht="30" hidden="false" customHeight="true" outlineLevel="0" collapsed="false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customFormat="false" ht="30" hidden="false" customHeight="true" outlineLevel="0" collapsed="false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customFormat="false" ht="30" hidden="false" customHeight="true" outlineLevel="0" collapsed="false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customFormat="false" ht="30" hidden="false" customHeight="true" outlineLevel="0" collapsed="false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customFormat="false" ht="30" hidden="false" customHeight="true" outlineLevel="0" collapsed="false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customFormat="false" ht="30" hidden="false" customHeight="true" outlineLevel="0" collapsed="false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customFormat="false" ht="30" hidden="false" customHeight="true" outlineLevel="0" collapsed="false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customFormat="false" ht="30" hidden="false" customHeight="true" outlineLevel="0" collapsed="false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customFormat="false" ht="30" hidden="false" customHeight="true" outlineLevel="0" collapsed="false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customFormat="false" ht="30" hidden="false" customHeight="true" outlineLevel="0" collapsed="false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customFormat="false" ht="30" hidden="false" customHeight="true" outlineLevel="0" collapsed="false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customFormat="false" ht="30" hidden="false" customHeight="true" outlineLevel="0" collapsed="false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customFormat="false" ht="30" hidden="false" customHeight="true" outlineLevel="0" collapsed="false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customFormat="false" ht="30" hidden="false" customHeight="true" outlineLevel="0" collapsed="false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customFormat="false" ht="30" hidden="false" customHeight="true" outlineLevel="0" collapsed="false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customFormat="false" ht="30" hidden="false" customHeight="true" outlineLevel="0" collapsed="false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customFormat="false" ht="30" hidden="false" customHeight="true" outlineLevel="0" collapsed="false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customFormat="false" ht="30" hidden="false" customHeight="true" outlineLevel="0" collapsed="false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customFormat="false" ht="30" hidden="false" customHeight="true" outlineLevel="0" collapsed="false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customFormat="false" ht="30" hidden="false" customHeight="true" outlineLevel="0" collapsed="false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customFormat="false" ht="30" hidden="false" customHeight="true" outlineLevel="0" collapsed="false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customFormat="false" ht="30" hidden="false" customHeight="true" outlineLevel="0" collapsed="false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customFormat="false" ht="30" hidden="false" customHeight="true" outlineLevel="0" collapsed="false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customFormat="false" ht="30" hidden="false" customHeight="true" outlineLevel="0" collapsed="false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customFormat="false" ht="30" hidden="false" customHeight="true" outlineLevel="0" collapsed="false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customFormat="false" ht="30" hidden="false" customHeight="true" outlineLevel="0" collapsed="false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customFormat="false" ht="30" hidden="false" customHeight="true" outlineLevel="0" collapsed="false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customFormat="false" ht="30" hidden="false" customHeight="true" outlineLevel="0" collapsed="false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customFormat="false" ht="30" hidden="false" customHeight="true" outlineLevel="0" collapsed="false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customFormat="false" ht="30" hidden="false" customHeight="true" outlineLevel="0" collapsed="false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customFormat="false" ht="30" hidden="false" customHeight="true" outlineLevel="0" collapsed="false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customFormat="false" ht="30" hidden="false" customHeight="true" outlineLevel="0" collapsed="false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customFormat="false" ht="30" hidden="false" customHeight="true" outlineLevel="0" collapsed="false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customFormat="false" ht="30" hidden="false" customHeight="true" outlineLevel="0" collapsed="false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customFormat="false" ht="30" hidden="false" customHeight="true" outlineLevel="0" collapsed="false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customFormat="false" ht="30" hidden="false" customHeight="true" outlineLevel="0" collapsed="false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customFormat="false" ht="30" hidden="false" customHeight="true" outlineLevel="0" collapsed="false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customFormat="false" ht="30" hidden="false" customHeight="true" outlineLevel="0" collapsed="false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customFormat="false" ht="30" hidden="false" customHeight="true" outlineLevel="0" collapsed="false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customFormat="false" ht="30" hidden="false" customHeight="true" outlineLevel="0" collapsed="false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customFormat="false" ht="30" hidden="false" customHeight="true" outlineLevel="0" collapsed="false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customFormat="false" ht="30" hidden="false" customHeight="true" outlineLevel="0" collapsed="false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customFormat="false" ht="30" hidden="false" customHeight="true" outlineLevel="0" collapsed="false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customFormat="false" ht="30" hidden="false" customHeight="true" outlineLevel="0" collapsed="false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customFormat="false" ht="30" hidden="false" customHeight="true" outlineLevel="0" collapsed="false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customFormat="false" ht="30" hidden="false" customHeight="true" outlineLevel="0" collapsed="false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customFormat="false" ht="30" hidden="false" customHeight="true" outlineLevel="0" collapsed="false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customFormat="false" ht="30" hidden="false" customHeight="true" outlineLevel="0" collapsed="false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customFormat="false" ht="30" hidden="false" customHeight="true" outlineLevel="0" collapsed="false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customFormat="false" ht="30" hidden="false" customHeight="true" outlineLevel="0" collapsed="false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customFormat="false" ht="30" hidden="false" customHeight="true" outlineLevel="0" collapsed="false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customFormat="false" ht="30" hidden="false" customHeight="true" outlineLevel="0" collapsed="false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customFormat="false" ht="30" hidden="false" customHeight="true" outlineLevel="0" collapsed="false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customFormat="false" ht="30" hidden="false" customHeight="true" outlineLevel="0" collapsed="false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customFormat="false" ht="30" hidden="false" customHeight="true" outlineLevel="0" collapsed="false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customFormat="false" ht="30" hidden="false" customHeight="true" outlineLevel="0" collapsed="false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customFormat="false" ht="30" hidden="false" customHeight="true" outlineLevel="0" collapsed="false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customFormat="false" ht="30" hidden="false" customHeight="true" outlineLevel="0" collapsed="false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customFormat="false" ht="30" hidden="false" customHeight="true" outlineLevel="0" collapsed="false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customFormat="false" ht="30" hidden="false" customHeight="true" outlineLevel="0" collapsed="false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customFormat="false" ht="30" hidden="false" customHeight="true" outlineLevel="0" collapsed="false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customFormat="false" ht="30" hidden="false" customHeight="true" outlineLevel="0" collapsed="false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customFormat="false" ht="30" hidden="false" customHeight="true" outlineLevel="0" collapsed="false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customFormat="false" ht="30" hidden="false" customHeight="true" outlineLevel="0" collapsed="false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customFormat="false" ht="30" hidden="false" customHeight="true" outlineLevel="0" collapsed="false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customFormat="false" ht="30" hidden="false" customHeight="true" outlineLevel="0" collapsed="false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customFormat="false" ht="30" hidden="false" customHeight="true" outlineLevel="0" collapsed="false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customFormat="false" ht="30" hidden="false" customHeight="true" outlineLevel="0" collapsed="false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customFormat="false" ht="30" hidden="false" customHeight="true" outlineLevel="0" collapsed="false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customFormat="false" ht="30" hidden="false" customHeight="true" outlineLevel="0" collapsed="false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customFormat="false" ht="30" hidden="false" customHeight="true" outlineLevel="0" collapsed="false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customFormat="false" ht="30" hidden="false" customHeight="true" outlineLevel="0" collapsed="false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customFormat="false" ht="30" hidden="false" customHeight="true" outlineLevel="0" collapsed="false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customFormat="false" ht="30" hidden="false" customHeight="true" outlineLevel="0" collapsed="false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customFormat="false" ht="30" hidden="false" customHeight="true" outlineLevel="0" collapsed="false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customFormat="false" ht="30" hidden="false" customHeight="true" outlineLevel="0" collapsed="false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customFormat="false" ht="30" hidden="false" customHeight="true" outlineLevel="0" collapsed="false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customFormat="false" ht="30" hidden="false" customHeight="true" outlineLevel="0" collapsed="false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customFormat="false" ht="30" hidden="false" customHeight="true" outlineLevel="0" collapsed="false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customFormat="false" ht="30" hidden="false" customHeight="true" outlineLevel="0" collapsed="false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customFormat="false" ht="30" hidden="false" customHeight="true" outlineLevel="0" collapsed="false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customFormat="false" ht="30" hidden="false" customHeight="true" outlineLevel="0" collapsed="false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customFormat="false" ht="30" hidden="false" customHeight="true" outlineLevel="0" collapsed="false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customFormat="false" ht="30" hidden="false" customHeight="true" outlineLevel="0" collapsed="false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customFormat="false" ht="30" hidden="false" customHeight="true" outlineLevel="0" collapsed="false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customFormat="false" ht="30" hidden="false" customHeight="true" outlineLevel="0" collapsed="false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customFormat="false" ht="30" hidden="false" customHeight="true" outlineLevel="0" collapsed="false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customFormat="false" ht="30" hidden="false" customHeight="true" outlineLevel="0" collapsed="false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customFormat="false" ht="30" hidden="false" customHeight="true" outlineLevel="0" collapsed="false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customFormat="false" ht="30" hidden="false" customHeight="true" outlineLevel="0" collapsed="false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customFormat="false" ht="30" hidden="false" customHeight="true" outlineLevel="0" collapsed="false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customFormat="false" ht="30" hidden="false" customHeight="true" outlineLevel="0" collapsed="false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customFormat="false" ht="30" hidden="false" customHeight="true" outlineLevel="0" collapsed="false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customFormat="false" ht="30" hidden="false" customHeight="true" outlineLevel="0" collapsed="false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customFormat="false" ht="30" hidden="false" customHeight="true" outlineLevel="0" collapsed="false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customFormat="false" ht="30" hidden="false" customHeight="true" outlineLevel="0" collapsed="false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customFormat="false" ht="30" hidden="false" customHeight="true" outlineLevel="0" collapsed="false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customFormat="false" ht="30" hidden="false" customHeight="true" outlineLevel="0" collapsed="false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customFormat="false" ht="30" hidden="false" customHeight="true" outlineLevel="0" collapsed="false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customFormat="false" ht="30" hidden="false" customHeight="true" outlineLevel="0" collapsed="false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customFormat="false" ht="30" hidden="false" customHeight="true" outlineLevel="0" collapsed="false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customFormat="false" ht="30" hidden="false" customHeight="true" outlineLevel="0" collapsed="false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customFormat="false" ht="30" hidden="false" customHeight="true" outlineLevel="0" collapsed="false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customFormat="false" ht="30" hidden="false" customHeight="true" outlineLevel="0" collapsed="false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customFormat="false" ht="30" hidden="false" customHeight="true" outlineLevel="0" collapsed="false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customFormat="false" ht="30" hidden="false" customHeight="true" outlineLevel="0" collapsed="false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customFormat="false" ht="30" hidden="false" customHeight="true" outlineLevel="0" collapsed="false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customFormat="false" ht="30" hidden="false" customHeight="true" outlineLevel="0" collapsed="false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customFormat="false" ht="30" hidden="false" customHeight="true" outlineLevel="0" collapsed="false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customFormat="false" ht="30" hidden="false" customHeight="true" outlineLevel="0" collapsed="false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customFormat="false" ht="30" hidden="false" customHeight="true" outlineLevel="0" collapsed="false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customFormat="false" ht="30" hidden="false" customHeight="true" outlineLevel="0" collapsed="false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customFormat="false" ht="30" hidden="false" customHeight="true" outlineLevel="0" collapsed="false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customFormat="false" ht="30" hidden="false" customHeight="true" outlineLevel="0" collapsed="false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customFormat="false" ht="30" hidden="false" customHeight="true" outlineLevel="0" collapsed="false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customFormat="false" ht="30" hidden="false" customHeight="true" outlineLevel="0" collapsed="false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customFormat="false" ht="30" hidden="false" customHeight="true" outlineLevel="0" collapsed="false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customFormat="false" ht="30" hidden="false" customHeight="true" outlineLevel="0" collapsed="false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customFormat="false" ht="30" hidden="false" customHeight="true" outlineLevel="0" collapsed="false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customFormat="false" ht="30" hidden="false" customHeight="true" outlineLevel="0" collapsed="false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customFormat="false" ht="30" hidden="false" customHeight="true" outlineLevel="0" collapsed="false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customFormat="false" ht="30" hidden="false" customHeight="true" outlineLevel="0" collapsed="false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customFormat="false" ht="30" hidden="false" customHeight="true" outlineLevel="0" collapsed="false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customFormat="false" ht="30" hidden="false" customHeight="true" outlineLevel="0" collapsed="false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customFormat="false" ht="30" hidden="false" customHeight="true" outlineLevel="0" collapsed="false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customFormat="false" ht="30" hidden="false" customHeight="true" outlineLevel="0" collapsed="false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customFormat="false" ht="30" hidden="false" customHeight="true" outlineLevel="0" collapsed="false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customFormat="false" ht="30" hidden="false" customHeight="true" outlineLevel="0" collapsed="false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customFormat="false" ht="30" hidden="false" customHeight="true" outlineLevel="0" collapsed="false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customFormat="false" ht="30" hidden="false" customHeight="true" outlineLevel="0" collapsed="false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customFormat="false" ht="30" hidden="false" customHeight="true" outlineLevel="0" collapsed="false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customFormat="false" ht="30" hidden="false" customHeight="true" outlineLevel="0" collapsed="false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customFormat="false" ht="30" hidden="false" customHeight="true" outlineLevel="0" collapsed="false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customFormat="false" ht="30" hidden="false" customHeight="true" outlineLevel="0" collapsed="false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customFormat="false" ht="30" hidden="false" customHeight="true" outlineLevel="0" collapsed="false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customFormat="false" ht="30" hidden="false" customHeight="true" outlineLevel="0" collapsed="false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customFormat="false" ht="30" hidden="false" customHeight="true" outlineLevel="0" collapsed="false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customFormat="false" ht="30" hidden="false" customHeight="true" outlineLevel="0" collapsed="false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customFormat="false" ht="30" hidden="false" customHeight="true" outlineLevel="0" collapsed="false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customFormat="false" ht="30" hidden="false" customHeight="true" outlineLevel="0" collapsed="false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customFormat="false" ht="30" hidden="false" customHeight="true" outlineLevel="0" collapsed="false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customFormat="false" ht="30" hidden="false" customHeight="true" outlineLevel="0" collapsed="false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customFormat="false" ht="30" hidden="false" customHeight="true" outlineLevel="0" collapsed="false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customFormat="false" ht="30" hidden="false" customHeight="true" outlineLevel="0" collapsed="false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customFormat="false" ht="30" hidden="false" customHeight="true" outlineLevel="0" collapsed="false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customFormat="false" ht="30" hidden="false" customHeight="true" outlineLevel="0" collapsed="false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customFormat="false" ht="30" hidden="false" customHeight="true" outlineLevel="0" collapsed="false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customFormat="false" ht="30" hidden="false" customHeight="true" outlineLevel="0" collapsed="false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customFormat="false" ht="30" hidden="false" customHeight="true" outlineLevel="0" collapsed="false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customFormat="false" ht="30" hidden="false" customHeight="true" outlineLevel="0" collapsed="false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customFormat="false" ht="30" hidden="false" customHeight="true" outlineLevel="0" collapsed="false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customFormat="false" ht="30" hidden="false" customHeight="true" outlineLevel="0" collapsed="false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customFormat="false" ht="30" hidden="false" customHeight="true" outlineLevel="0" collapsed="false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customFormat="false" ht="30" hidden="false" customHeight="true" outlineLevel="0" collapsed="false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customFormat="false" ht="30" hidden="false" customHeight="true" outlineLevel="0" collapsed="false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customFormat="false" ht="30" hidden="false" customHeight="true" outlineLevel="0" collapsed="false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customFormat="false" ht="30" hidden="false" customHeight="true" outlineLevel="0" collapsed="false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customFormat="false" ht="30" hidden="false" customHeight="true" outlineLevel="0" collapsed="false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customFormat="false" ht="30" hidden="false" customHeight="true" outlineLevel="0" collapsed="false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customFormat="false" ht="30" hidden="false" customHeight="true" outlineLevel="0" collapsed="false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customFormat="false" ht="30" hidden="false" customHeight="true" outlineLevel="0" collapsed="false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customFormat="false" ht="30" hidden="false" customHeight="true" outlineLevel="0" collapsed="false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customFormat="false" ht="30" hidden="false" customHeight="true" outlineLevel="0" collapsed="false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customFormat="false" ht="30" hidden="false" customHeight="true" outlineLevel="0" collapsed="false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customFormat="false" ht="30" hidden="false" customHeight="true" outlineLevel="0" collapsed="false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customFormat="false" ht="30" hidden="false" customHeight="true" outlineLevel="0" collapsed="false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customFormat="false" ht="30" hidden="false" customHeight="true" outlineLevel="0" collapsed="false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customFormat="false" ht="30" hidden="false" customHeight="true" outlineLevel="0" collapsed="false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customFormat="false" ht="30" hidden="false" customHeight="true" outlineLevel="0" collapsed="false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customFormat="false" ht="30" hidden="false" customHeight="true" outlineLevel="0" collapsed="false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customFormat="false" ht="30" hidden="false" customHeight="true" outlineLevel="0" collapsed="false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customFormat="false" ht="30" hidden="false" customHeight="true" outlineLevel="0" collapsed="false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customFormat="false" ht="30" hidden="false" customHeight="true" outlineLevel="0" collapsed="false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customFormat="false" ht="30" hidden="false" customHeight="true" outlineLevel="0" collapsed="false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customFormat="false" ht="30" hidden="false" customHeight="true" outlineLevel="0" collapsed="false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customFormat="false" ht="30" hidden="false" customHeight="true" outlineLevel="0" collapsed="false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customFormat="false" ht="30" hidden="false" customHeight="true" outlineLevel="0" collapsed="false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customFormat="false" ht="30" hidden="false" customHeight="true" outlineLevel="0" collapsed="false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customFormat="false" ht="30" hidden="false" customHeight="true" outlineLevel="0" collapsed="false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customFormat="false" ht="30" hidden="false" customHeight="true" outlineLevel="0" collapsed="false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customFormat="false" ht="30" hidden="false" customHeight="true" outlineLevel="0" collapsed="false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customFormat="false" ht="30" hidden="false" customHeight="true" outlineLevel="0" collapsed="false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customFormat="false" ht="30" hidden="false" customHeight="true" outlineLevel="0" collapsed="false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customFormat="false" ht="30" hidden="false" customHeight="true" outlineLevel="0" collapsed="false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customFormat="false" ht="30" hidden="false" customHeight="true" outlineLevel="0" collapsed="false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customFormat="false" ht="30" hidden="false" customHeight="true" outlineLevel="0" collapsed="false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customFormat="false" ht="30" hidden="false" customHeight="true" outlineLevel="0" collapsed="false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customFormat="false" ht="30" hidden="false" customHeight="true" outlineLevel="0" collapsed="false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customFormat="false" ht="30" hidden="false" customHeight="true" outlineLevel="0" collapsed="false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customFormat="false" ht="30" hidden="false" customHeight="true" outlineLevel="0" collapsed="false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customFormat="false" ht="30" hidden="false" customHeight="true" outlineLevel="0" collapsed="false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customFormat="false" ht="30" hidden="false" customHeight="true" outlineLevel="0" collapsed="false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customFormat="false" ht="30" hidden="false" customHeight="true" outlineLevel="0" collapsed="false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customFormat="false" ht="30" hidden="false" customHeight="true" outlineLevel="0" collapsed="false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customFormat="false" ht="30" hidden="false" customHeight="true" outlineLevel="0" collapsed="false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customFormat="false" ht="30" hidden="false" customHeight="true" outlineLevel="0" collapsed="false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customFormat="false" ht="30" hidden="false" customHeight="true" outlineLevel="0" collapsed="false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customFormat="false" ht="30" hidden="false" customHeight="true" outlineLevel="0" collapsed="false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customFormat="false" ht="30" hidden="false" customHeight="true" outlineLevel="0" collapsed="false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customFormat="false" ht="30" hidden="false" customHeight="true" outlineLevel="0" collapsed="false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customFormat="false" ht="30" hidden="false" customHeight="true" outlineLevel="0" collapsed="false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customFormat="false" ht="30" hidden="false" customHeight="true" outlineLevel="0" collapsed="false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customFormat="false" ht="30" hidden="false" customHeight="true" outlineLevel="0" collapsed="false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customFormat="false" ht="30" hidden="false" customHeight="true" outlineLevel="0" collapsed="false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customFormat="false" ht="30" hidden="false" customHeight="true" outlineLevel="0" collapsed="false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customFormat="false" ht="30" hidden="false" customHeight="true" outlineLevel="0" collapsed="false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customFormat="false" ht="30" hidden="false" customHeight="true" outlineLevel="0" collapsed="false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customFormat="false" ht="30" hidden="false" customHeight="true" outlineLevel="0" collapsed="false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customFormat="false" ht="30" hidden="false" customHeight="true" outlineLevel="0" collapsed="false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customFormat="false" ht="30" hidden="false" customHeight="true" outlineLevel="0" collapsed="false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customFormat="false" ht="30" hidden="false" customHeight="true" outlineLevel="0" collapsed="false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customFormat="false" ht="30" hidden="false" customHeight="true" outlineLevel="0" collapsed="false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customFormat="false" ht="30" hidden="false" customHeight="true" outlineLevel="0" collapsed="false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customFormat="false" ht="30" hidden="false" customHeight="true" outlineLevel="0" collapsed="false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customFormat="false" ht="30" hidden="false" customHeight="true" outlineLevel="0" collapsed="false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customFormat="false" ht="30" hidden="false" customHeight="true" outlineLevel="0" collapsed="false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customFormat="false" ht="30" hidden="false" customHeight="true" outlineLevel="0" collapsed="false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customFormat="false" ht="30" hidden="false" customHeight="true" outlineLevel="0" collapsed="false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customFormat="false" ht="30" hidden="false" customHeight="true" outlineLevel="0" collapsed="false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customFormat="false" ht="30" hidden="false" customHeight="true" outlineLevel="0" collapsed="false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customFormat="false" ht="30" hidden="false" customHeight="true" outlineLevel="0" collapsed="false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customFormat="false" ht="30" hidden="false" customHeight="true" outlineLevel="0" collapsed="false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customFormat="false" ht="30" hidden="false" customHeight="true" outlineLevel="0" collapsed="false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customFormat="false" ht="30" hidden="false" customHeight="true" outlineLevel="0" collapsed="false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customFormat="false" ht="30" hidden="false" customHeight="true" outlineLevel="0" collapsed="false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customFormat="false" ht="30" hidden="false" customHeight="true" outlineLevel="0" collapsed="false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customFormat="false" ht="30" hidden="false" customHeight="true" outlineLevel="0" collapsed="false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customFormat="false" ht="30" hidden="false" customHeight="true" outlineLevel="0" collapsed="false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customFormat="false" ht="30" hidden="false" customHeight="true" outlineLevel="0" collapsed="false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customFormat="false" ht="30" hidden="false" customHeight="true" outlineLevel="0" collapsed="false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customFormat="false" ht="30" hidden="false" customHeight="true" outlineLevel="0" collapsed="false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customFormat="false" ht="30" hidden="false" customHeight="true" outlineLevel="0" collapsed="false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customFormat="false" ht="30" hidden="false" customHeight="true" outlineLevel="0" collapsed="false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customFormat="false" ht="30" hidden="false" customHeight="true" outlineLevel="0" collapsed="false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customFormat="false" ht="30" hidden="false" customHeight="true" outlineLevel="0" collapsed="false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customFormat="false" ht="30" hidden="false" customHeight="true" outlineLevel="0" collapsed="false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customFormat="false" ht="30" hidden="false" customHeight="true" outlineLevel="0" collapsed="false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customFormat="false" ht="30" hidden="false" customHeight="true" outlineLevel="0" collapsed="false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customFormat="false" ht="30" hidden="false" customHeight="true" outlineLevel="0" collapsed="false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customFormat="false" ht="30" hidden="false" customHeight="true" outlineLevel="0" collapsed="false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customFormat="false" ht="30" hidden="false" customHeight="true" outlineLevel="0" collapsed="false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customFormat="false" ht="30" hidden="false" customHeight="true" outlineLevel="0" collapsed="false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customFormat="false" ht="30" hidden="false" customHeight="true" outlineLevel="0" collapsed="false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customFormat="false" ht="30" hidden="false" customHeight="true" outlineLevel="0" collapsed="false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customFormat="false" ht="30" hidden="false" customHeight="true" outlineLevel="0" collapsed="false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customFormat="false" ht="30" hidden="false" customHeight="true" outlineLevel="0" collapsed="false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customFormat="false" ht="30" hidden="false" customHeight="true" outlineLevel="0" collapsed="false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customFormat="false" ht="30" hidden="false" customHeight="true" outlineLevel="0" collapsed="false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customFormat="false" ht="30" hidden="false" customHeight="true" outlineLevel="0" collapsed="false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customFormat="false" ht="30" hidden="false" customHeight="true" outlineLevel="0" collapsed="false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customFormat="false" ht="30" hidden="false" customHeight="true" outlineLevel="0" collapsed="false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customFormat="false" ht="30" hidden="false" customHeight="true" outlineLevel="0" collapsed="false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customFormat="false" ht="30" hidden="false" customHeight="true" outlineLevel="0" collapsed="false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customFormat="false" ht="30" hidden="false" customHeight="true" outlineLevel="0" collapsed="false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customFormat="false" ht="30" hidden="false" customHeight="true" outlineLevel="0" collapsed="false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customFormat="false" ht="30" hidden="false" customHeight="true" outlineLevel="0" collapsed="false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customFormat="false" ht="30" hidden="false" customHeight="true" outlineLevel="0" collapsed="false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customFormat="false" ht="30" hidden="false" customHeight="true" outlineLevel="0" collapsed="false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customFormat="false" ht="30" hidden="false" customHeight="true" outlineLevel="0" collapsed="false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customFormat="false" ht="30" hidden="false" customHeight="true" outlineLevel="0" collapsed="false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customFormat="false" ht="30" hidden="false" customHeight="true" outlineLevel="0" collapsed="false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customFormat="false" ht="30" hidden="false" customHeight="true" outlineLevel="0" collapsed="false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customFormat="false" ht="30" hidden="false" customHeight="true" outlineLevel="0" collapsed="false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customFormat="false" ht="30" hidden="false" customHeight="true" outlineLevel="0" collapsed="false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customFormat="false" ht="30" hidden="false" customHeight="true" outlineLevel="0" collapsed="false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customFormat="false" ht="30" hidden="false" customHeight="true" outlineLevel="0" collapsed="false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customFormat="false" ht="30" hidden="false" customHeight="true" outlineLevel="0" collapsed="false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customFormat="false" ht="30" hidden="false" customHeight="true" outlineLevel="0" collapsed="false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customFormat="false" ht="30" hidden="false" customHeight="true" outlineLevel="0" collapsed="false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customFormat="false" ht="30" hidden="false" customHeight="true" outlineLevel="0" collapsed="false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customFormat="false" ht="30" hidden="false" customHeight="true" outlineLevel="0" collapsed="false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customFormat="false" ht="30" hidden="false" customHeight="true" outlineLevel="0" collapsed="false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customFormat="false" ht="30" hidden="false" customHeight="true" outlineLevel="0" collapsed="false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customFormat="false" ht="30" hidden="false" customHeight="true" outlineLevel="0" collapsed="false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customFormat="false" ht="30" hidden="false" customHeight="true" outlineLevel="0" collapsed="false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customFormat="false" ht="30" hidden="false" customHeight="true" outlineLevel="0" collapsed="false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customFormat="false" ht="30" hidden="false" customHeight="true" outlineLevel="0" collapsed="false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customFormat="false" ht="30" hidden="false" customHeight="true" outlineLevel="0" collapsed="false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customFormat="false" ht="30" hidden="false" customHeight="true" outlineLevel="0" collapsed="false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customFormat="false" ht="30" hidden="false" customHeight="true" outlineLevel="0" collapsed="false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customFormat="false" ht="30" hidden="false" customHeight="true" outlineLevel="0" collapsed="false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customFormat="false" ht="30" hidden="false" customHeight="true" outlineLevel="0" collapsed="false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customFormat="false" ht="30" hidden="false" customHeight="true" outlineLevel="0" collapsed="false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customFormat="false" ht="30" hidden="false" customHeight="true" outlineLevel="0" collapsed="false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customFormat="false" ht="30" hidden="false" customHeight="true" outlineLevel="0" collapsed="false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customFormat="false" ht="30" hidden="false" customHeight="true" outlineLevel="0" collapsed="false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customFormat="false" ht="30" hidden="false" customHeight="true" outlineLevel="0" collapsed="false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customFormat="false" ht="30" hidden="false" customHeight="true" outlineLevel="0" collapsed="false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customFormat="false" ht="30" hidden="false" customHeight="true" outlineLevel="0" collapsed="false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customFormat="false" ht="30" hidden="false" customHeight="true" outlineLevel="0" collapsed="false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customFormat="false" ht="30" hidden="false" customHeight="true" outlineLevel="0" collapsed="false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customFormat="false" ht="30" hidden="false" customHeight="true" outlineLevel="0" collapsed="false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customFormat="false" ht="30" hidden="false" customHeight="true" outlineLevel="0" collapsed="false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customFormat="false" ht="30" hidden="false" customHeight="true" outlineLevel="0" collapsed="false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customFormat="false" ht="30" hidden="false" customHeight="true" outlineLevel="0" collapsed="false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customFormat="false" ht="30" hidden="false" customHeight="true" outlineLevel="0" collapsed="false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customFormat="false" ht="30" hidden="false" customHeight="true" outlineLevel="0" collapsed="false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customFormat="false" ht="30" hidden="false" customHeight="true" outlineLevel="0" collapsed="false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customFormat="false" ht="30" hidden="false" customHeight="true" outlineLevel="0" collapsed="false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customFormat="false" ht="30" hidden="false" customHeight="true" outlineLevel="0" collapsed="false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customFormat="false" ht="30" hidden="false" customHeight="true" outlineLevel="0" collapsed="false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customFormat="false" ht="30" hidden="false" customHeight="true" outlineLevel="0" collapsed="false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customFormat="false" ht="30" hidden="false" customHeight="true" outlineLevel="0" collapsed="false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customFormat="false" ht="30" hidden="false" customHeight="true" outlineLevel="0" collapsed="false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customFormat="false" ht="30" hidden="false" customHeight="true" outlineLevel="0" collapsed="false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customFormat="false" ht="30" hidden="false" customHeight="true" outlineLevel="0" collapsed="false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customFormat="false" ht="30" hidden="false" customHeight="true" outlineLevel="0" collapsed="false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customFormat="false" ht="30" hidden="false" customHeight="true" outlineLevel="0" collapsed="false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customFormat="false" ht="30" hidden="false" customHeight="true" outlineLevel="0" collapsed="false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customFormat="false" ht="30" hidden="false" customHeight="true" outlineLevel="0" collapsed="false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customFormat="false" ht="30" hidden="false" customHeight="true" outlineLevel="0" collapsed="false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customFormat="false" ht="30" hidden="false" customHeight="true" outlineLevel="0" collapsed="false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customFormat="false" ht="30" hidden="false" customHeight="true" outlineLevel="0" collapsed="false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customFormat="false" ht="30" hidden="false" customHeight="true" outlineLevel="0" collapsed="false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customFormat="false" ht="30" hidden="false" customHeight="true" outlineLevel="0" collapsed="false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customFormat="false" ht="30" hidden="false" customHeight="true" outlineLevel="0" collapsed="false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customFormat="false" ht="30" hidden="false" customHeight="true" outlineLevel="0" collapsed="false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customFormat="false" ht="30" hidden="false" customHeight="true" outlineLevel="0" collapsed="false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customFormat="false" ht="30" hidden="false" customHeight="true" outlineLevel="0" collapsed="false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customFormat="false" ht="30" hidden="false" customHeight="true" outlineLevel="0" collapsed="false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customFormat="false" ht="30" hidden="false" customHeight="true" outlineLevel="0" collapsed="false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customFormat="false" ht="30" hidden="false" customHeight="true" outlineLevel="0" collapsed="false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customFormat="false" ht="30" hidden="false" customHeight="true" outlineLevel="0" collapsed="false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customFormat="false" ht="30" hidden="false" customHeight="true" outlineLevel="0" collapsed="false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customFormat="false" ht="30" hidden="false" customHeight="true" outlineLevel="0" collapsed="false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customFormat="false" ht="30" hidden="false" customHeight="true" outlineLevel="0" collapsed="false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customFormat="false" ht="30" hidden="false" customHeight="true" outlineLevel="0" collapsed="false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customFormat="false" ht="30" hidden="false" customHeight="true" outlineLevel="0" collapsed="false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customFormat="false" ht="30" hidden="false" customHeight="true" outlineLevel="0" collapsed="false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customFormat="false" ht="30" hidden="false" customHeight="true" outlineLevel="0" collapsed="false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customFormat="false" ht="30" hidden="false" customHeight="true" outlineLevel="0" collapsed="false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customFormat="false" ht="30" hidden="false" customHeight="true" outlineLevel="0" collapsed="false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customFormat="false" ht="30" hidden="false" customHeight="true" outlineLevel="0" collapsed="false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customFormat="false" ht="30" hidden="false" customHeight="true" outlineLevel="0" collapsed="false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customFormat="false" ht="30" hidden="false" customHeight="true" outlineLevel="0" collapsed="false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customFormat="false" ht="30" hidden="false" customHeight="true" outlineLevel="0" collapsed="false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customFormat="false" ht="30" hidden="false" customHeight="true" outlineLevel="0" collapsed="false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customFormat="false" ht="30" hidden="false" customHeight="true" outlineLevel="0" collapsed="false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customFormat="false" ht="30" hidden="false" customHeight="true" outlineLevel="0" collapsed="false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customFormat="false" ht="30" hidden="false" customHeight="true" outlineLevel="0" collapsed="false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customFormat="false" ht="30" hidden="false" customHeight="true" outlineLevel="0" collapsed="false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customFormat="false" ht="30" hidden="false" customHeight="true" outlineLevel="0" collapsed="false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customFormat="false" ht="30" hidden="false" customHeight="true" outlineLevel="0" collapsed="false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customFormat="false" ht="30" hidden="false" customHeight="true" outlineLevel="0" collapsed="false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customFormat="false" ht="30" hidden="false" customHeight="true" outlineLevel="0" collapsed="false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customFormat="false" ht="30" hidden="false" customHeight="true" outlineLevel="0" collapsed="false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customFormat="false" ht="30" hidden="false" customHeight="true" outlineLevel="0" collapsed="false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customFormat="false" ht="30" hidden="false" customHeight="true" outlineLevel="0" collapsed="false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customFormat="false" ht="30" hidden="false" customHeight="true" outlineLevel="0" collapsed="false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customFormat="false" ht="30" hidden="false" customHeight="true" outlineLevel="0" collapsed="false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customFormat="false" ht="30" hidden="false" customHeight="true" outlineLevel="0" collapsed="false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customFormat="false" ht="30" hidden="false" customHeight="true" outlineLevel="0" collapsed="false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customFormat="false" ht="30" hidden="false" customHeight="true" outlineLevel="0" collapsed="false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customFormat="false" ht="30" hidden="false" customHeight="true" outlineLevel="0" collapsed="false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customFormat="false" ht="30" hidden="false" customHeight="true" outlineLevel="0" collapsed="false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customFormat="false" ht="30" hidden="false" customHeight="true" outlineLevel="0" collapsed="false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customFormat="false" ht="30" hidden="false" customHeight="true" outlineLevel="0" collapsed="false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customFormat="false" ht="30" hidden="false" customHeight="true" outlineLevel="0" collapsed="false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customFormat="false" ht="30" hidden="false" customHeight="true" outlineLevel="0" collapsed="false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customFormat="false" ht="30" hidden="false" customHeight="true" outlineLevel="0" collapsed="false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customFormat="false" ht="30" hidden="false" customHeight="true" outlineLevel="0" collapsed="false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customFormat="false" ht="30" hidden="false" customHeight="true" outlineLevel="0" collapsed="false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customFormat="false" ht="30" hidden="false" customHeight="true" outlineLevel="0" collapsed="false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customFormat="false" ht="30" hidden="false" customHeight="true" outlineLevel="0" collapsed="false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customFormat="false" ht="30" hidden="false" customHeight="true" outlineLevel="0" collapsed="false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customFormat="false" ht="30" hidden="false" customHeight="true" outlineLevel="0" collapsed="false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customFormat="false" ht="30" hidden="false" customHeight="true" outlineLevel="0" collapsed="false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customFormat="false" ht="30" hidden="false" customHeight="true" outlineLevel="0" collapsed="false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customFormat="false" ht="30" hidden="false" customHeight="true" outlineLevel="0" collapsed="false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customFormat="false" ht="30" hidden="false" customHeight="true" outlineLevel="0" collapsed="false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customFormat="false" ht="30" hidden="false" customHeight="true" outlineLevel="0" collapsed="false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customFormat="false" ht="30" hidden="false" customHeight="true" outlineLevel="0" collapsed="false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customFormat="false" ht="30" hidden="false" customHeight="true" outlineLevel="0" collapsed="false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customFormat="false" ht="30" hidden="false" customHeight="true" outlineLevel="0" collapsed="false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customFormat="false" ht="30" hidden="false" customHeight="true" outlineLevel="0" collapsed="false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customFormat="false" ht="30" hidden="false" customHeight="true" outlineLevel="0" collapsed="false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customFormat="false" ht="30" hidden="false" customHeight="true" outlineLevel="0" collapsed="false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customFormat="false" ht="30" hidden="false" customHeight="true" outlineLevel="0" collapsed="false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customFormat="false" ht="30" hidden="false" customHeight="true" outlineLevel="0" collapsed="false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customFormat="false" ht="30" hidden="false" customHeight="true" outlineLevel="0" collapsed="false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customFormat="false" ht="30" hidden="false" customHeight="true" outlineLevel="0" collapsed="false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customFormat="false" ht="30" hidden="false" customHeight="true" outlineLevel="0" collapsed="false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customFormat="false" ht="30" hidden="false" customHeight="true" outlineLevel="0" collapsed="false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customFormat="false" ht="30" hidden="false" customHeight="true" outlineLevel="0" collapsed="false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customFormat="false" ht="30" hidden="false" customHeight="true" outlineLevel="0" collapsed="false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customFormat="false" ht="30" hidden="false" customHeight="true" outlineLevel="0" collapsed="false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customFormat="false" ht="30" hidden="false" customHeight="true" outlineLevel="0" collapsed="false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customFormat="false" ht="30" hidden="false" customHeight="true" outlineLevel="0" collapsed="false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customFormat="false" ht="30" hidden="false" customHeight="true" outlineLevel="0" collapsed="false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customFormat="false" ht="30" hidden="false" customHeight="true" outlineLevel="0" collapsed="false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customFormat="false" ht="30" hidden="false" customHeight="true" outlineLevel="0" collapsed="false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customFormat="false" ht="30" hidden="false" customHeight="true" outlineLevel="0" collapsed="false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customFormat="false" ht="30" hidden="false" customHeight="true" outlineLevel="0" collapsed="false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customFormat="false" ht="30" hidden="false" customHeight="true" outlineLevel="0" collapsed="false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customFormat="false" ht="30" hidden="false" customHeight="true" outlineLevel="0" collapsed="false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customFormat="false" ht="30" hidden="false" customHeight="true" outlineLevel="0" collapsed="false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customFormat="false" ht="30" hidden="false" customHeight="true" outlineLevel="0" collapsed="false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customFormat="false" ht="30" hidden="false" customHeight="true" outlineLevel="0" collapsed="false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customFormat="false" ht="30" hidden="false" customHeight="true" outlineLevel="0" collapsed="false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customFormat="false" ht="30" hidden="false" customHeight="true" outlineLevel="0" collapsed="false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customFormat="false" ht="30" hidden="false" customHeight="true" outlineLevel="0" collapsed="false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customFormat="false" ht="30" hidden="false" customHeight="true" outlineLevel="0" collapsed="false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customFormat="false" ht="30" hidden="false" customHeight="true" outlineLevel="0" collapsed="false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customFormat="false" ht="30" hidden="false" customHeight="true" outlineLevel="0" collapsed="false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customFormat="false" ht="30" hidden="false" customHeight="true" outlineLevel="0" collapsed="false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customFormat="false" ht="30" hidden="false" customHeight="true" outlineLevel="0" collapsed="false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customFormat="false" ht="30" hidden="false" customHeight="true" outlineLevel="0" collapsed="false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customFormat="false" ht="30" hidden="false" customHeight="true" outlineLevel="0" collapsed="false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customFormat="false" ht="30" hidden="false" customHeight="true" outlineLevel="0" collapsed="false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customFormat="false" ht="30" hidden="false" customHeight="true" outlineLevel="0" collapsed="false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customFormat="false" ht="30" hidden="false" customHeight="true" outlineLevel="0" collapsed="false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customFormat="false" ht="30" hidden="false" customHeight="true" outlineLevel="0" collapsed="false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customFormat="false" ht="30" hidden="false" customHeight="true" outlineLevel="0" collapsed="false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customFormat="false" ht="30" hidden="false" customHeight="true" outlineLevel="0" collapsed="false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customFormat="false" ht="30" hidden="false" customHeight="true" outlineLevel="0" collapsed="false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customFormat="false" ht="30" hidden="false" customHeight="true" outlineLevel="0" collapsed="false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customFormat="false" ht="30" hidden="false" customHeight="true" outlineLevel="0" collapsed="false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customFormat="false" ht="30" hidden="false" customHeight="true" outlineLevel="0" collapsed="false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customFormat="false" ht="30" hidden="false" customHeight="true" outlineLevel="0" collapsed="false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customFormat="false" ht="30" hidden="false" customHeight="true" outlineLevel="0" collapsed="false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customFormat="false" ht="30" hidden="false" customHeight="true" outlineLevel="0" collapsed="false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customFormat="false" ht="30" hidden="false" customHeight="true" outlineLevel="0" collapsed="false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customFormat="false" ht="30" hidden="false" customHeight="true" outlineLevel="0" collapsed="false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customFormat="false" ht="30" hidden="false" customHeight="true" outlineLevel="0" collapsed="false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customFormat="false" ht="30" hidden="false" customHeight="true" outlineLevel="0" collapsed="false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customFormat="false" ht="30" hidden="false" customHeight="true" outlineLevel="0" collapsed="false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customFormat="false" ht="30" hidden="false" customHeight="true" outlineLevel="0" collapsed="false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customFormat="false" ht="30" hidden="false" customHeight="true" outlineLevel="0" collapsed="false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customFormat="false" ht="30" hidden="false" customHeight="true" outlineLevel="0" collapsed="false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customFormat="false" ht="30" hidden="false" customHeight="true" outlineLevel="0" collapsed="false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customFormat="false" ht="30" hidden="false" customHeight="true" outlineLevel="0" collapsed="false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customFormat="false" ht="30" hidden="false" customHeight="true" outlineLevel="0" collapsed="false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customFormat="false" ht="30" hidden="false" customHeight="true" outlineLevel="0" collapsed="false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customFormat="false" ht="30" hidden="false" customHeight="true" outlineLevel="0" collapsed="false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customFormat="false" ht="30" hidden="false" customHeight="true" outlineLevel="0" collapsed="false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customFormat="false" ht="30" hidden="false" customHeight="true" outlineLevel="0" collapsed="false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customFormat="false" ht="30" hidden="false" customHeight="true" outlineLevel="0" collapsed="false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customFormat="false" ht="30" hidden="false" customHeight="true" outlineLevel="0" collapsed="false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customFormat="false" ht="30" hidden="false" customHeight="true" outlineLevel="0" collapsed="false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customFormat="false" ht="30" hidden="false" customHeight="true" outlineLevel="0" collapsed="false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customFormat="false" ht="30" hidden="false" customHeight="true" outlineLevel="0" collapsed="false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customFormat="false" ht="30" hidden="false" customHeight="true" outlineLevel="0" collapsed="false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customFormat="false" ht="30" hidden="false" customHeight="true" outlineLevel="0" collapsed="false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customFormat="false" ht="30" hidden="false" customHeight="true" outlineLevel="0" collapsed="false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customFormat="false" ht="30" hidden="false" customHeight="true" outlineLevel="0" collapsed="false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customFormat="false" ht="30" hidden="false" customHeight="true" outlineLevel="0" collapsed="false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customFormat="false" ht="30" hidden="false" customHeight="true" outlineLevel="0" collapsed="false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customFormat="false" ht="30" hidden="false" customHeight="true" outlineLevel="0" collapsed="false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customFormat="false" ht="30" hidden="false" customHeight="true" outlineLevel="0" collapsed="false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customFormat="false" ht="30" hidden="false" customHeight="true" outlineLevel="0" collapsed="false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customFormat="false" ht="30" hidden="false" customHeight="true" outlineLevel="0" collapsed="false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customFormat="false" ht="30" hidden="false" customHeight="true" outlineLevel="0" collapsed="false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customFormat="false" ht="30" hidden="false" customHeight="true" outlineLevel="0" collapsed="false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customFormat="false" ht="30" hidden="false" customHeight="true" outlineLevel="0" collapsed="false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customFormat="false" ht="30" hidden="false" customHeight="true" outlineLevel="0" collapsed="false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customFormat="false" ht="30" hidden="false" customHeight="true" outlineLevel="0" collapsed="false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customFormat="false" ht="30" hidden="false" customHeight="true" outlineLevel="0" collapsed="false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customFormat="false" ht="30" hidden="false" customHeight="true" outlineLevel="0" collapsed="false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customFormat="false" ht="30" hidden="false" customHeight="true" outlineLevel="0" collapsed="false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customFormat="false" ht="30" hidden="false" customHeight="true" outlineLevel="0" collapsed="false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customFormat="false" ht="30" hidden="false" customHeight="true" outlineLevel="0" collapsed="false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customFormat="false" ht="30" hidden="false" customHeight="true" outlineLevel="0" collapsed="false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customFormat="false" ht="30" hidden="false" customHeight="true" outlineLevel="0" collapsed="false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customFormat="false" ht="30" hidden="false" customHeight="true" outlineLevel="0" collapsed="false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customFormat="false" ht="30" hidden="false" customHeight="true" outlineLevel="0" collapsed="false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customFormat="false" ht="30" hidden="false" customHeight="true" outlineLevel="0" collapsed="false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customFormat="false" ht="30" hidden="false" customHeight="true" outlineLevel="0" collapsed="false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customFormat="false" ht="30" hidden="false" customHeight="true" outlineLevel="0" collapsed="false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customFormat="false" ht="30" hidden="false" customHeight="true" outlineLevel="0" collapsed="false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customFormat="false" ht="30" hidden="false" customHeight="true" outlineLevel="0" collapsed="false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customFormat="false" ht="30" hidden="false" customHeight="true" outlineLevel="0" collapsed="false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customFormat="false" ht="30" hidden="false" customHeight="true" outlineLevel="0" collapsed="false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customFormat="false" ht="30" hidden="false" customHeight="true" outlineLevel="0" collapsed="false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customFormat="false" ht="30" hidden="false" customHeight="true" outlineLevel="0" collapsed="false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customFormat="false" ht="30" hidden="false" customHeight="true" outlineLevel="0" collapsed="false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customFormat="false" ht="30" hidden="false" customHeight="true" outlineLevel="0" collapsed="false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customFormat="false" ht="30" hidden="false" customHeight="true" outlineLevel="0" collapsed="false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customFormat="false" ht="30" hidden="false" customHeight="true" outlineLevel="0" collapsed="false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customFormat="false" ht="30" hidden="false" customHeight="true" outlineLevel="0" collapsed="false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customFormat="false" ht="30" hidden="false" customHeight="true" outlineLevel="0" collapsed="false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customFormat="false" ht="30" hidden="false" customHeight="true" outlineLevel="0" collapsed="false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customFormat="false" ht="30" hidden="false" customHeight="true" outlineLevel="0" collapsed="false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customFormat="false" ht="30" hidden="false" customHeight="true" outlineLevel="0" collapsed="false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customFormat="false" ht="30" hidden="false" customHeight="true" outlineLevel="0" collapsed="false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customFormat="false" ht="30" hidden="false" customHeight="true" outlineLevel="0" collapsed="false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customFormat="false" ht="30" hidden="false" customHeight="true" outlineLevel="0" collapsed="false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customFormat="false" ht="30" hidden="false" customHeight="true" outlineLevel="0" collapsed="false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customFormat="false" ht="30" hidden="false" customHeight="true" outlineLevel="0" collapsed="false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customFormat="false" ht="30" hidden="false" customHeight="true" outlineLevel="0" collapsed="false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customFormat="false" ht="30" hidden="false" customHeight="true" outlineLevel="0" collapsed="false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customFormat="false" ht="30" hidden="false" customHeight="true" outlineLevel="0" collapsed="false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customFormat="false" ht="30" hidden="false" customHeight="true" outlineLevel="0" collapsed="false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customFormat="false" ht="30" hidden="false" customHeight="true" outlineLevel="0" collapsed="false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customFormat="false" ht="30" hidden="false" customHeight="true" outlineLevel="0" collapsed="false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customFormat="false" ht="30" hidden="false" customHeight="true" outlineLevel="0" collapsed="false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customFormat="false" ht="30" hidden="false" customHeight="true" outlineLevel="0" collapsed="false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customFormat="false" ht="30" hidden="false" customHeight="true" outlineLevel="0" collapsed="false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customFormat="false" ht="30" hidden="false" customHeight="true" outlineLevel="0" collapsed="false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customFormat="false" ht="30" hidden="false" customHeight="true" outlineLevel="0" collapsed="false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customFormat="false" ht="30" hidden="false" customHeight="true" outlineLevel="0" collapsed="false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customFormat="false" ht="30" hidden="false" customHeight="true" outlineLevel="0" collapsed="false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customFormat="false" ht="30" hidden="false" customHeight="true" outlineLevel="0" collapsed="false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customFormat="false" ht="30" hidden="false" customHeight="true" outlineLevel="0" collapsed="false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customFormat="false" ht="30" hidden="false" customHeight="true" outlineLevel="0" collapsed="false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customFormat="false" ht="30" hidden="false" customHeight="true" outlineLevel="0" collapsed="false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customFormat="false" ht="30" hidden="false" customHeight="true" outlineLevel="0" collapsed="false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customFormat="false" ht="30" hidden="false" customHeight="true" outlineLevel="0" collapsed="false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customFormat="false" ht="30" hidden="false" customHeight="true" outlineLevel="0" collapsed="false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customFormat="false" ht="30" hidden="false" customHeight="true" outlineLevel="0" collapsed="false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customFormat="false" ht="30" hidden="false" customHeight="true" outlineLevel="0" collapsed="false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customFormat="false" ht="30" hidden="false" customHeight="true" outlineLevel="0" collapsed="false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customFormat="false" ht="30" hidden="false" customHeight="true" outlineLevel="0" collapsed="false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customFormat="false" ht="30" hidden="false" customHeight="true" outlineLevel="0" collapsed="false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customFormat="false" ht="30" hidden="false" customHeight="true" outlineLevel="0" collapsed="false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customFormat="false" ht="30" hidden="false" customHeight="true" outlineLevel="0" collapsed="false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customFormat="false" ht="30" hidden="false" customHeight="true" outlineLevel="0" collapsed="false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customFormat="false" ht="30" hidden="false" customHeight="true" outlineLevel="0" collapsed="false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customFormat="false" ht="30" hidden="false" customHeight="true" outlineLevel="0" collapsed="false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customFormat="false" ht="30" hidden="false" customHeight="true" outlineLevel="0" collapsed="false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customFormat="false" ht="30" hidden="false" customHeight="true" outlineLevel="0" collapsed="false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customFormat="false" ht="30" hidden="false" customHeight="true" outlineLevel="0" collapsed="false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customFormat="false" ht="30" hidden="false" customHeight="true" outlineLevel="0" collapsed="false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customFormat="false" ht="30" hidden="false" customHeight="true" outlineLevel="0" collapsed="false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customFormat="false" ht="30" hidden="false" customHeight="true" outlineLevel="0" collapsed="false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customFormat="false" ht="30" hidden="false" customHeight="true" outlineLevel="0" collapsed="false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customFormat="false" ht="30" hidden="false" customHeight="true" outlineLevel="0" collapsed="false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customFormat="false" ht="30" hidden="false" customHeight="true" outlineLevel="0" collapsed="false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customFormat="false" ht="30" hidden="false" customHeight="true" outlineLevel="0" collapsed="false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customFormat="false" ht="30" hidden="false" customHeight="true" outlineLevel="0" collapsed="false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customFormat="false" ht="30" hidden="false" customHeight="true" outlineLevel="0" collapsed="false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customFormat="false" ht="30" hidden="false" customHeight="true" outlineLevel="0" collapsed="false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customFormat="false" ht="30" hidden="false" customHeight="true" outlineLevel="0" collapsed="false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customFormat="false" ht="30" hidden="false" customHeight="true" outlineLevel="0" collapsed="false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customFormat="false" ht="30" hidden="false" customHeight="true" outlineLevel="0" collapsed="false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customFormat="false" ht="30" hidden="false" customHeight="true" outlineLevel="0" collapsed="false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customFormat="false" ht="30" hidden="false" customHeight="true" outlineLevel="0" collapsed="false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customFormat="false" ht="30" hidden="false" customHeight="true" outlineLevel="0" collapsed="false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customFormat="false" ht="30" hidden="false" customHeight="true" outlineLevel="0" collapsed="false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customFormat="false" ht="30" hidden="false" customHeight="true" outlineLevel="0" collapsed="false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customFormat="false" ht="30" hidden="false" customHeight="true" outlineLevel="0" collapsed="false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customFormat="false" ht="30" hidden="false" customHeight="true" outlineLevel="0" collapsed="false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customFormat="false" ht="30" hidden="false" customHeight="true" outlineLevel="0" collapsed="false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customFormat="false" ht="30" hidden="false" customHeight="true" outlineLevel="0" collapsed="false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customFormat="false" ht="30" hidden="false" customHeight="true" outlineLevel="0" collapsed="false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customFormat="false" ht="30" hidden="false" customHeight="true" outlineLevel="0" collapsed="false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customFormat="false" ht="30" hidden="false" customHeight="true" outlineLevel="0" collapsed="false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customFormat="false" ht="30" hidden="false" customHeight="true" outlineLevel="0" collapsed="false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customFormat="false" ht="30" hidden="false" customHeight="true" outlineLevel="0" collapsed="false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customFormat="false" ht="30" hidden="false" customHeight="true" outlineLevel="0" collapsed="false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customFormat="false" ht="30" hidden="false" customHeight="true" outlineLevel="0" collapsed="false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customFormat="false" ht="30" hidden="false" customHeight="true" outlineLevel="0" collapsed="false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customFormat="false" ht="30" hidden="false" customHeight="true" outlineLevel="0" collapsed="false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customFormat="false" ht="30" hidden="false" customHeight="true" outlineLevel="0" collapsed="false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customFormat="false" ht="30" hidden="false" customHeight="true" outlineLevel="0" collapsed="false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customFormat="false" ht="30" hidden="false" customHeight="true" outlineLevel="0" collapsed="false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customFormat="false" ht="30" hidden="false" customHeight="true" outlineLevel="0" collapsed="false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customFormat="false" ht="30" hidden="false" customHeight="true" outlineLevel="0" collapsed="false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customFormat="false" ht="30" hidden="false" customHeight="true" outlineLevel="0" collapsed="false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customFormat="false" ht="30" hidden="false" customHeight="true" outlineLevel="0" collapsed="false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customFormat="false" ht="30" hidden="false" customHeight="true" outlineLevel="0" collapsed="false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customFormat="false" ht="30" hidden="false" customHeight="true" outlineLevel="0" collapsed="false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customFormat="false" ht="30" hidden="false" customHeight="true" outlineLevel="0" collapsed="false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customFormat="false" ht="30" hidden="false" customHeight="true" outlineLevel="0" collapsed="false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customFormat="false" ht="30" hidden="false" customHeight="true" outlineLevel="0" collapsed="false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customFormat="false" ht="30" hidden="false" customHeight="true" outlineLevel="0" collapsed="false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customFormat="false" ht="30" hidden="false" customHeight="true" outlineLevel="0" collapsed="false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customFormat="false" ht="30" hidden="false" customHeight="true" outlineLevel="0" collapsed="false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customFormat="false" ht="30" hidden="false" customHeight="true" outlineLevel="0" collapsed="false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customFormat="false" ht="30" hidden="false" customHeight="true" outlineLevel="0" collapsed="false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customFormat="false" ht="30" hidden="false" customHeight="true" outlineLevel="0" collapsed="false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customFormat="false" ht="30" hidden="false" customHeight="true" outlineLevel="0" collapsed="false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customFormat="false" ht="30" hidden="false" customHeight="true" outlineLevel="0" collapsed="false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customFormat="false" ht="30" hidden="false" customHeight="true" outlineLevel="0" collapsed="false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customFormat="false" ht="30" hidden="false" customHeight="true" outlineLevel="0" collapsed="false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customFormat="false" ht="30" hidden="false" customHeight="true" outlineLevel="0" collapsed="false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customFormat="false" ht="30" hidden="false" customHeight="true" outlineLevel="0" collapsed="false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customFormat="false" ht="30" hidden="false" customHeight="true" outlineLevel="0" collapsed="false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customFormat="false" ht="30" hidden="false" customHeight="true" outlineLevel="0" collapsed="false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customFormat="false" ht="30" hidden="false" customHeight="true" outlineLevel="0" collapsed="false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customFormat="false" ht="30" hidden="false" customHeight="true" outlineLevel="0" collapsed="false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customFormat="false" ht="30" hidden="false" customHeight="true" outlineLevel="0" collapsed="false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customFormat="false" ht="30" hidden="false" customHeight="true" outlineLevel="0" collapsed="false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customFormat="false" ht="30" hidden="false" customHeight="true" outlineLevel="0" collapsed="false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customFormat="false" ht="30" hidden="false" customHeight="true" outlineLevel="0" collapsed="false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customFormat="false" ht="30" hidden="false" customHeight="true" outlineLevel="0" collapsed="false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customFormat="false" ht="30" hidden="false" customHeight="true" outlineLevel="0" collapsed="false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customFormat="false" ht="30" hidden="false" customHeight="true" outlineLevel="0" collapsed="false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customFormat="false" ht="30" hidden="false" customHeight="true" outlineLevel="0" collapsed="false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customFormat="false" ht="30" hidden="false" customHeight="true" outlineLevel="0" collapsed="false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customFormat="false" ht="30" hidden="false" customHeight="true" outlineLevel="0" collapsed="false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customFormat="false" ht="30" hidden="false" customHeight="true" outlineLevel="0" collapsed="false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customFormat="false" ht="30" hidden="false" customHeight="true" outlineLevel="0" collapsed="false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customFormat="false" ht="30" hidden="false" customHeight="true" outlineLevel="0" collapsed="false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customFormat="false" ht="30" hidden="false" customHeight="true" outlineLevel="0" collapsed="false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customFormat="false" ht="30" hidden="false" customHeight="true" outlineLevel="0" collapsed="false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customFormat="false" ht="30" hidden="false" customHeight="true" outlineLevel="0" collapsed="false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customFormat="false" ht="30" hidden="false" customHeight="true" outlineLevel="0" collapsed="false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customFormat="false" ht="30" hidden="false" customHeight="true" outlineLevel="0" collapsed="false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customFormat="false" ht="30" hidden="false" customHeight="true" outlineLevel="0" collapsed="false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customFormat="false" ht="30" hidden="false" customHeight="true" outlineLevel="0" collapsed="false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customFormat="false" ht="30" hidden="false" customHeight="true" outlineLevel="0" collapsed="false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customFormat="false" ht="30" hidden="false" customHeight="true" outlineLevel="0" collapsed="false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customFormat="false" ht="30" hidden="false" customHeight="true" outlineLevel="0" collapsed="false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customFormat="false" ht="30" hidden="false" customHeight="true" outlineLevel="0" collapsed="false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customFormat="false" ht="30" hidden="false" customHeight="true" outlineLevel="0" collapsed="false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customFormat="false" ht="30" hidden="false" customHeight="true" outlineLevel="0" collapsed="false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customFormat="false" ht="30" hidden="false" customHeight="true" outlineLevel="0" collapsed="false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customFormat="false" ht="30" hidden="false" customHeight="true" outlineLevel="0" collapsed="false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customFormat="false" ht="30" hidden="false" customHeight="true" outlineLevel="0" collapsed="false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customFormat="false" ht="30" hidden="false" customHeight="true" outlineLevel="0" collapsed="false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customFormat="false" ht="30" hidden="false" customHeight="true" outlineLevel="0" collapsed="false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customFormat="false" ht="30" hidden="false" customHeight="true" outlineLevel="0" collapsed="false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customFormat="false" ht="30" hidden="false" customHeight="true" outlineLevel="0" collapsed="false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customFormat="false" ht="30" hidden="false" customHeight="true" outlineLevel="0" collapsed="false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customFormat="false" ht="30" hidden="false" customHeight="true" outlineLevel="0" collapsed="false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customFormat="false" ht="30" hidden="false" customHeight="true" outlineLevel="0" collapsed="false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customFormat="false" ht="30" hidden="false" customHeight="true" outlineLevel="0" collapsed="false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customFormat="false" ht="30" hidden="false" customHeight="true" outlineLevel="0" collapsed="false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customFormat="false" ht="30" hidden="false" customHeight="true" outlineLevel="0" collapsed="false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customFormat="false" ht="30" hidden="false" customHeight="true" outlineLevel="0" collapsed="false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customFormat="false" ht="30" hidden="false" customHeight="true" outlineLevel="0" collapsed="false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customFormat="false" ht="30" hidden="false" customHeight="true" outlineLevel="0" collapsed="false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customFormat="false" ht="30" hidden="false" customHeight="true" outlineLevel="0" collapsed="false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customFormat="false" ht="30" hidden="false" customHeight="true" outlineLevel="0" collapsed="false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customFormat="false" ht="30" hidden="false" customHeight="true" outlineLevel="0" collapsed="false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customFormat="false" ht="30" hidden="false" customHeight="true" outlineLevel="0" collapsed="false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customFormat="false" ht="30" hidden="false" customHeight="true" outlineLevel="0" collapsed="false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customFormat="false" ht="30" hidden="false" customHeight="true" outlineLevel="0" collapsed="false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customFormat="false" ht="30" hidden="false" customHeight="true" outlineLevel="0" collapsed="false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customFormat="false" ht="30" hidden="false" customHeight="true" outlineLevel="0" collapsed="false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customFormat="false" ht="30" hidden="false" customHeight="true" outlineLevel="0" collapsed="false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customFormat="false" ht="30" hidden="false" customHeight="true" outlineLevel="0" collapsed="false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customFormat="false" ht="30" hidden="false" customHeight="true" outlineLevel="0" collapsed="false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customFormat="false" ht="30" hidden="false" customHeight="true" outlineLevel="0" collapsed="false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customFormat="false" ht="30" hidden="false" customHeight="true" outlineLevel="0" collapsed="false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customFormat="false" ht="30" hidden="false" customHeight="true" outlineLevel="0" collapsed="false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customFormat="false" ht="30" hidden="false" customHeight="true" outlineLevel="0" collapsed="false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customFormat="false" ht="30" hidden="false" customHeight="true" outlineLevel="0" collapsed="false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customFormat="false" ht="30" hidden="false" customHeight="true" outlineLevel="0" collapsed="false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customFormat="false" ht="30" hidden="false" customHeight="true" outlineLevel="0" collapsed="false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customFormat="false" ht="30" hidden="false" customHeight="true" outlineLevel="0" collapsed="false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customFormat="false" ht="30" hidden="false" customHeight="true" outlineLevel="0" collapsed="false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customFormat="false" ht="30" hidden="false" customHeight="true" outlineLevel="0" collapsed="false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customFormat="false" ht="30" hidden="false" customHeight="true" outlineLevel="0" collapsed="false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customFormat="false" ht="30" hidden="false" customHeight="true" outlineLevel="0" collapsed="false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</sheetData>
  <mergeCells count="2">
    <mergeCell ref="A1:B1"/>
    <mergeCell ref="D1:E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2026-09-07T20:13:12Z</dcterms:created>
  <dc:creator>openpyxl</dc:creator>
  <dc:description/>
  <dc:language>en-US</dc:language>
  <cp:lastModifiedBy/>
  <dcterms:modified xsi:type="dcterms:W3CDTF">2026-09-07T20:13:35Z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